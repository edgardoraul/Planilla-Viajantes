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lockStructure="1"/>
  <bookViews>
    <workbookView xWindow="0" yWindow="0" windowWidth="24000" windowHeight="9630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externalReferences>
    <externalReference r:id="rId7"/>
  </externalReferences>
  <calcPr calcId="162913"/>
</workbook>
</file>

<file path=xl/calcChain.xml><?xml version="1.0" encoding="utf-8"?>
<calcChain xmlns="http://schemas.openxmlformats.org/spreadsheetml/2006/main">
  <c r="C21" i="7" l="1"/>
  <c r="X13" i="8" l="1"/>
  <c r="X14" i="8"/>
  <c r="X15" i="8"/>
  <c r="X16" i="8"/>
  <c r="X8" i="8"/>
  <c r="X9" i="8"/>
  <c r="A5" i="4"/>
  <c r="B5" i="4"/>
  <c r="D5" i="4"/>
  <c r="E5" i="4"/>
  <c r="F5" i="4"/>
  <c r="G5" i="4"/>
  <c r="H5" i="4"/>
  <c r="I5" i="4"/>
  <c r="A6" i="4"/>
  <c r="B6" i="4"/>
  <c r="D6" i="4"/>
  <c r="E6" i="4"/>
  <c r="F6" i="4"/>
  <c r="G6" i="4"/>
  <c r="H6" i="4"/>
  <c r="I6" i="4"/>
  <c r="A7" i="4"/>
  <c r="B7" i="4"/>
  <c r="D7" i="4"/>
  <c r="E7" i="4"/>
  <c r="F7" i="4"/>
  <c r="G7" i="4"/>
  <c r="H7" i="4"/>
  <c r="I7" i="4"/>
  <c r="A8" i="4"/>
  <c r="B8" i="4"/>
  <c r="D8" i="4"/>
  <c r="E8" i="4"/>
  <c r="F8" i="4"/>
  <c r="G8" i="4"/>
  <c r="H8" i="4"/>
  <c r="I8" i="4"/>
  <c r="A9" i="4"/>
  <c r="B9" i="4"/>
  <c r="D9" i="4"/>
  <c r="E9" i="4"/>
  <c r="F9" i="4"/>
  <c r="G9" i="4"/>
  <c r="H9" i="4"/>
  <c r="I9" i="4"/>
  <c r="A10" i="4"/>
  <c r="B10" i="4"/>
  <c r="D10" i="4"/>
  <c r="E10" i="4"/>
  <c r="F10" i="4"/>
  <c r="G10" i="4"/>
  <c r="H10" i="4"/>
  <c r="I10" i="4"/>
  <c r="A11" i="4"/>
  <c r="B11" i="4"/>
  <c r="D11" i="4"/>
  <c r="E11" i="4"/>
  <c r="F11" i="4"/>
  <c r="G11" i="4"/>
  <c r="H11" i="4"/>
  <c r="I11" i="4"/>
  <c r="A12" i="4"/>
  <c r="B12" i="4"/>
  <c r="D12" i="4"/>
  <c r="E12" i="4"/>
  <c r="F12" i="4"/>
  <c r="G12" i="4"/>
  <c r="H12" i="4"/>
  <c r="I12" i="4"/>
  <c r="A13" i="4"/>
  <c r="B13" i="4"/>
  <c r="D13" i="4"/>
  <c r="E13" i="4"/>
  <c r="F13" i="4"/>
  <c r="G13" i="4"/>
  <c r="H13" i="4"/>
  <c r="I13" i="4"/>
  <c r="A14" i="4"/>
  <c r="B14" i="4"/>
  <c r="D14" i="4"/>
  <c r="E14" i="4"/>
  <c r="F14" i="4"/>
  <c r="G14" i="4"/>
  <c r="H14" i="4"/>
  <c r="I14" i="4"/>
  <c r="A15" i="4"/>
  <c r="B15" i="4"/>
  <c r="D15" i="4"/>
  <c r="E15" i="4"/>
  <c r="F15" i="4"/>
  <c r="G15" i="4"/>
  <c r="H15" i="4"/>
  <c r="I15" i="4"/>
  <c r="A16" i="4"/>
  <c r="B16" i="4"/>
  <c r="D16" i="4"/>
  <c r="E16" i="4"/>
  <c r="F16" i="4"/>
  <c r="G16" i="4"/>
  <c r="H16" i="4"/>
  <c r="I16" i="4"/>
  <c r="A17" i="4"/>
  <c r="B17" i="4"/>
  <c r="D17" i="4"/>
  <c r="E17" i="4"/>
  <c r="F17" i="4"/>
  <c r="G17" i="4"/>
  <c r="H17" i="4"/>
  <c r="I17" i="4"/>
  <c r="A18" i="4"/>
  <c r="B18" i="4"/>
  <c r="D18" i="4"/>
  <c r="E18" i="4"/>
  <c r="F18" i="4"/>
  <c r="G18" i="4"/>
  <c r="H18" i="4"/>
  <c r="I18" i="4"/>
  <c r="A19" i="4"/>
  <c r="B19" i="4"/>
  <c r="D19" i="4"/>
  <c r="E19" i="4"/>
  <c r="F19" i="4"/>
  <c r="G19" i="4"/>
  <c r="H19" i="4"/>
  <c r="I19" i="4"/>
  <c r="A20" i="4"/>
  <c r="B20" i="4"/>
  <c r="D20" i="4"/>
  <c r="E20" i="4"/>
  <c r="F20" i="4"/>
  <c r="G20" i="4"/>
  <c r="H20" i="4"/>
  <c r="I20" i="4"/>
  <c r="A21" i="4"/>
  <c r="B21" i="4"/>
  <c r="D21" i="4"/>
  <c r="E21" i="4"/>
  <c r="F21" i="4"/>
  <c r="G21" i="4"/>
  <c r="H21" i="4"/>
  <c r="I21" i="4"/>
  <c r="A22" i="4"/>
  <c r="B22" i="4"/>
  <c r="D22" i="4"/>
  <c r="E22" i="4"/>
  <c r="F22" i="4"/>
  <c r="G22" i="4"/>
  <c r="H22" i="4"/>
  <c r="I22" i="4"/>
  <c r="A23" i="4"/>
  <c r="B23" i="4"/>
  <c r="D23" i="4"/>
  <c r="E23" i="4"/>
  <c r="F23" i="4"/>
  <c r="G23" i="4"/>
  <c r="H23" i="4"/>
  <c r="I23" i="4"/>
  <c r="A24" i="4"/>
  <c r="B24" i="4"/>
  <c r="D24" i="4"/>
  <c r="E24" i="4"/>
  <c r="F24" i="4"/>
  <c r="G24" i="4"/>
  <c r="H24" i="4"/>
  <c r="I24" i="4"/>
  <c r="A25" i="4"/>
  <c r="B25" i="4"/>
  <c r="D25" i="4"/>
  <c r="E25" i="4"/>
  <c r="F25" i="4"/>
  <c r="G25" i="4"/>
  <c r="H25" i="4"/>
  <c r="I25" i="4"/>
  <c r="A26" i="4"/>
  <c r="B26" i="4"/>
  <c r="D26" i="4"/>
  <c r="E26" i="4"/>
  <c r="F26" i="4"/>
  <c r="G26" i="4"/>
  <c r="H26" i="4"/>
  <c r="I26" i="4"/>
  <c r="A27" i="4"/>
  <c r="B27" i="4"/>
  <c r="D27" i="4"/>
  <c r="E27" i="4"/>
  <c r="F27" i="4"/>
  <c r="G27" i="4"/>
  <c r="H27" i="4"/>
  <c r="I27" i="4"/>
  <c r="A28" i="4"/>
  <c r="B28" i="4"/>
  <c r="D28" i="4"/>
  <c r="E28" i="4"/>
  <c r="F28" i="4"/>
  <c r="G28" i="4"/>
  <c r="H28" i="4"/>
  <c r="I28" i="4"/>
  <c r="A29" i="4"/>
  <c r="B29" i="4"/>
  <c r="D29" i="4"/>
  <c r="E29" i="4"/>
  <c r="F29" i="4"/>
  <c r="G29" i="4"/>
  <c r="H29" i="4"/>
  <c r="I29" i="4"/>
  <c r="A30" i="4"/>
  <c r="B30" i="4"/>
  <c r="D30" i="4"/>
  <c r="E30" i="4"/>
  <c r="F30" i="4"/>
  <c r="G30" i="4"/>
  <c r="H30" i="4"/>
  <c r="I30" i="4"/>
  <c r="A31" i="4"/>
  <c r="B31" i="4"/>
  <c r="D31" i="4"/>
  <c r="E31" i="4"/>
  <c r="F31" i="4"/>
  <c r="G31" i="4"/>
  <c r="H31" i="4"/>
  <c r="I31" i="4"/>
  <c r="A32" i="4"/>
  <c r="B32" i="4"/>
  <c r="D32" i="4"/>
  <c r="E32" i="4"/>
  <c r="F32" i="4"/>
  <c r="G32" i="4"/>
  <c r="H32" i="4"/>
  <c r="I32" i="4"/>
  <c r="A33" i="4"/>
  <c r="B33" i="4"/>
  <c r="D33" i="4"/>
  <c r="E33" i="4"/>
  <c r="F33" i="4"/>
  <c r="G33" i="4"/>
  <c r="H33" i="4"/>
  <c r="I33" i="4"/>
  <c r="A34" i="4"/>
  <c r="B34" i="4"/>
  <c r="D34" i="4"/>
  <c r="E34" i="4"/>
  <c r="F34" i="4"/>
  <c r="G34" i="4"/>
  <c r="H34" i="4"/>
  <c r="I34" i="4"/>
  <c r="A35" i="4"/>
  <c r="B35" i="4"/>
  <c r="D35" i="4"/>
  <c r="E35" i="4"/>
  <c r="F35" i="4"/>
  <c r="G35" i="4"/>
  <c r="H35" i="4"/>
  <c r="I35" i="4"/>
  <c r="A36" i="4"/>
  <c r="B36" i="4"/>
  <c r="D36" i="4"/>
  <c r="E36" i="4"/>
  <c r="F36" i="4"/>
  <c r="G36" i="4"/>
  <c r="H36" i="4"/>
  <c r="I36" i="4"/>
  <c r="A37" i="4"/>
  <c r="B37" i="4"/>
  <c r="D37" i="4"/>
  <c r="E37" i="4"/>
  <c r="F37" i="4"/>
  <c r="G37" i="4"/>
  <c r="H37" i="4"/>
  <c r="I37" i="4"/>
  <c r="A38" i="4"/>
  <c r="B38" i="4"/>
  <c r="D38" i="4"/>
  <c r="E38" i="4"/>
  <c r="F38" i="4"/>
  <c r="G38" i="4"/>
  <c r="H38" i="4"/>
  <c r="I38" i="4"/>
  <c r="A39" i="4"/>
  <c r="B39" i="4"/>
  <c r="D39" i="4"/>
  <c r="E39" i="4"/>
  <c r="F39" i="4"/>
  <c r="G39" i="4"/>
  <c r="H39" i="4"/>
  <c r="I39" i="4"/>
  <c r="A40" i="4"/>
  <c r="B40" i="4"/>
  <c r="D40" i="4"/>
  <c r="E40" i="4"/>
  <c r="F40" i="4"/>
  <c r="G40" i="4"/>
  <c r="H40" i="4"/>
  <c r="I40" i="4"/>
  <c r="A41" i="4"/>
  <c r="B41" i="4"/>
  <c r="D41" i="4"/>
  <c r="E41" i="4"/>
  <c r="F41" i="4"/>
  <c r="G41" i="4"/>
  <c r="H41" i="4"/>
  <c r="I41" i="4"/>
  <c r="A42" i="4"/>
  <c r="B42" i="4"/>
  <c r="D42" i="4"/>
  <c r="E42" i="4"/>
  <c r="F42" i="4"/>
  <c r="G42" i="4"/>
  <c r="H42" i="4"/>
  <c r="I42" i="4"/>
  <c r="A43" i="4"/>
  <c r="B43" i="4"/>
  <c r="D43" i="4"/>
  <c r="E43" i="4"/>
  <c r="F43" i="4"/>
  <c r="G43" i="4"/>
  <c r="H43" i="4"/>
  <c r="I43" i="4"/>
  <c r="A44" i="4"/>
  <c r="B44" i="4"/>
  <c r="D44" i="4"/>
  <c r="E44" i="4"/>
  <c r="F44" i="4"/>
  <c r="G44" i="4"/>
  <c r="H44" i="4"/>
  <c r="I44" i="4"/>
  <c r="A45" i="4"/>
  <c r="B45" i="4"/>
  <c r="D45" i="4"/>
  <c r="E45" i="4"/>
  <c r="F45" i="4"/>
  <c r="G45" i="4"/>
  <c r="H45" i="4"/>
  <c r="I45" i="4"/>
  <c r="A46" i="4"/>
  <c r="B46" i="4"/>
  <c r="D46" i="4"/>
  <c r="E46" i="4"/>
  <c r="F46" i="4"/>
  <c r="G46" i="4"/>
  <c r="H46" i="4"/>
  <c r="I46" i="4"/>
  <c r="A47" i="4"/>
  <c r="B47" i="4"/>
  <c r="D47" i="4"/>
  <c r="E47" i="4"/>
  <c r="F47" i="4"/>
  <c r="G47" i="4"/>
  <c r="H47" i="4"/>
  <c r="I47" i="4"/>
  <c r="A48" i="4"/>
  <c r="B48" i="4"/>
  <c r="D48" i="4"/>
  <c r="E48" i="4"/>
  <c r="F48" i="4"/>
  <c r="G48" i="4"/>
  <c r="H48" i="4"/>
  <c r="I48" i="4"/>
  <c r="A49" i="4"/>
  <c r="B49" i="4"/>
  <c r="D49" i="4"/>
  <c r="E49" i="4"/>
  <c r="F49" i="4"/>
  <c r="G49" i="4"/>
  <c r="H49" i="4"/>
  <c r="I49" i="4"/>
  <c r="A50" i="4"/>
  <c r="B50" i="4"/>
  <c r="D50" i="4"/>
  <c r="E50" i="4"/>
  <c r="F50" i="4"/>
  <c r="G50" i="4"/>
  <c r="H50" i="4"/>
  <c r="I50" i="4"/>
  <c r="A51" i="4"/>
  <c r="B51" i="4"/>
  <c r="D51" i="4"/>
  <c r="E51" i="4"/>
  <c r="F51" i="4"/>
  <c r="G51" i="4"/>
  <c r="H51" i="4"/>
  <c r="I51" i="4"/>
  <c r="A52" i="4"/>
  <c r="B52" i="4"/>
  <c r="D52" i="4"/>
  <c r="E52" i="4"/>
  <c r="F52" i="4"/>
  <c r="G52" i="4"/>
  <c r="H52" i="4"/>
  <c r="I52" i="4"/>
  <c r="A53" i="4"/>
  <c r="B53" i="4"/>
  <c r="D53" i="4"/>
  <c r="E53" i="4"/>
  <c r="F53" i="4"/>
  <c r="G53" i="4"/>
  <c r="H53" i="4"/>
  <c r="I53" i="4"/>
  <c r="A54" i="4"/>
  <c r="B54" i="4"/>
  <c r="D54" i="4"/>
  <c r="E54" i="4"/>
  <c r="F54" i="4"/>
  <c r="G54" i="4"/>
  <c r="H54" i="4"/>
  <c r="I54" i="4"/>
  <c r="A55" i="4"/>
  <c r="B55" i="4"/>
  <c r="D55" i="4"/>
  <c r="E55" i="4"/>
  <c r="F55" i="4"/>
  <c r="G55" i="4"/>
  <c r="H55" i="4"/>
  <c r="I55" i="4"/>
  <c r="A56" i="4"/>
  <c r="B56" i="4"/>
  <c r="D56" i="4"/>
  <c r="E56" i="4"/>
  <c r="F56" i="4"/>
  <c r="G56" i="4"/>
  <c r="H56" i="4"/>
  <c r="I56" i="4"/>
  <c r="A57" i="4"/>
  <c r="B57" i="4"/>
  <c r="D57" i="4"/>
  <c r="E57" i="4"/>
  <c r="F57" i="4"/>
  <c r="G57" i="4"/>
  <c r="H57" i="4"/>
  <c r="I57" i="4"/>
  <c r="A58" i="4"/>
  <c r="B58" i="4"/>
  <c r="D58" i="4"/>
  <c r="E58" i="4"/>
  <c r="F58" i="4"/>
  <c r="G58" i="4"/>
  <c r="H58" i="4"/>
  <c r="I58" i="4"/>
  <c r="A59" i="4"/>
  <c r="B59" i="4"/>
  <c r="D59" i="4"/>
  <c r="E59" i="4"/>
  <c r="F59" i="4"/>
  <c r="G59" i="4"/>
  <c r="H59" i="4"/>
  <c r="I59" i="4"/>
  <c r="A60" i="4"/>
  <c r="B60" i="4"/>
  <c r="D60" i="4"/>
  <c r="E60" i="4"/>
  <c r="F60" i="4"/>
  <c r="G60" i="4"/>
  <c r="H60" i="4"/>
  <c r="I60" i="4"/>
  <c r="A61" i="4"/>
  <c r="B61" i="4"/>
  <c r="D61" i="4"/>
  <c r="E61" i="4"/>
  <c r="F61" i="4"/>
  <c r="G61" i="4"/>
  <c r="H61" i="4"/>
  <c r="I61" i="4"/>
  <c r="A62" i="4"/>
  <c r="B62" i="4"/>
  <c r="D62" i="4"/>
  <c r="E62" i="4"/>
  <c r="F62" i="4"/>
  <c r="G62" i="4"/>
  <c r="H62" i="4"/>
  <c r="I62" i="4"/>
  <c r="A63" i="4"/>
  <c r="B63" i="4"/>
  <c r="D63" i="4"/>
  <c r="E63" i="4"/>
  <c r="F63" i="4"/>
  <c r="G63" i="4"/>
  <c r="H63" i="4"/>
  <c r="I63" i="4"/>
  <c r="A64" i="4"/>
  <c r="B64" i="4"/>
  <c r="D64" i="4"/>
  <c r="E64" i="4"/>
  <c r="F64" i="4"/>
  <c r="G64" i="4"/>
  <c r="H64" i="4"/>
  <c r="I64" i="4"/>
  <c r="A65" i="4"/>
  <c r="B65" i="4"/>
  <c r="D65" i="4"/>
  <c r="E65" i="4"/>
  <c r="F65" i="4"/>
  <c r="G65" i="4"/>
  <c r="H65" i="4"/>
  <c r="I65" i="4"/>
  <c r="A66" i="4"/>
  <c r="B66" i="4"/>
  <c r="D66" i="4"/>
  <c r="E66" i="4"/>
  <c r="F66" i="4"/>
  <c r="G66" i="4"/>
  <c r="H66" i="4"/>
  <c r="I66" i="4"/>
  <c r="A67" i="4"/>
  <c r="B67" i="4"/>
  <c r="D67" i="4"/>
  <c r="E67" i="4"/>
  <c r="F67" i="4"/>
  <c r="G67" i="4"/>
  <c r="H67" i="4"/>
  <c r="I67" i="4"/>
  <c r="A68" i="4"/>
  <c r="B68" i="4"/>
  <c r="D68" i="4"/>
  <c r="E68" i="4"/>
  <c r="F68" i="4"/>
  <c r="G68" i="4"/>
  <c r="H68" i="4"/>
  <c r="I68" i="4"/>
  <c r="A69" i="4"/>
  <c r="B69" i="4"/>
  <c r="D69" i="4"/>
  <c r="E69" i="4"/>
  <c r="F69" i="4"/>
  <c r="G69" i="4"/>
  <c r="H69" i="4"/>
  <c r="I69" i="4"/>
  <c r="A70" i="4"/>
  <c r="B70" i="4"/>
  <c r="D70" i="4"/>
  <c r="E70" i="4"/>
  <c r="F70" i="4"/>
  <c r="G70" i="4"/>
  <c r="H70" i="4"/>
  <c r="I70" i="4"/>
  <c r="A71" i="4"/>
  <c r="B71" i="4"/>
  <c r="D71" i="4"/>
  <c r="E71" i="4"/>
  <c r="F71" i="4"/>
  <c r="G71" i="4"/>
  <c r="H71" i="4"/>
  <c r="I71" i="4"/>
  <c r="A72" i="4"/>
  <c r="B72" i="4"/>
  <c r="D72" i="4"/>
  <c r="E72" i="4"/>
  <c r="F72" i="4"/>
  <c r="G72" i="4"/>
  <c r="H72" i="4"/>
  <c r="I72" i="4"/>
  <c r="A73" i="4"/>
  <c r="B73" i="4"/>
  <c r="D73" i="4"/>
  <c r="E73" i="4"/>
  <c r="F73" i="4"/>
  <c r="G73" i="4"/>
  <c r="H73" i="4"/>
  <c r="I73" i="4"/>
  <c r="A74" i="4"/>
  <c r="B74" i="4"/>
  <c r="D74" i="4"/>
  <c r="E74" i="4"/>
  <c r="F74" i="4"/>
  <c r="G74" i="4"/>
  <c r="H74" i="4"/>
  <c r="I74" i="4"/>
  <c r="A75" i="4"/>
  <c r="B75" i="4"/>
  <c r="D75" i="4"/>
  <c r="E75" i="4"/>
  <c r="F75" i="4"/>
  <c r="G75" i="4"/>
  <c r="H75" i="4"/>
  <c r="I75" i="4"/>
  <c r="A76" i="4"/>
  <c r="B76" i="4"/>
  <c r="D76" i="4"/>
  <c r="E76" i="4"/>
  <c r="F76" i="4"/>
  <c r="G76" i="4"/>
  <c r="H76" i="4"/>
  <c r="I76" i="4"/>
  <c r="A77" i="4"/>
  <c r="B77" i="4"/>
  <c r="D77" i="4"/>
  <c r="E77" i="4"/>
  <c r="F77" i="4"/>
  <c r="G77" i="4"/>
  <c r="H77" i="4"/>
  <c r="I77" i="4"/>
  <c r="A78" i="4"/>
  <c r="B78" i="4"/>
  <c r="D78" i="4"/>
  <c r="E78" i="4"/>
  <c r="F78" i="4"/>
  <c r="G78" i="4"/>
  <c r="H78" i="4"/>
  <c r="I78" i="4"/>
  <c r="A79" i="4"/>
  <c r="B79" i="4"/>
  <c r="D79" i="4"/>
  <c r="E79" i="4"/>
  <c r="F79" i="4"/>
  <c r="G79" i="4"/>
  <c r="H79" i="4"/>
  <c r="I79" i="4"/>
  <c r="A80" i="4"/>
  <c r="B80" i="4"/>
  <c r="D80" i="4"/>
  <c r="E80" i="4"/>
  <c r="F80" i="4"/>
  <c r="G80" i="4"/>
  <c r="H80" i="4"/>
  <c r="I80" i="4"/>
  <c r="A81" i="4"/>
  <c r="B81" i="4"/>
  <c r="D81" i="4"/>
  <c r="E81" i="4"/>
  <c r="F81" i="4"/>
  <c r="G81" i="4"/>
  <c r="H81" i="4"/>
  <c r="I81" i="4"/>
  <c r="A82" i="4"/>
  <c r="B82" i="4"/>
  <c r="D82" i="4"/>
  <c r="E82" i="4"/>
  <c r="F82" i="4"/>
  <c r="G82" i="4"/>
  <c r="H82" i="4"/>
  <c r="I82" i="4"/>
  <c r="A83" i="4"/>
  <c r="B83" i="4"/>
  <c r="D83" i="4"/>
  <c r="E83" i="4"/>
  <c r="F83" i="4"/>
  <c r="G83" i="4"/>
  <c r="H83" i="4"/>
  <c r="I83" i="4"/>
  <c r="A84" i="4"/>
  <c r="B84" i="4"/>
  <c r="D84" i="4"/>
  <c r="E84" i="4"/>
  <c r="F84" i="4"/>
  <c r="G84" i="4"/>
  <c r="H84" i="4"/>
  <c r="I84" i="4"/>
  <c r="A85" i="4"/>
  <c r="B85" i="4"/>
  <c r="D85" i="4"/>
  <c r="E85" i="4"/>
  <c r="F85" i="4"/>
  <c r="G85" i="4"/>
  <c r="H85" i="4"/>
  <c r="I85" i="4"/>
  <c r="A86" i="4"/>
  <c r="B86" i="4"/>
  <c r="D86" i="4"/>
  <c r="E86" i="4"/>
  <c r="F86" i="4"/>
  <c r="G86" i="4"/>
  <c r="H86" i="4"/>
  <c r="I86" i="4"/>
  <c r="A87" i="4"/>
  <c r="B87" i="4"/>
  <c r="D87" i="4"/>
  <c r="E87" i="4"/>
  <c r="F87" i="4"/>
  <c r="G87" i="4"/>
  <c r="H87" i="4"/>
  <c r="I87" i="4"/>
  <c r="A88" i="4"/>
  <c r="B88" i="4"/>
  <c r="D88" i="4"/>
  <c r="E88" i="4"/>
  <c r="F88" i="4"/>
  <c r="G88" i="4"/>
  <c r="H88" i="4"/>
  <c r="I88" i="4"/>
  <c r="A89" i="4"/>
  <c r="B89" i="4"/>
  <c r="D89" i="4"/>
  <c r="E89" i="4"/>
  <c r="F89" i="4"/>
  <c r="G89" i="4"/>
  <c r="H89" i="4"/>
  <c r="I89" i="4"/>
  <c r="A90" i="4"/>
  <c r="B90" i="4"/>
  <c r="D90" i="4"/>
  <c r="E90" i="4"/>
  <c r="F90" i="4"/>
  <c r="G90" i="4"/>
  <c r="H90" i="4"/>
  <c r="I90" i="4"/>
  <c r="A91" i="4"/>
  <c r="B91" i="4"/>
  <c r="D91" i="4"/>
  <c r="E91" i="4"/>
  <c r="F91" i="4"/>
  <c r="G91" i="4"/>
  <c r="H91" i="4"/>
  <c r="I91" i="4"/>
  <c r="A92" i="4"/>
  <c r="B92" i="4"/>
  <c r="D92" i="4"/>
  <c r="E92" i="4"/>
  <c r="F92" i="4"/>
  <c r="G92" i="4"/>
  <c r="H92" i="4"/>
  <c r="I92" i="4"/>
  <c r="A93" i="4"/>
  <c r="B93" i="4"/>
  <c r="D93" i="4"/>
  <c r="E93" i="4"/>
  <c r="F93" i="4"/>
  <c r="G93" i="4"/>
  <c r="H93" i="4"/>
  <c r="I93" i="4"/>
  <c r="A94" i="4"/>
  <c r="B94" i="4"/>
  <c r="D94" i="4"/>
  <c r="E94" i="4"/>
  <c r="F94" i="4"/>
  <c r="G94" i="4"/>
  <c r="H94" i="4"/>
  <c r="I94" i="4"/>
  <c r="A95" i="4"/>
  <c r="B95" i="4"/>
  <c r="D95" i="4"/>
  <c r="E95" i="4"/>
  <c r="F95" i="4"/>
  <c r="G95" i="4"/>
  <c r="H95" i="4"/>
  <c r="I95" i="4"/>
  <c r="A96" i="4"/>
  <c r="B96" i="4"/>
  <c r="D96" i="4"/>
  <c r="E96" i="4"/>
  <c r="F96" i="4"/>
  <c r="G96" i="4"/>
  <c r="H96" i="4"/>
  <c r="I96" i="4"/>
  <c r="A97" i="4"/>
  <c r="B97" i="4"/>
  <c r="D97" i="4"/>
  <c r="E97" i="4"/>
  <c r="F97" i="4"/>
  <c r="G97" i="4"/>
  <c r="H97" i="4"/>
  <c r="I97" i="4"/>
  <c r="A98" i="4"/>
  <c r="B98" i="4"/>
  <c r="D98" i="4"/>
  <c r="E98" i="4"/>
  <c r="F98" i="4"/>
  <c r="G98" i="4"/>
  <c r="H98" i="4"/>
  <c r="I98" i="4"/>
  <c r="A99" i="4"/>
  <c r="B99" i="4"/>
  <c r="D99" i="4"/>
  <c r="E99" i="4"/>
  <c r="F99" i="4"/>
  <c r="G99" i="4"/>
  <c r="H99" i="4"/>
  <c r="I99" i="4"/>
  <c r="A100" i="4"/>
  <c r="B100" i="4"/>
  <c r="D100" i="4"/>
  <c r="E100" i="4"/>
  <c r="F100" i="4"/>
  <c r="G100" i="4"/>
  <c r="H100" i="4"/>
  <c r="I100" i="4"/>
  <c r="A101" i="4"/>
  <c r="B101" i="4"/>
  <c r="D101" i="4"/>
  <c r="E101" i="4"/>
  <c r="F101" i="4"/>
  <c r="G101" i="4"/>
  <c r="H101" i="4"/>
  <c r="I101" i="4"/>
  <c r="A102" i="4"/>
  <c r="B102" i="4"/>
  <c r="D102" i="4"/>
  <c r="E102" i="4"/>
  <c r="F102" i="4"/>
  <c r="G102" i="4"/>
  <c r="H102" i="4"/>
  <c r="I102" i="4"/>
  <c r="A103" i="4"/>
  <c r="B103" i="4"/>
  <c r="D103" i="4"/>
  <c r="E103" i="4"/>
  <c r="F103" i="4"/>
  <c r="G103" i="4"/>
  <c r="H103" i="4"/>
  <c r="I103" i="4"/>
  <c r="A104" i="4"/>
  <c r="B104" i="4"/>
  <c r="D104" i="4"/>
  <c r="E104" i="4"/>
  <c r="F104" i="4"/>
  <c r="G104" i="4"/>
  <c r="H104" i="4"/>
  <c r="I104" i="4"/>
  <c r="A105" i="4"/>
  <c r="B105" i="4"/>
  <c r="D105" i="4"/>
  <c r="E105" i="4"/>
  <c r="F105" i="4"/>
  <c r="G105" i="4"/>
  <c r="H105" i="4"/>
  <c r="I105" i="4"/>
  <c r="A106" i="4"/>
  <c r="B106" i="4"/>
  <c r="D106" i="4"/>
  <c r="E106" i="4"/>
  <c r="F106" i="4"/>
  <c r="G106" i="4"/>
  <c r="H106" i="4"/>
  <c r="I106" i="4"/>
  <c r="A107" i="4"/>
  <c r="B107" i="4"/>
  <c r="D107" i="4"/>
  <c r="E107" i="4"/>
  <c r="F107" i="4"/>
  <c r="G107" i="4"/>
  <c r="H107" i="4"/>
  <c r="I107" i="4"/>
  <c r="A108" i="4"/>
  <c r="B108" i="4"/>
  <c r="D108" i="4"/>
  <c r="E108" i="4"/>
  <c r="F108" i="4"/>
  <c r="G108" i="4"/>
  <c r="H108" i="4"/>
  <c r="I108" i="4"/>
  <c r="A109" i="4"/>
  <c r="B109" i="4"/>
  <c r="D109" i="4"/>
  <c r="E109" i="4"/>
  <c r="F109" i="4"/>
  <c r="G109" i="4"/>
  <c r="H109" i="4"/>
  <c r="I109" i="4"/>
  <c r="A110" i="4"/>
  <c r="B110" i="4"/>
  <c r="D110" i="4"/>
  <c r="E110" i="4"/>
  <c r="F110" i="4"/>
  <c r="G110" i="4"/>
  <c r="H110" i="4"/>
  <c r="I110" i="4"/>
  <c r="A111" i="4"/>
  <c r="B111" i="4"/>
  <c r="D111" i="4"/>
  <c r="E111" i="4"/>
  <c r="F111" i="4"/>
  <c r="G111" i="4"/>
  <c r="H111" i="4"/>
  <c r="I111" i="4"/>
  <c r="A112" i="4"/>
  <c r="B112" i="4"/>
  <c r="D112" i="4"/>
  <c r="E112" i="4"/>
  <c r="F112" i="4"/>
  <c r="G112" i="4"/>
  <c r="H112" i="4"/>
  <c r="I112" i="4"/>
  <c r="A113" i="4"/>
  <c r="B113" i="4"/>
  <c r="D113" i="4"/>
  <c r="E113" i="4"/>
  <c r="F113" i="4"/>
  <c r="G113" i="4"/>
  <c r="H113" i="4"/>
  <c r="I113" i="4"/>
  <c r="A114" i="4"/>
  <c r="B114" i="4"/>
  <c r="D114" i="4"/>
  <c r="E114" i="4"/>
  <c r="F114" i="4"/>
  <c r="G114" i="4"/>
  <c r="H114" i="4"/>
  <c r="I114" i="4"/>
  <c r="A115" i="4"/>
  <c r="B115" i="4"/>
  <c r="D115" i="4"/>
  <c r="E115" i="4"/>
  <c r="F115" i="4"/>
  <c r="G115" i="4"/>
  <c r="H115" i="4"/>
  <c r="I115" i="4"/>
  <c r="A116" i="4"/>
  <c r="B116" i="4"/>
  <c r="D116" i="4"/>
  <c r="E116" i="4"/>
  <c r="F116" i="4"/>
  <c r="G116" i="4"/>
  <c r="H116" i="4"/>
  <c r="I116" i="4"/>
  <c r="A117" i="4"/>
  <c r="B117" i="4"/>
  <c r="D117" i="4"/>
  <c r="E117" i="4"/>
  <c r="F117" i="4"/>
  <c r="G117" i="4"/>
  <c r="H117" i="4"/>
  <c r="I117" i="4"/>
  <c r="A118" i="4"/>
  <c r="B118" i="4"/>
  <c r="D118" i="4"/>
  <c r="E118" i="4"/>
  <c r="F118" i="4"/>
  <c r="G118" i="4"/>
  <c r="H118" i="4"/>
  <c r="I118" i="4"/>
  <c r="A119" i="4"/>
  <c r="B119" i="4"/>
  <c r="D119" i="4"/>
  <c r="E119" i="4"/>
  <c r="F119" i="4"/>
  <c r="G119" i="4"/>
  <c r="H119" i="4"/>
  <c r="I119" i="4"/>
  <c r="A120" i="4"/>
  <c r="B120" i="4"/>
  <c r="D120" i="4"/>
  <c r="E120" i="4"/>
  <c r="F120" i="4"/>
  <c r="G120" i="4"/>
  <c r="H120" i="4"/>
  <c r="I120" i="4"/>
  <c r="A121" i="4"/>
  <c r="B121" i="4"/>
  <c r="D121" i="4"/>
  <c r="E121" i="4"/>
  <c r="F121" i="4"/>
  <c r="G121" i="4"/>
  <c r="H121" i="4"/>
  <c r="I121" i="4"/>
  <c r="A122" i="4"/>
  <c r="B122" i="4"/>
  <c r="D122" i="4"/>
  <c r="E122" i="4"/>
  <c r="F122" i="4"/>
  <c r="G122" i="4"/>
  <c r="H122" i="4"/>
  <c r="I122" i="4"/>
  <c r="A123" i="4"/>
  <c r="B123" i="4"/>
  <c r="D123" i="4"/>
  <c r="E123" i="4"/>
  <c r="F123" i="4"/>
  <c r="G123" i="4"/>
  <c r="H123" i="4"/>
  <c r="I123" i="4"/>
  <c r="A124" i="4"/>
  <c r="B124" i="4"/>
  <c r="D124" i="4"/>
  <c r="E124" i="4"/>
  <c r="F124" i="4"/>
  <c r="G124" i="4"/>
  <c r="H124" i="4"/>
  <c r="I124" i="4"/>
  <c r="A125" i="4"/>
  <c r="B125" i="4"/>
  <c r="D125" i="4"/>
  <c r="E125" i="4"/>
  <c r="F125" i="4"/>
  <c r="G125" i="4"/>
  <c r="H125" i="4"/>
  <c r="I125" i="4"/>
  <c r="A126" i="4"/>
  <c r="B126" i="4"/>
  <c r="D126" i="4"/>
  <c r="E126" i="4"/>
  <c r="F126" i="4"/>
  <c r="G126" i="4"/>
  <c r="H126" i="4"/>
  <c r="I126" i="4"/>
  <c r="A127" i="4"/>
  <c r="B127" i="4"/>
  <c r="D127" i="4"/>
  <c r="E127" i="4"/>
  <c r="F127" i="4"/>
  <c r="G127" i="4"/>
  <c r="H127" i="4"/>
  <c r="I127" i="4"/>
  <c r="A128" i="4"/>
  <c r="B128" i="4"/>
  <c r="D128" i="4"/>
  <c r="E128" i="4"/>
  <c r="F128" i="4"/>
  <c r="G128" i="4"/>
  <c r="H128" i="4"/>
  <c r="I128" i="4"/>
  <c r="A129" i="4"/>
  <c r="B129" i="4"/>
  <c r="D129" i="4"/>
  <c r="E129" i="4"/>
  <c r="F129" i="4"/>
  <c r="G129" i="4"/>
  <c r="H129" i="4"/>
  <c r="I129" i="4"/>
  <c r="A130" i="4"/>
  <c r="B130" i="4"/>
  <c r="D130" i="4"/>
  <c r="E130" i="4"/>
  <c r="F130" i="4"/>
  <c r="G130" i="4"/>
  <c r="H130" i="4"/>
  <c r="I130" i="4"/>
  <c r="A131" i="4"/>
  <c r="B131" i="4"/>
  <c r="D131" i="4"/>
  <c r="E131" i="4"/>
  <c r="F131" i="4"/>
  <c r="G131" i="4"/>
  <c r="H131" i="4"/>
  <c r="I131" i="4"/>
  <c r="A132" i="4"/>
  <c r="B132" i="4"/>
  <c r="D132" i="4"/>
  <c r="E132" i="4"/>
  <c r="F132" i="4"/>
  <c r="G132" i="4"/>
  <c r="H132" i="4"/>
  <c r="I132" i="4"/>
  <c r="A133" i="4"/>
  <c r="B133" i="4"/>
  <c r="D133" i="4"/>
  <c r="E133" i="4"/>
  <c r="F133" i="4"/>
  <c r="G133" i="4"/>
  <c r="H133" i="4"/>
  <c r="I133" i="4"/>
  <c r="A134" i="4"/>
  <c r="B134" i="4"/>
  <c r="D134" i="4"/>
  <c r="E134" i="4"/>
  <c r="F134" i="4"/>
  <c r="G134" i="4"/>
  <c r="H134" i="4"/>
  <c r="I134" i="4"/>
  <c r="A135" i="4"/>
  <c r="B135" i="4"/>
  <c r="D135" i="4"/>
  <c r="E135" i="4"/>
  <c r="F135" i="4"/>
  <c r="G135" i="4"/>
  <c r="H135" i="4"/>
  <c r="I135" i="4"/>
  <c r="A136" i="4"/>
  <c r="B136" i="4"/>
  <c r="D136" i="4"/>
  <c r="E136" i="4"/>
  <c r="F136" i="4"/>
  <c r="G136" i="4"/>
  <c r="H136" i="4"/>
  <c r="I136" i="4"/>
  <c r="A137" i="4"/>
  <c r="B137" i="4"/>
  <c r="D137" i="4"/>
  <c r="E137" i="4"/>
  <c r="F137" i="4"/>
  <c r="G137" i="4"/>
  <c r="H137" i="4"/>
  <c r="I137" i="4"/>
  <c r="A138" i="4"/>
  <c r="B138" i="4"/>
  <c r="D138" i="4"/>
  <c r="E138" i="4"/>
  <c r="F138" i="4"/>
  <c r="G138" i="4"/>
  <c r="H138" i="4"/>
  <c r="I138" i="4"/>
  <c r="A139" i="4"/>
  <c r="B139" i="4"/>
  <c r="D139" i="4"/>
  <c r="E139" i="4"/>
  <c r="F139" i="4"/>
  <c r="G139" i="4"/>
  <c r="H139" i="4"/>
  <c r="I139" i="4"/>
  <c r="A140" i="4"/>
  <c r="B140" i="4"/>
  <c r="D140" i="4"/>
  <c r="E140" i="4"/>
  <c r="F140" i="4"/>
  <c r="G140" i="4"/>
  <c r="H140" i="4"/>
  <c r="I140" i="4"/>
  <c r="A141" i="4"/>
  <c r="B141" i="4"/>
  <c r="D141" i="4"/>
  <c r="E141" i="4"/>
  <c r="F141" i="4"/>
  <c r="G141" i="4"/>
  <c r="H141" i="4"/>
  <c r="I141" i="4"/>
  <c r="A142" i="4"/>
  <c r="B142" i="4"/>
  <c r="D142" i="4"/>
  <c r="E142" i="4"/>
  <c r="F142" i="4"/>
  <c r="G142" i="4"/>
  <c r="H142" i="4"/>
  <c r="I142" i="4"/>
  <c r="A143" i="4"/>
  <c r="B143" i="4"/>
  <c r="D143" i="4"/>
  <c r="E143" i="4"/>
  <c r="F143" i="4"/>
  <c r="G143" i="4"/>
  <c r="H143" i="4"/>
  <c r="I143" i="4"/>
  <c r="A144" i="4"/>
  <c r="B144" i="4"/>
  <c r="D144" i="4"/>
  <c r="E144" i="4"/>
  <c r="F144" i="4"/>
  <c r="G144" i="4"/>
  <c r="H144" i="4"/>
  <c r="I144" i="4"/>
  <c r="A145" i="4"/>
  <c r="B145" i="4"/>
  <c r="D145" i="4"/>
  <c r="E145" i="4"/>
  <c r="F145" i="4"/>
  <c r="G145" i="4"/>
  <c r="H145" i="4"/>
  <c r="I145" i="4"/>
  <c r="A146" i="4"/>
  <c r="B146" i="4"/>
  <c r="D146" i="4"/>
  <c r="E146" i="4"/>
  <c r="F146" i="4"/>
  <c r="G146" i="4"/>
  <c r="H146" i="4"/>
  <c r="I146" i="4"/>
  <c r="A147" i="4"/>
  <c r="B147" i="4"/>
  <c r="D147" i="4"/>
  <c r="E147" i="4"/>
  <c r="F147" i="4"/>
  <c r="G147" i="4"/>
  <c r="H147" i="4"/>
  <c r="I147" i="4"/>
  <c r="A148" i="4"/>
  <c r="B148" i="4"/>
  <c r="D148" i="4"/>
  <c r="E148" i="4"/>
  <c r="F148" i="4"/>
  <c r="G148" i="4"/>
  <c r="H148" i="4"/>
  <c r="I148" i="4"/>
  <c r="A149" i="4"/>
  <c r="B149" i="4"/>
  <c r="D149" i="4"/>
  <c r="E149" i="4"/>
  <c r="F149" i="4"/>
  <c r="G149" i="4"/>
  <c r="H149" i="4"/>
  <c r="I149" i="4"/>
  <c r="A150" i="4"/>
  <c r="B150" i="4"/>
  <c r="D150" i="4"/>
  <c r="E150" i="4"/>
  <c r="F150" i="4"/>
  <c r="G150" i="4"/>
  <c r="H150" i="4"/>
  <c r="I150" i="4"/>
  <c r="A151" i="4"/>
  <c r="B151" i="4"/>
  <c r="D151" i="4"/>
  <c r="E151" i="4"/>
  <c r="F151" i="4"/>
  <c r="G151" i="4"/>
  <c r="H151" i="4"/>
  <c r="I151" i="4"/>
  <c r="A152" i="4"/>
  <c r="B152" i="4"/>
  <c r="D152" i="4"/>
  <c r="E152" i="4"/>
  <c r="F152" i="4"/>
  <c r="G152" i="4"/>
  <c r="H152" i="4"/>
  <c r="I152" i="4"/>
  <c r="A153" i="4"/>
  <c r="B153" i="4"/>
  <c r="D153" i="4"/>
  <c r="E153" i="4"/>
  <c r="F153" i="4"/>
  <c r="G153" i="4"/>
  <c r="H153" i="4"/>
  <c r="I153" i="4"/>
  <c r="A154" i="4"/>
  <c r="B154" i="4"/>
  <c r="D154" i="4"/>
  <c r="E154" i="4"/>
  <c r="F154" i="4"/>
  <c r="G154" i="4"/>
  <c r="H154" i="4"/>
  <c r="I154" i="4"/>
  <c r="A155" i="4"/>
  <c r="B155" i="4"/>
  <c r="D155" i="4"/>
  <c r="E155" i="4"/>
  <c r="F155" i="4"/>
  <c r="G155" i="4"/>
  <c r="H155" i="4"/>
  <c r="I155" i="4"/>
  <c r="A156" i="4"/>
  <c r="B156" i="4"/>
  <c r="D156" i="4"/>
  <c r="E156" i="4"/>
  <c r="F156" i="4"/>
  <c r="G156" i="4"/>
  <c r="H156" i="4"/>
  <c r="I156" i="4"/>
  <c r="A157" i="4"/>
  <c r="B157" i="4"/>
  <c r="D157" i="4"/>
  <c r="E157" i="4"/>
  <c r="F157" i="4"/>
  <c r="G157" i="4"/>
  <c r="H157" i="4"/>
  <c r="I157" i="4"/>
  <c r="A158" i="4"/>
  <c r="B158" i="4"/>
  <c r="D158" i="4"/>
  <c r="E158" i="4"/>
  <c r="F158" i="4"/>
  <c r="G158" i="4"/>
  <c r="H158" i="4"/>
  <c r="I158" i="4"/>
  <c r="A159" i="4"/>
  <c r="B159" i="4"/>
  <c r="D159" i="4"/>
  <c r="E159" i="4"/>
  <c r="F159" i="4"/>
  <c r="G159" i="4"/>
  <c r="H159" i="4"/>
  <c r="I159" i="4"/>
  <c r="A160" i="4"/>
  <c r="B160" i="4"/>
  <c r="D160" i="4"/>
  <c r="E160" i="4"/>
  <c r="F160" i="4"/>
  <c r="G160" i="4"/>
  <c r="H160" i="4"/>
  <c r="I160" i="4"/>
  <c r="A161" i="4"/>
  <c r="B161" i="4"/>
  <c r="D161" i="4"/>
  <c r="E161" i="4"/>
  <c r="F161" i="4"/>
  <c r="G161" i="4"/>
  <c r="H161" i="4"/>
  <c r="I161" i="4"/>
  <c r="A162" i="4"/>
  <c r="B162" i="4"/>
  <c r="D162" i="4"/>
  <c r="E162" i="4"/>
  <c r="F162" i="4"/>
  <c r="G162" i="4"/>
  <c r="H162" i="4"/>
  <c r="I162" i="4"/>
  <c r="A163" i="4"/>
  <c r="B163" i="4"/>
  <c r="D163" i="4"/>
  <c r="E163" i="4"/>
  <c r="F163" i="4"/>
  <c r="G163" i="4"/>
  <c r="H163" i="4"/>
  <c r="I163" i="4"/>
  <c r="A164" i="4"/>
  <c r="B164" i="4"/>
  <c r="D164" i="4"/>
  <c r="E164" i="4"/>
  <c r="F164" i="4"/>
  <c r="G164" i="4"/>
  <c r="H164" i="4"/>
  <c r="I164" i="4"/>
  <c r="A165" i="4"/>
  <c r="B165" i="4"/>
  <c r="D165" i="4"/>
  <c r="E165" i="4"/>
  <c r="F165" i="4"/>
  <c r="G165" i="4"/>
  <c r="H165" i="4"/>
  <c r="I165" i="4"/>
  <c r="A166" i="4"/>
  <c r="B166" i="4"/>
  <c r="D166" i="4"/>
  <c r="E166" i="4"/>
  <c r="F166" i="4"/>
  <c r="G166" i="4"/>
  <c r="H166" i="4"/>
  <c r="I166" i="4"/>
  <c r="A167" i="4"/>
  <c r="B167" i="4"/>
  <c r="D167" i="4"/>
  <c r="E167" i="4"/>
  <c r="F167" i="4"/>
  <c r="G167" i="4"/>
  <c r="H167" i="4"/>
  <c r="I167" i="4"/>
  <c r="A168" i="4"/>
  <c r="B168" i="4"/>
  <c r="D168" i="4"/>
  <c r="E168" i="4"/>
  <c r="F168" i="4"/>
  <c r="G168" i="4"/>
  <c r="H168" i="4"/>
  <c r="I168" i="4"/>
  <c r="A169" i="4"/>
  <c r="B169" i="4"/>
  <c r="D169" i="4"/>
  <c r="E169" i="4"/>
  <c r="F169" i="4"/>
  <c r="G169" i="4"/>
  <c r="H169" i="4"/>
  <c r="I169" i="4"/>
  <c r="A170" i="4"/>
  <c r="B170" i="4"/>
  <c r="D170" i="4"/>
  <c r="E170" i="4"/>
  <c r="F170" i="4"/>
  <c r="G170" i="4"/>
  <c r="H170" i="4"/>
  <c r="I170" i="4"/>
  <c r="A171" i="4"/>
  <c r="B171" i="4"/>
  <c r="D171" i="4"/>
  <c r="E171" i="4"/>
  <c r="F171" i="4"/>
  <c r="G171" i="4"/>
  <c r="H171" i="4"/>
  <c r="I171" i="4"/>
  <c r="A172" i="4"/>
  <c r="B172" i="4"/>
  <c r="D172" i="4"/>
  <c r="E172" i="4"/>
  <c r="F172" i="4"/>
  <c r="G172" i="4"/>
  <c r="H172" i="4"/>
  <c r="I172" i="4"/>
  <c r="A173" i="4"/>
  <c r="B173" i="4"/>
  <c r="D173" i="4"/>
  <c r="E173" i="4"/>
  <c r="F173" i="4"/>
  <c r="G173" i="4"/>
  <c r="H173" i="4"/>
  <c r="I173" i="4"/>
  <c r="A174" i="4"/>
  <c r="B174" i="4"/>
  <c r="D174" i="4"/>
  <c r="E174" i="4"/>
  <c r="F174" i="4"/>
  <c r="G174" i="4"/>
  <c r="H174" i="4"/>
  <c r="I174" i="4"/>
  <c r="A175" i="4"/>
  <c r="B175" i="4"/>
  <c r="D175" i="4"/>
  <c r="E175" i="4"/>
  <c r="F175" i="4"/>
  <c r="G175" i="4"/>
  <c r="H175" i="4"/>
  <c r="I175" i="4"/>
  <c r="A176" i="4"/>
  <c r="B176" i="4"/>
  <c r="D176" i="4"/>
  <c r="E176" i="4"/>
  <c r="F176" i="4"/>
  <c r="G176" i="4"/>
  <c r="H176" i="4"/>
  <c r="I176" i="4"/>
  <c r="A177" i="4"/>
  <c r="B177" i="4"/>
  <c r="D177" i="4"/>
  <c r="E177" i="4"/>
  <c r="F177" i="4"/>
  <c r="G177" i="4"/>
  <c r="H177" i="4"/>
  <c r="I177" i="4"/>
  <c r="A178" i="4"/>
  <c r="B178" i="4"/>
  <c r="D178" i="4"/>
  <c r="E178" i="4"/>
  <c r="F178" i="4"/>
  <c r="G178" i="4"/>
  <c r="H178" i="4"/>
  <c r="I178" i="4"/>
  <c r="A179" i="4"/>
  <c r="B179" i="4"/>
  <c r="D179" i="4"/>
  <c r="E179" i="4"/>
  <c r="F179" i="4"/>
  <c r="G179" i="4"/>
  <c r="H179" i="4"/>
  <c r="I179" i="4"/>
  <c r="A180" i="4"/>
  <c r="B180" i="4"/>
  <c r="D180" i="4"/>
  <c r="E180" i="4"/>
  <c r="F180" i="4"/>
  <c r="G180" i="4"/>
  <c r="H180" i="4"/>
  <c r="I180" i="4"/>
  <c r="A181" i="4"/>
  <c r="B181" i="4"/>
  <c r="D181" i="4"/>
  <c r="E181" i="4"/>
  <c r="F181" i="4"/>
  <c r="G181" i="4"/>
  <c r="H181" i="4"/>
  <c r="I181" i="4"/>
  <c r="A182" i="4"/>
  <c r="B182" i="4"/>
  <c r="D182" i="4"/>
  <c r="E182" i="4"/>
  <c r="F182" i="4"/>
  <c r="G182" i="4"/>
  <c r="H182" i="4"/>
  <c r="I182" i="4"/>
  <c r="A183" i="4"/>
  <c r="B183" i="4"/>
  <c r="D183" i="4"/>
  <c r="E183" i="4"/>
  <c r="F183" i="4"/>
  <c r="G183" i="4"/>
  <c r="H183" i="4"/>
  <c r="I183" i="4"/>
  <c r="A184" i="4"/>
  <c r="B184" i="4"/>
  <c r="D184" i="4"/>
  <c r="E184" i="4"/>
  <c r="F184" i="4"/>
  <c r="G184" i="4"/>
  <c r="H184" i="4"/>
  <c r="I184" i="4"/>
  <c r="A185" i="4"/>
  <c r="B185" i="4"/>
  <c r="D185" i="4"/>
  <c r="E185" i="4"/>
  <c r="F185" i="4"/>
  <c r="G185" i="4"/>
  <c r="H185" i="4"/>
  <c r="I185" i="4"/>
  <c r="A186" i="4"/>
  <c r="B186" i="4"/>
  <c r="D186" i="4"/>
  <c r="E186" i="4"/>
  <c r="F186" i="4"/>
  <c r="G186" i="4"/>
  <c r="H186" i="4"/>
  <c r="I186" i="4"/>
  <c r="A187" i="4"/>
  <c r="B187" i="4"/>
  <c r="D187" i="4"/>
  <c r="E187" i="4"/>
  <c r="F187" i="4"/>
  <c r="G187" i="4"/>
  <c r="H187" i="4"/>
  <c r="I187" i="4"/>
  <c r="A188" i="4"/>
  <c r="B188" i="4"/>
  <c r="D188" i="4"/>
  <c r="E188" i="4"/>
  <c r="F188" i="4"/>
  <c r="G188" i="4"/>
  <c r="H188" i="4"/>
  <c r="I188" i="4"/>
  <c r="A189" i="4"/>
  <c r="B189" i="4"/>
  <c r="D189" i="4"/>
  <c r="E189" i="4"/>
  <c r="F189" i="4"/>
  <c r="G189" i="4"/>
  <c r="H189" i="4"/>
  <c r="I189" i="4"/>
  <c r="A190" i="4"/>
  <c r="B190" i="4"/>
  <c r="D190" i="4"/>
  <c r="E190" i="4"/>
  <c r="F190" i="4"/>
  <c r="G190" i="4"/>
  <c r="H190" i="4"/>
  <c r="I190" i="4"/>
  <c r="A191" i="4"/>
  <c r="B191" i="4"/>
  <c r="D191" i="4"/>
  <c r="E191" i="4"/>
  <c r="F191" i="4"/>
  <c r="G191" i="4"/>
  <c r="H191" i="4"/>
  <c r="I191" i="4"/>
  <c r="A192" i="4"/>
  <c r="B192" i="4"/>
  <c r="D192" i="4"/>
  <c r="E192" i="4"/>
  <c r="F192" i="4"/>
  <c r="G192" i="4"/>
  <c r="H192" i="4"/>
  <c r="I192" i="4"/>
  <c r="A193" i="4"/>
  <c r="B193" i="4"/>
  <c r="D193" i="4"/>
  <c r="E193" i="4"/>
  <c r="F193" i="4"/>
  <c r="G193" i="4"/>
  <c r="H193" i="4"/>
  <c r="I193" i="4"/>
  <c r="A194" i="4"/>
  <c r="B194" i="4"/>
  <c r="D194" i="4"/>
  <c r="E194" i="4"/>
  <c r="F194" i="4"/>
  <c r="G194" i="4"/>
  <c r="H194" i="4"/>
  <c r="I194" i="4"/>
  <c r="A195" i="4"/>
  <c r="B195" i="4"/>
  <c r="D195" i="4"/>
  <c r="E195" i="4"/>
  <c r="F195" i="4"/>
  <c r="G195" i="4"/>
  <c r="H195" i="4"/>
  <c r="I195" i="4"/>
  <c r="A196" i="4"/>
  <c r="B196" i="4"/>
  <c r="D196" i="4"/>
  <c r="E196" i="4"/>
  <c r="F196" i="4"/>
  <c r="G196" i="4"/>
  <c r="H196" i="4"/>
  <c r="I196" i="4"/>
  <c r="A197" i="4"/>
  <c r="B197" i="4"/>
  <c r="D197" i="4"/>
  <c r="E197" i="4"/>
  <c r="F197" i="4"/>
  <c r="G197" i="4"/>
  <c r="H197" i="4"/>
  <c r="I197" i="4"/>
  <c r="A198" i="4"/>
  <c r="B198" i="4"/>
  <c r="D198" i="4"/>
  <c r="E198" i="4"/>
  <c r="F198" i="4"/>
  <c r="G198" i="4"/>
  <c r="H198" i="4"/>
  <c r="I198" i="4"/>
  <c r="A199" i="4"/>
  <c r="B199" i="4"/>
  <c r="D199" i="4"/>
  <c r="E199" i="4"/>
  <c r="F199" i="4"/>
  <c r="G199" i="4"/>
  <c r="H199" i="4"/>
  <c r="I199" i="4"/>
  <c r="A200" i="4"/>
  <c r="B200" i="4"/>
  <c r="D200" i="4"/>
  <c r="E200" i="4"/>
  <c r="F200" i="4"/>
  <c r="G200" i="4"/>
  <c r="H200" i="4"/>
  <c r="I200" i="4"/>
  <c r="A201" i="4"/>
  <c r="B201" i="4"/>
  <c r="D201" i="4"/>
  <c r="E201" i="4"/>
  <c r="F201" i="4"/>
  <c r="G201" i="4"/>
  <c r="H201" i="4"/>
  <c r="I201" i="4"/>
  <c r="A202" i="4"/>
  <c r="B202" i="4"/>
  <c r="D202" i="4"/>
  <c r="E202" i="4"/>
  <c r="F202" i="4"/>
  <c r="G202" i="4"/>
  <c r="H202" i="4"/>
  <c r="I202" i="4"/>
  <c r="A203" i="4"/>
  <c r="B203" i="4"/>
  <c r="D203" i="4"/>
  <c r="E203" i="4"/>
  <c r="F203" i="4"/>
  <c r="G203" i="4"/>
  <c r="H203" i="4"/>
  <c r="I203" i="4"/>
  <c r="A204" i="4"/>
  <c r="B204" i="4"/>
  <c r="D204" i="4"/>
  <c r="E204" i="4"/>
  <c r="F204" i="4"/>
  <c r="G204" i="4"/>
  <c r="H204" i="4"/>
  <c r="I204" i="4"/>
  <c r="A205" i="4"/>
  <c r="B205" i="4"/>
  <c r="D205" i="4"/>
  <c r="E205" i="4"/>
  <c r="F205" i="4"/>
  <c r="G205" i="4"/>
  <c r="H205" i="4"/>
  <c r="I205" i="4"/>
  <c r="A206" i="4"/>
  <c r="B206" i="4"/>
  <c r="D206" i="4"/>
  <c r="E206" i="4"/>
  <c r="F206" i="4"/>
  <c r="G206" i="4"/>
  <c r="H206" i="4"/>
  <c r="I206" i="4"/>
  <c r="A207" i="4"/>
  <c r="B207" i="4"/>
  <c r="D207" i="4"/>
  <c r="E207" i="4"/>
  <c r="F207" i="4"/>
  <c r="G207" i="4"/>
  <c r="H207" i="4"/>
  <c r="I207" i="4"/>
  <c r="A208" i="4"/>
  <c r="B208" i="4"/>
  <c r="D208" i="4"/>
  <c r="E208" i="4"/>
  <c r="F208" i="4"/>
  <c r="G208" i="4"/>
  <c r="H208" i="4"/>
  <c r="I208" i="4"/>
  <c r="A209" i="4"/>
  <c r="B209" i="4"/>
  <c r="D209" i="4"/>
  <c r="E209" i="4"/>
  <c r="F209" i="4"/>
  <c r="G209" i="4"/>
  <c r="H209" i="4"/>
  <c r="I209" i="4"/>
  <c r="A210" i="4"/>
  <c r="B210" i="4"/>
  <c r="D210" i="4"/>
  <c r="E210" i="4"/>
  <c r="F210" i="4"/>
  <c r="G210" i="4"/>
  <c r="H210" i="4"/>
  <c r="I210" i="4"/>
  <c r="A211" i="4"/>
  <c r="B211" i="4"/>
  <c r="D211" i="4"/>
  <c r="E211" i="4"/>
  <c r="F211" i="4"/>
  <c r="G211" i="4"/>
  <c r="H211" i="4"/>
  <c r="I211" i="4"/>
  <c r="A212" i="4"/>
  <c r="B212" i="4"/>
  <c r="D212" i="4"/>
  <c r="E212" i="4"/>
  <c r="F212" i="4"/>
  <c r="G212" i="4"/>
  <c r="H212" i="4"/>
  <c r="I212" i="4"/>
  <c r="A213" i="4"/>
  <c r="B213" i="4"/>
  <c r="D213" i="4"/>
  <c r="E213" i="4"/>
  <c r="F213" i="4"/>
  <c r="G213" i="4"/>
  <c r="H213" i="4"/>
  <c r="I213" i="4"/>
  <c r="A214" i="4"/>
  <c r="B214" i="4"/>
  <c r="D214" i="4"/>
  <c r="E214" i="4"/>
  <c r="F214" i="4"/>
  <c r="G214" i="4"/>
  <c r="H214" i="4"/>
  <c r="I214" i="4"/>
  <c r="A215" i="4"/>
  <c r="B215" i="4"/>
  <c r="D215" i="4"/>
  <c r="E215" i="4"/>
  <c r="F215" i="4"/>
  <c r="G215" i="4"/>
  <c r="H215" i="4"/>
  <c r="I215" i="4"/>
  <c r="A216" i="4"/>
  <c r="B216" i="4"/>
  <c r="D216" i="4"/>
  <c r="E216" i="4"/>
  <c r="F216" i="4"/>
  <c r="G216" i="4"/>
  <c r="H216" i="4"/>
  <c r="I216" i="4"/>
  <c r="A217" i="4"/>
  <c r="B217" i="4"/>
  <c r="D217" i="4"/>
  <c r="E217" i="4"/>
  <c r="F217" i="4"/>
  <c r="G217" i="4"/>
  <c r="H217" i="4"/>
  <c r="I217" i="4"/>
  <c r="A218" i="4"/>
  <c r="B218" i="4"/>
  <c r="D218" i="4"/>
  <c r="E218" i="4"/>
  <c r="F218" i="4"/>
  <c r="G218" i="4"/>
  <c r="H218" i="4"/>
  <c r="I218" i="4"/>
  <c r="A219" i="4"/>
  <c r="B219" i="4"/>
  <c r="D219" i="4"/>
  <c r="E219" i="4"/>
  <c r="F219" i="4"/>
  <c r="G219" i="4"/>
  <c r="H219" i="4"/>
  <c r="I219" i="4"/>
  <c r="A220" i="4"/>
  <c r="B220" i="4"/>
  <c r="D220" i="4"/>
  <c r="E220" i="4"/>
  <c r="F220" i="4"/>
  <c r="G220" i="4"/>
  <c r="H220" i="4"/>
  <c r="I220" i="4"/>
  <c r="A221" i="4"/>
  <c r="B221" i="4"/>
  <c r="D221" i="4"/>
  <c r="E221" i="4"/>
  <c r="F221" i="4"/>
  <c r="G221" i="4"/>
  <c r="H221" i="4"/>
  <c r="I221" i="4"/>
  <c r="A222" i="4"/>
  <c r="B222" i="4"/>
  <c r="D222" i="4"/>
  <c r="E222" i="4"/>
  <c r="F222" i="4"/>
  <c r="G222" i="4"/>
  <c r="H222" i="4"/>
  <c r="I222" i="4"/>
  <c r="A223" i="4"/>
  <c r="B223" i="4"/>
  <c r="D223" i="4"/>
  <c r="E223" i="4"/>
  <c r="F223" i="4"/>
  <c r="G223" i="4"/>
  <c r="H223" i="4"/>
  <c r="I223" i="4"/>
  <c r="A224" i="4"/>
  <c r="B224" i="4"/>
  <c r="D224" i="4"/>
  <c r="E224" i="4"/>
  <c r="F224" i="4"/>
  <c r="G224" i="4"/>
  <c r="H224" i="4"/>
  <c r="I224" i="4"/>
  <c r="A225" i="4"/>
  <c r="B225" i="4"/>
  <c r="D225" i="4"/>
  <c r="E225" i="4"/>
  <c r="F225" i="4"/>
  <c r="G225" i="4"/>
  <c r="H225" i="4"/>
  <c r="I225" i="4"/>
  <c r="A226" i="4"/>
  <c r="B226" i="4"/>
  <c r="D226" i="4"/>
  <c r="E226" i="4"/>
  <c r="F226" i="4"/>
  <c r="G226" i="4"/>
  <c r="H226" i="4"/>
  <c r="I226" i="4"/>
  <c r="A227" i="4"/>
  <c r="B227" i="4"/>
  <c r="D227" i="4"/>
  <c r="E227" i="4"/>
  <c r="F227" i="4"/>
  <c r="G227" i="4"/>
  <c r="H227" i="4"/>
  <c r="I227" i="4"/>
  <c r="A228" i="4"/>
  <c r="B228" i="4"/>
  <c r="D228" i="4"/>
  <c r="E228" i="4"/>
  <c r="F228" i="4"/>
  <c r="G228" i="4"/>
  <c r="H228" i="4"/>
  <c r="I228" i="4"/>
  <c r="A229" i="4"/>
  <c r="B229" i="4"/>
  <c r="D229" i="4"/>
  <c r="E229" i="4"/>
  <c r="F229" i="4"/>
  <c r="G229" i="4"/>
  <c r="H229" i="4"/>
  <c r="I229" i="4"/>
  <c r="A230" i="4"/>
  <c r="B230" i="4"/>
  <c r="D230" i="4"/>
  <c r="E230" i="4"/>
  <c r="F230" i="4"/>
  <c r="G230" i="4"/>
  <c r="H230" i="4"/>
  <c r="I230" i="4"/>
  <c r="A231" i="4"/>
  <c r="B231" i="4"/>
  <c r="D231" i="4"/>
  <c r="E231" i="4"/>
  <c r="F231" i="4"/>
  <c r="G231" i="4"/>
  <c r="H231" i="4"/>
  <c r="I231" i="4"/>
  <c r="A232" i="4"/>
  <c r="B232" i="4"/>
  <c r="D232" i="4"/>
  <c r="E232" i="4"/>
  <c r="F232" i="4"/>
  <c r="G232" i="4"/>
  <c r="H232" i="4"/>
  <c r="I232" i="4"/>
  <c r="A233" i="4"/>
  <c r="B233" i="4"/>
  <c r="D233" i="4"/>
  <c r="E233" i="4"/>
  <c r="F233" i="4"/>
  <c r="G233" i="4"/>
  <c r="H233" i="4"/>
  <c r="I233" i="4"/>
  <c r="A234" i="4"/>
  <c r="B234" i="4"/>
  <c r="D234" i="4"/>
  <c r="E234" i="4"/>
  <c r="F234" i="4"/>
  <c r="G234" i="4"/>
  <c r="H234" i="4"/>
  <c r="I234" i="4"/>
  <c r="A235" i="4"/>
  <c r="B235" i="4"/>
  <c r="D235" i="4"/>
  <c r="E235" i="4"/>
  <c r="F235" i="4"/>
  <c r="G235" i="4"/>
  <c r="H235" i="4"/>
  <c r="I235" i="4"/>
  <c r="A236" i="4"/>
  <c r="B236" i="4"/>
  <c r="D236" i="4"/>
  <c r="E236" i="4"/>
  <c r="F236" i="4"/>
  <c r="G236" i="4"/>
  <c r="H236" i="4"/>
  <c r="I236" i="4"/>
  <c r="A237" i="4"/>
  <c r="B237" i="4"/>
  <c r="D237" i="4"/>
  <c r="E237" i="4"/>
  <c r="F237" i="4"/>
  <c r="G237" i="4"/>
  <c r="H237" i="4"/>
  <c r="I237" i="4"/>
  <c r="A238" i="4"/>
  <c r="B238" i="4"/>
  <c r="D238" i="4"/>
  <c r="E238" i="4"/>
  <c r="F238" i="4"/>
  <c r="G238" i="4"/>
  <c r="H238" i="4"/>
  <c r="I238" i="4"/>
  <c r="A239" i="4"/>
  <c r="B239" i="4"/>
  <c r="D239" i="4"/>
  <c r="E239" i="4"/>
  <c r="F239" i="4"/>
  <c r="G239" i="4"/>
  <c r="H239" i="4"/>
  <c r="I239" i="4"/>
  <c r="A240" i="4"/>
  <c r="B240" i="4"/>
  <c r="D240" i="4"/>
  <c r="E240" i="4"/>
  <c r="F240" i="4"/>
  <c r="G240" i="4"/>
  <c r="H240" i="4"/>
  <c r="I240" i="4"/>
  <c r="A241" i="4"/>
  <c r="B241" i="4"/>
  <c r="D241" i="4"/>
  <c r="E241" i="4"/>
  <c r="F241" i="4"/>
  <c r="G241" i="4"/>
  <c r="H241" i="4"/>
  <c r="I241" i="4"/>
  <c r="A242" i="4"/>
  <c r="B242" i="4"/>
  <c r="D242" i="4"/>
  <c r="E242" i="4"/>
  <c r="F242" i="4"/>
  <c r="G242" i="4"/>
  <c r="H242" i="4"/>
  <c r="I242" i="4"/>
  <c r="A243" i="4"/>
  <c r="B243" i="4"/>
  <c r="D243" i="4"/>
  <c r="E243" i="4"/>
  <c r="F243" i="4"/>
  <c r="G243" i="4"/>
  <c r="H243" i="4"/>
  <c r="I243" i="4"/>
  <c r="A244" i="4"/>
  <c r="B244" i="4"/>
  <c r="D244" i="4"/>
  <c r="E244" i="4"/>
  <c r="F244" i="4"/>
  <c r="G244" i="4"/>
  <c r="H244" i="4"/>
  <c r="I244" i="4"/>
  <c r="A245" i="4"/>
  <c r="B245" i="4"/>
  <c r="D245" i="4"/>
  <c r="E245" i="4"/>
  <c r="F245" i="4"/>
  <c r="G245" i="4"/>
  <c r="H245" i="4"/>
  <c r="I245" i="4"/>
  <c r="A246" i="4"/>
  <c r="B246" i="4"/>
  <c r="D246" i="4"/>
  <c r="E246" i="4"/>
  <c r="F246" i="4"/>
  <c r="G246" i="4"/>
  <c r="H246" i="4"/>
  <c r="I246" i="4"/>
  <c r="A247" i="4"/>
  <c r="B247" i="4"/>
  <c r="D247" i="4"/>
  <c r="E247" i="4"/>
  <c r="F247" i="4"/>
  <c r="G247" i="4"/>
  <c r="H247" i="4"/>
  <c r="I247" i="4"/>
  <c r="A248" i="4"/>
  <c r="B248" i="4"/>
  <c r="D248" i="4"/>
  <c r="E248" i="4"/>
  <c r="F248" i="4"/>
  <c r="G248" i="4"/>
  <c r="H248" i="4"/>
  <c r="I248" i="4"/>
  <c r="A249" i="4"/>
  <c r="B249" i="4"/>
  <c r="D249" i="4"/>
  <c r="E249" i="4"/>
  <c r="F249" i="4"/>
  <c r="G249" i="4"/>
  <c r="H249" i="4"/>
  <c r="I249" i="4"/>
  <c r="A250" i="4"/>
  <c r="B250" i="4"/>
  <c r="D250" i="4"/>
  <c r="E250" i="4"/>
  <c r="F250" i="4"/>
  <c r="G250" i="4"/>
  <c r="H250" i="4"/>
  <c r="I250" i="4"/>
  <c r="A251" i="4"/>
  <c r="B251" i="4"/>
  <c r="D251" i="4"/>
  <c r="E251" i="4"/>
  <c r="F251" i="4"/>
  <c r="G251" i="4"/>
  <c r="H251" i="4"/>
  <c r="I251" i="4"/>
  <c r="A252" i="4"/>
  <c r="B252" i="4"/>
  <c r="D252" i="4"/>
  <c r="E252" i="4"/>
  <c r="F252" i="4"/>
  <c r="G252" i="4"/>
  <c r="H252" i="4"/>
  <c r="I252" i="4"/>
  <c r="A253" i="4"/>
  <c r="B253" i="4"/>
  <c r="D253" i="4"/>
  <c r="E253" i="4"/>
  <c r="F253" i="4"/>
  <c r="G253" i="4"/>
  <c r="H253" i="4"/>
  <c r="I253" i="4"/>
  <c r="A254" i="4"/>
  <c r="B254" i="4"/>
  <c r="D254" i="4"/>
  <c r="E254" i="4"/>
  <c r="F254" i="4"/>
  <c r="G254" i="4"/>
  <c r="H254" i="4"/>
  <c r="I254" i="4"/>
  <c r="A255" i="4"/>
  <c r="B255" i="4"/>
  <c r="D255" i="4"/>
  <c r="E255" i="4"/>
  <c r="F255" i="4"/>
  <c r="G255" i="4"/>
  <c r="H255" i="4"/>
  <c r="I255" i="4"/>
  <c r="A256" i="4"/>
  <c r="B256" i="4"/>
  <c r="D256" i="4"/>
  <c r="E256" i="4"/>
  <c r="F256" i="4"/>
  <c r="G256" i="4"/>
  <c r="H256" i="4"/>
  <c r="I256" i="4"/>
  <c r="A257" i="4"/>
  <c r="B257" i="4"/>
  <c r="D257" i="4"/>
  <c r="E257" i="4"/>
  <c r="F257" i="4"/>
  <c r="G257" i="4"/>
  <c r="H257" i="4"/>
  <c r="I257" i="4"/>
  <c r="A258" i="4"/>
  <c r="B258" i="4"/>
  <c r="D258" i="4"/>
  <c r="E258" i="4"/>
  <c r="F258" i="4"/>
  <c r="G258" i="4"/>
  <c r="H258" i="4"/>
  <c r="I258" i="4"/>
  <c r="A259" i="4"/>
  <c r="B259" i="4"/>
  <c r="D259" i="4"/>
  <c r="E259" i="4"/>
  <c r="F259" i="4"/>
  <c r="G259" i="4"/>
  <c r="H259" i="4"/>
  <c r="I259" i="4"/>
  <c r="A260" i="4"/>
  <c r="B260" i="4"/>
  <c r="D260" i="4"/>
  <c r="E260" i="4"/>
  <c r="F260" i="4"/>
  <c r="G260" i="4"/>
  <c r="H260" i="4"/>
  <c r="I260" i="4"/>
  <c r="A261" i="4"/>
  <c r="B261" i="4"/>
  <c r="D261" i="4"/>
  <c r="E261" i="4"/>
  <c r="F261" i="4"/>
  <c r="G261" i="4"/>
  <c r="H261" i="4"/>
  <c r="I261" i="4"/>
  <c r="A262" i="4"/>
  <c r="B262" i="4"/>
  <c r="D262" i="4"/>
  <c r="E262" i="4"/>
  <c r="F262" i="4"/>
  <c r="G262" i="4"/>
  <c r="H262" i="4"/>
  <c r="I262" i="4"/>
  <c r="A263" i="4"/>
  <c r="B263" i="4"/>
  <c r="D263" i="4"/>
  <c r="E263" i="4"/>
  <c r="F263" i="4"/>
  <c r="G263" i="4"/>
  <c r="H263" i="4"/>
  <c r="I263" i="4"/>
  <c r="A264" i="4"/>
  <c r="B264" i="4"/>
  <c r="D264" i="4"/>
  <c r="E264" i="4"/>
  <c r="F264" i="4"/>
  <c r="G264" i="4"/>
  <c r="H264" i="4"/>
  <c r="I264" i="4"/>
  <c r="A265" i="4"/>
  <c r="B265" i="4"/>
  <c r="D265" i="4"/>
  <c r="E265" i="4"/>
  <c r="F265" i="4"/>
  <c r="G265" i="4"/>
  <c r="H265" i="4"/>
  <c r="I265" i="4"/>
  <c r="A266" i="4"/>
  <c r="B266" i="4"/>
  <c r="D266" i="4"/>
  <c r="E266" i="4"/>
  <c r="F266" i="4"/>
  <c r="G266" i="4"/>
  <c r="H266" i="4"/>
  <c r="I266" i="4"/>
  <c r="A267" i="4"/>
  <c r="B267" i="4"/>
  <c r="D267" i="4"/>
  <c r="E267" i="4"/>
  <c r="F267" i="4"/>
  <c r="G267" i="4"/>
  <c r="H267" i="4"/>
  <c r="I267" i="4"/>
  <c r="A268" i="4"/>
  <c r="B268" i="4"/>
  <c r="D268" i="4"/>
  <c r="E268" i="4"/>
  <c r="F268" i="4"/>
  <c r="G268" i="4"/>
  <c r="H268" i="4"/>
  <c r="I268" i="4"/>
  <c r="A269" i="4"/>
  <c r="B269" i="4"/>
  <c r="D269" i="4"/>
  <c r="E269" i="4"/>
  <c r="F269" i="4"/>
  <c r="G269" i="4"/>
  <c r="H269" i="4"/>
  <c r="I269" i="4"/>
  <c r="A270" i="4"/>
  <c r="B270" i="4"/>
  <c r="D270" i="4"/>
  <c r="E270" i="4"/>
  <c r="F270" i="4"/>
  <c r="G270" i="4"/>
  <c r="H270" i="4"/>
  <c r="I270" i="4"/>
  <c r="A271" i="4"/>
  <c r="B271" i="4"/>
  <c r="D271" i="4"/>
  <c r="E271" i="4"/>
  <c r="F271" i="4"/>
  <c r="G271" i="4"/>
  <c r="H271" i="4"/>
  <c r="I271" i="4"/>
  <c r="A272" i="4"/>
  <c r="B272" i="4"/>
  <c r="D272" i="4"/>
  <c r="E272" i="4"/>
  <c r="F272" i="4"/>
  <c r="G272" i="4"/>
  <c r="H272" i="4"/>
  <c r="I272" i="4"/>
  <c r="A273" i="4"/>
  <c r="B273" i="4"/>
  <c r="D273" i="4"/>
  <c r="E273" i="4"/>
  <c r="F273" i="4"/>
  <c r="G273" i="4"/>
  <c r="H273" i="4"/>
  <c r="I273" i="4"/>
  <c r="A274" i="4"/>
  <c r="B274" i="4"/>
  <c r="D274" i="4"/>
  <c r="E274" i="4"/>
  <c r="F274" i="4"/>
  <c r="G274" i="4"/>
  <c r="H274" i="4"/>
  <c r="I274" i="4"/>
  <c r="A275" i="4"/>
  <c r="B275" i="4"/>
  <c r="D275" i="4"/>
  <c r="E275" i="4"/>
  <c r="F275" i="4"/>
  <c r="G275" i="4"/>
  <c r="H275" i="4"/>
  <c r="I275" i="4"/>
  <c r="A276" i="4"/>
  <c r="B276" i="4"/>
  <c r="D276" i="4"/>
  <c r="E276" i="4"/>
  <c r="F276" i="4"/>
  <c r="G276" i="4"/>
  <c r="H276" i="4"/>
  <c r="I276" i="4"/>
  <c r="A277" i="4"/>
  <c r="B277" i="4"/>
  <c r="D277" i="4"/>
  <c r="E277" i="4"/>
  <c r="F277" i="4"/>
  <c r="G277" i="4"/>
  <c r="H277" i="4"/>
  <c r="I277" i="4"/>
  <c r="A278" i="4"/>
  <c r="B278" i="4"/>
  <c r="D278" i="4"/>
  <c r="E278" i="4"/>
  <c r="F278" i="4"/>
  <c r="G278" i="4"/>
  <c r="H278" i="4"/>
  <c r="I278" i="4"/>
  <c r="A279" i="4"/>
  <c r="B279" i="4"/>
  <c r="D279" i="4"/>
  <c r="E279" i="4"/>
  <c r="F279" i="4"/>
  <c r="G279" i="4"/>
  <c r="H279" i="4"/>
  <c r="I279" i="4"/>
  <c r="A280" i="4"/>
  <c r="B280" i="4"/>
  <c r="D280" i="4"/>
  <c r="E280" i="4"/>
  <c r="F280" i="4"/>
  <c r="G280" i="4"/>
  <c r="H280" i="4"/>
  <c r="I280" i="4"/>
  <c r="A281" i="4"/>
  <c r="B281" i="4"/>
  <c r="D281" i="4"/>
  <c r="E281" i="4"/>
  <c r="F281" i="4"/>
  <c r="G281" i="4"/>
  <c r="H281" i="4"/>
  <c r="I281" i="4"/>
  <c r="A282" i="4"/>
  <c r="B282" i="4"/>
  <c r="D282" i="4"/>
  <c r="E282" i="4"/>
  <c r="F282" i="4"/>
  <c r="G282" i="4"/>
  <c r="H282" i="4"/>
  <c r="I282" i="4"/>
  <c r="A283" i="4"/>
  <c r="B283" i="4"/>
  <c r="D283" i="4"/>
  <c r="E283" i="4"/>
  <c r="F283" i="4"/>
  <c r="G283" i="4"/>
  <c r="H283" i="4"/>
  <c r="I283" i="4"/>
  <c r="A284" i="4"/>
  <c r="B284" i="4"/>
  <c r="D284" i="4"/>
  <c r="E284" i="4"/>
  <c r="F284" i="4"/>
  <c r="G284" i="4"/>
  <c r="H284" i="4"/>
  <c r="I284" i="4"/>
  <c r="A285" i="4"/>
  <c r="B285" i="4"/>
  <c r="D285" i="4"/>
  <c r="E285" i="4"/>
  <c r="F285" i="4"/>
  <c r="G285" i="4"/>
  <c r="H285" i="4"/>
  <c r="I285" i="4"/>
  <c r="A286" i="4"/>
  <c r="B286" i="4"/>
  <c r="D286" i="4"/>
  <c r="E286" i="4"/>
  <c r="F286" i="4"/>
  <c r="G286" i="4"/>
  <c r="H286" i="4"/>
  <c r="I286" i="4"/>
  <c r="A287" i="4"/>
  <c r="B287" i="4"/>
  <c r="D287" i="4"/>
  <c r="E287" i="4"/>
  <c r="F287" i="4"/>
  <c r="G287" i="4"/>
  <c r="H287" i="4"/>
  <c r="I287" i="4"/>
  <c r="A288" i="4"/>
  <c r="B288" i="4"/>
  <c r="D288" i="4"/>
  <c r="E288" i="4"/>
  <c r="F288" i="4"/>
  <c r="G288" i="4"/>
  <c r="H288" i="4"/>
  <c r="I288" i="4"/>
  <c r="A289" i="4"/>
  <c r="B289" i="4"/>
  <c r="D289" i="4"/>
  <c r="E289" i="4"/>
  <c r="F289" i="4"/>
  <c r="G289" i="4"/>
  <c r="H289" i="4"/>
  <c r="I289" i="4"/>
  <c r="A290" i="4"/>
  <c r="B290" i="4"/>
  <c r="D290" i="4"/>
  <c r="E290" i="4"/>
  <c r="F290" i="4"/>
  <c r="G290" i="4"/>
  <c r="H290" i="4"/>
  <c r="I290" i="4"/>
  <c r="A291" i="4"/>
  <c r="B291" i="4"/>
  <c r="D291" i="4"/>
  <c r="E291" i="4"/>
  <c r="F291" i="4"/>
  <c r="G291" i="4"/>
  <c r="H291" i="4"/>
  <c r="I291" i="4"/>
  <c r="A292" i="4"/>
  <c r="B292" i="4"/>
  <c r="D292" i="4"/>
  <c r="E292" i="4"/>
  <c r="F292" i="4"/>
  <c r="G292" i="4"/>
  <c r="H292" i="4"/>
  <c r="I292" i="4"/>
  <c r="A293" i="4"/>
  <c r="B293" i="4"/>
  <c r="D293" i="4"/>
  <c r="E293" i="4"/>
  <c r="F293" i="4"/>
  <c r="G293" i="4"/>
  <c r="H293" i="4"/>
  <c r="I293" i="4"/>
  <c r="A294" i="4"/>
  <c r="B294" i="4"/>
  <c r="D294" i="4"/>
  <c r="E294" i="4"/>
  <c r="F294" i="4"/>
  <c r="G294" i="4"/>
  <c r="H294" i="4"/>
  <c r="I294" i="4"/>
  <c r="A295" i="4"/>
  <c r="B295" i="4"/>
  <c r="D295" i="4"/>
  <c r="E295" i="4"/>
  <c r="F295" i="4"/>
  <c r="G295" i="4"/>
  <c r="H295" i="4"/>
  <c r="I295" i="4"/>
  <c r="A296" i="4"/>
  <c r="B296" i="4"/>
  <c r="D296" i="4"/>
  <c r="E296" i="4"/>
  <c r="F296" i="4"/>
  <c r="G296" i="4"/>
  <c r="H296" i="4"/>
  <c r="I296" i="4"/>
  <c r="A297" i="4"/>
  <c r="B297" i="4"/>
  <c r="D297" i="4"/>
  <c r="E297" i="4"/>
  <c r="F297" i="4"/>
  <c r="G297" i="4"/>
  <c r="H297" i="4"/>
  <c r="I297" i="4"/>
  <c r="A298" i="4"/>
  <c r="B298" i="4"/>
  <c r="D298" i="4"/>
  <c r="E298" i="4"/>
  <c r="F298" i="4"/>
  <c r="G298" i="4"/>
  <c r="H298" i="4"/>
  <c r="I298" i="4"/>
  <c r="A299" i="4"/>
  <c r="B299" i="4"/>
  <c r="D299" i="4"/>
  <c r="E299" i="4"/>
  <c r="F299" i="4"/>
  <c r="G299" i="4"/>
  <c r="H299" i="4"/>
  <c r="I299" i="4"/>
  <c r="A300" i="4"/>
  <c r="B300" i="4"/>
  <c r="D300" i="4"/>
  <c r="E300" i="4"/>
  <c r="F300" i="4"/>
  <c r="G300" i="4"/>
  <c r="H300" i="4"/>
  <c r="I300" i="4"/>
  <c r="A301" i="4"/>
  <c r="B301" i="4"/>
  <c r="D301" i="4"/>
  <c r="E301" i="4"/>
  <c r="F301" i="4"/>
  <c r="G301" i="4"/>
  <c r="H301" i="4"/>
  <c r="I301" i="4"/>
  <c r="A302" i="4"/>
  <c r="B302" i="4"/>
  <c r="D302" i="4"/>
  <c r="E302" i="4"/>
  <c r="F302" i="4"/>
  <c r="G302" i="4"/>
  <c r="H302" i="4"/>
  <c r="I302" i="4"/>
  <c r="A303" i="4"/>
  <c r="B303" i="4"/>
  <c r="D303" i="4"/>
  <c r="E303" i="4"/>
  <c r="F303" i="4"/>
  <c r="G303" i="4"/>
  <c r="H303" i="4"/>
  <c r="I303" i="4"/>
  <c r="A304" i="4"/>
  <c r="B304" i="4"/>
  <c r="D304" i="4"/>
  <c r="E304" i="4"/>
  <c r="F304" i="4"/>
  <c r="G304" i="4"/>
  <c r="H304" i="4"/>
  <c r="I304" i="4"/>
  <c r="A305" i="4"/>
  <c r="B305" i="4"/>
  <c r="D305" i="4"/>
  <c r="E305" i="4"/>
  <c r="F305" i="4"/>
  <c r="G305" i="4"/>
  <c r="H305" i="4"/>
  <c r="I305" i="4"/>
  <c r="A306" i="4"/>
  <c r="B306" i="4"/>
  <c r="D306" i="4"/>
  <c r="E306" i="4"/>
  <c r="F306" i="4"/>
  <c r="G306" i="4"/>
  <c r="H306" i="4"/>
  <c r="I306" i="4"/>
  <c r="A307" i="4"/>
  <c r="B307" i="4"/>
  <c r="D307" i="4"/>
  <c r="E307" i="4"/>
  <c r="F307" i="4"/>
  <c r="G307" i="4"/>
  <c r="H307" i="4"/>
  <c r="I307" i="4"/>
  <c r="A308" i="4"/>
  <c r="B308" i="4"/>
  <c r="D308" i="4"/>
  <c r="E308" i="4"/>
  <c r="F308" i="4"/>
  <c r="G308" i="4"/>
  <c r="H308" i="4"/>
  <c r="I308" i="4"/>
  <c r="A309" i="4"/>
  <c r="B309" i="4"/>
  <c r="D309" i="4"/>
  <c r="E309" i="4"/>
  <c r="F309" i="4"/>
  <c r="G309" i="4"/>
  <c r="H309" i="4"/>
  <c r="I309" i="4"/>
  <c r="A310" i="4"/>
  <c r="B310" i="4"/>
  <c r="D310" i="4"/>
  <c r="E310" i="4"/>
  <c r="F310" i="4"/>
  <c r="G310" i="4"/>
  <c r="H310" i="4"/>
  <c r="I310" i="4"/>
  <c r="A311" i="4"/>
  <c r="B311" i="4"/>
  <c r="D311" i="4"/>
  <c r="E311" i="4"/>
  <c r="F311" i="4"/>
  <c r="G311" i="4"/>
  <c r="H311" i="4"/>
  <c r="I311" i="4"/>
  <c r="A312" i="4"/>
  <c r="B312" i="4"/>
  <c r="D312" i="4"/>
  <c r="E312" i="4"/>
  <c r="F312" i="4"/>
  <c r="G312" i="4"/>
  <c r="H312" i="4"/>
  <c r="I312" i="4"/>
  <c r="A313" i="4"/>
  <c r="B313" i="4"/>
  <c r="D313" i="4"/>
  <c r="E313" i="4"/>
  <c r="F313" i="4"/>
  <c r="G313" i="4"/>
  <c r="H313" i="4"/>
  <c r="I313" i="4"/>
  <c r="A314" i="4"/>
  <c r="B314" i="4"/>
  <c r="D314" i="4"/>
  <c r="E314" i="4"/>
  <c r="F314" i="4"/>
  <c r="G314" i="4"/>
  <c r="H314" i="4"/>
  <c r="I314" i="4"/>
  <c r="A315" i="4"/>
  <c r="B315" i="4"/>
  <c r="D315" i="4"/>
  <c r="E315" i="4"/>
  <c r="F315" i="4"/>
  <c r="G315" i="4"/>
  <c r="H315" i="4"/>
  <c r="I315" i="4"/>
  <c r="A316" i="4"/>
  <c r="B316" i="4"/>
  <c r="D316" i="4"/>
  <c r="E316" i="4"/>
  <c r="F316" i="4"/>
  <c r="G316" i="4"/>
  <c r="H316" i="4"/>
  <c r="I316" i="4"/>
  <c r="A317" i="4"/>
  <c r="B317" i="4"/>
  <c r="D317" i="4"/>
  <c r="E317" i="4"/>
  <c r="F317" i="4"/>
  <c r="G317" i="4"/>
  <c r="H317" i="4"/>
  <c r="I317" i="4"/>
  <c r="A318" i="4"/>
  <c r="B318" i="4"/>
  <c r="D318" i="4"/>
  <c r="E318" i="4"/>
  <c r="F318" i="4"/>
  <c r="G318" i="4"/>
  <c r="H318" i="4"/>
  <c r="I318" i="4"/>
  <c r="A319" i="4"/>
  <c r="B319" i="4"/>
  <c r="D319" i="4"/>
  <c r="E319" i="4"/>
  <c r="F319" i="4"/>
  <c r="G319" i="4"/>
  <c r="H319" i="4"/>
  <c r="I319" i="4"/>
  <c r="A320" i="4"/>
  <c r="B320" i="4"/>
  <c r="D320" i="4"/>
  <c r="E320" i="4"/>
  <c r="F320" i="4"/>
  <c r="G320" i="4"/>
  <c r="H320" i="4"/>
  <c r="I320" i="4"/>
  <c r="A321" i="4"/>
  <c r="B321" i="4"/>
  <c r="D321" i="4"/>
  <c r="E321" i="4"/>
  <c r="F321" i="4"/>
  <c r="G321" i="4"/>
  <c r="H321" i="4"/>
  <c r="I321" i="4"/>
  <c r="A322" i="4"/>
  <c r="B322" i="4"/>
  <c r="D322" i="4"/>
  <c r="E322" i="4"/>
  <c r="F322" i="4"/>
  <c r="G322" i="4"/>
  <c r="H322" i="4"/>
  <c r="I322" i="4"/>
  <c r="A323" i="4"/>
  <c r="B323" i="4"/>
  <c r="D323" i="4"/>
  <c r="E323" i="4"/>
  <c r="F323" i="4"/>
  <c r="G323" i="4"/>
  <c r="H323" i="4"/>
  <c r="I323" i="4"/>
  <c r="A324" i="4"/>
  <c r="B324" i="4"/>
  <c r="D324" i="4"/>
  <c r="E324" i="4"/>
  <c r="F324" i="4"/>
  <c r="G324" i="4"/>
  <c r="H324" i="4"/>
  <c r="I324" i="4"/>
  <c r="A325" i="4"/>
  <c r="B325" i="4"/>
  <c r="D325" i="4"/>
  <c r="E325" i="4"/>
  <c r="F325" i="4"/>
  <c r="G325" i="4"/>
  <c r="H325" i="4"/>
  <c r="I325" i="4"/>
  <c r="A326" i="4"/>
  <c r="B326" i="4"/>
  <c r="D326" i="4"/>
  <c r="E326" i="4"/>
  <c r="F326" i="4"/>
  <c r="G326" i="4"/>
  <c r="H326" i="4"/>
  <c r="I326" i="4"/>
  <c r="A327" i="4"/>
  <c r="B327" i="4"/>
  <c r="D327" i="4"/>
  <c r="E327" i="4"/>
  <c r="F327" i="4"/>
  <c r="G327" i="4"/>
  <c r="H327" i="4"/>
  <c r="I327" i="4"/>
  <c r="A328" i="4"/>
  <c r="B328" i="4"/>
  <c r="D328" i="4"/>
  <c r="E328" i="4"/>
  <c r="F328" i="4"/>
  <c r="G328" i="4"/>
  <c r="H328" i="4"/>
  <c r="I328" i="4"/>
  <c r="A329" i="4"/>
  <c r="B329" i="4"/>
  <c r="D329" i="4"/>
  <c r="E329" i="4"/>
  <c r="F329" i="4"/>
  <c r="G329" i="4"/>
  <c r="H329" i="4"/>
  <c r="I329" i="4"/>
  <c r="A330" i="4"/>
  <c r="B330" i="4"/>
  <c r="D330" i="4"/>
  <c r="E330" i="4"/>
  <c r="F330" i="4"/>
  <c r="G330" i="4"/>
  <c r="H330" i="4"/>
  <c r="I330" i="4"/>
  <c r="A331" i="4"/>
  <c r="B331" i="4"/>
  <c r="D331" i="4"/>
  <c r="E331" i="4"/>
  <c r="F331" i="4"/>
  <c r="G331" i="4"/>
  <c r="H331" i="4"/>
  <c r="I331" i="4"/>
  <c r="A332" i="4"/>
  <c r="B332" i="4"/>
  <c r="D332" i="4"/>
  <c r="E332" i="4"/>
  <c r="F332" i="4"/>
  <c r="G332" i="4"/>
  <c r="H332" i="4"/>
  <c r="I332" i="4"/>
  <c r="A333" i="4"/>
  <c r="B333" i="4"/>
  <c r="D333" i="4"/>
  <c r="E333" i="4"/>
  <c r="F333" i="4"/>
  <c r="G333" i="4"/>
  <c r="H333" i="4"/>
  <c r="I333" i="4"/>
  <c r="A334" i="4"/>
  <c r="B334" i="4"/>
  <c r="D334" i="4"/>
  <c r="E334" i="4"/>
  <c r="F334" i="4"/>
  <c r="G334" i="4"/>
  <c r="H334" i="4"/>
  <c r="I334" i="4"/>
  <c r="A335" i="4"/>
  <c r="B335" i="4"/>
  <c r="D335" i="4"/>
  <c r="E335" i="4"/>
  <c r="F335" i="4"/>
  <c r="G335" i="4"/>
  <c r="H335" i="4"/>
  <c r="I335" i="4"/>
  <c r="A336" i="4"/>
  <c r="B336" i="4"/>
  <c r="D336" i="4"/>
  <c r="E336" i="4"/>
  <c r="F336" i="4"/>
  <c r="G336" i="4"/>
  <c r="H336" i="4"/>
  <c r="I336" i="4"/>
  <c r="A337" i="4"/>
  <c r="B337" i="4"/>
  <c r="D337" i="4"/>
  <c r="E337" i="4"/>
  <c r="F337" i="4"/>
  <c r="G337" i="4"/>
  <c r="H337" i="4"/>
  <c r="I337" i="4"/>
  <c r="A338" i="4"/>
  <c r="B338" i="4"/>
  <c r="D338" i="4"/>
  <c r="E338" i="4"/>
  <c r="F338" i="4"/>
  <c r="G338" i="4"/>
  <c r="H338" i="4"/>
  <c r="I338" i="4"/>
  <c r="A339" i="4"/>
  <c r="B339" i="4"/>
  <c r="D339" i="4"/>
  <c r="E339" i="4"/>
  <c r="F339" i="4"/>
  <c r="G339" i="4"/>
  <c r="H339" i="4"/>
  <c r="I339" i="4"/>
  <c r="A340" i="4"/>
  <c r="B340" i="4"/>
  <c r="D340" i="4"/>
  <c r="E340" i="4"/>
  <c r="F340" i="4"/>
  <c r="G340" i="4"/>
  <c r="H340" i="4"/>
  <c r="I340" i="4"/>
  <c r="A341" i="4"/>
  <c r="B341" i="4"/>
  <c r="D341" i="4"/>
  <c r="E341" i="4"/>
  <c r="F341" i="4"/>
  <c r="G341" i="4"/>
  <c r="H341" i="4"/>
  <c r="I341" i="4"/>
  <c r="A342" i="4"/>
  <c r="B342" i="4"/>
  <c r="D342" i="4"/>
  <c r="E342" i="4"/>
  <c r="F342" i="4"/>
  <c r="G342" i="4"/>
  <c r="H342" i="4"/>
  <c r="I342" i="4"/>
  <c r="A343" i="4"/>
  <c r="B343" i="4"/>
  <c r="D343" i="4"/>
  <c r="E343" i="4"/>
  <c r="F343" i="4"/>
  <c r="G343" i="4"/>
  <c r="H343" i="4"/>
  <c r="I343" i="4"/>
  <c r="A344" i="4"/>
  <c r="B344" i="4"/>
  <c r="D344" i="4"/>
  <c r="E344" i="4"/>
  <c r="F344" i="4"/>
  <c r="G344" i="4"/>
  <c r="H344" i="4"/>
  <c r="I344" i="4"/>
  <c r="A345" i="4"/>
  <c r="B345" i="4"/>
  <c r="D345" i="4"/>
  <c r="E345" i="4"/>
  <c r="F345" i="4"/>
  <c r="G345" i="4"/>
  <c r="H345" i="4"/>
  <c r="I345" i="4"/>
  <c r="A346" i="4"/>
  <c r="B346" i="4"/>
  <c r="D346" i="4"/>
  <c r="E346" i="4"/>
  <c r="F346" i="4"/>
  <c r="G346" i="4"/>
  <c r="H346" i="4"/>
  <c r="I346" i="4"/>
  <c r="A347" i="4"/>
  <c r="B347" i="4"/>
  <c r="D347" i="4"/>
  <c r="E347" i="4"/>
  <c r="F347" i="4"/>
  <c r="G347" i="4"/>
  <c r="H347" i="4"/>
  <c r="I347" i="4"/>
  <c r="A348" i="4"/>
  <c r="B348" i="4"/>
  <c r="D348" i="4"/>
  <c r="E348" i="4"/>
  <c r="F348" i="4"/>
  <c r="G348" i="4"/>
  <c r="H348" i="4"/>
  <c r="I348" i="4"/>
  <c r="A349" i="4"/>
  <c r="B349" i="4"/>
  <c r="D349" i="4"/>
  <c r="E349" i="4"/>
  <c r="F349" i="4"/>
  <c r="G349" i="4"/>
  <c r="H349" i="4"/>
  <c r="I349" i="4"/>
  <c r="A350" i="4"/>
  <c r="B350" i="4"/>
  <c r="D350" i="4"/>
  <c r="E350" i="4"/>
  <c r="F350" i="4"/>
  <c r="G350" i="4"/>
  <c r="H350" i="4"/>
  <c r="I350" i="4"/>
  <c r="A351" i="4"/>
  <c r="B351" i="4"/>
  <c r="D351" i="4"/>
  <c r="E351" i="4"/>
  <c r="F351" i="4"/>
  <c r="G351" i="4"/>
  <c r="H351" i="4"/>
  <c r="I351" i="4"/>
  <c r="A352" i="4"/>
  <c r="B352" i="4"/>
  <c r="D352" i="4"/>
  <c r="E352" i="4"/>
  <c r="F352" i="4"/>
  <c r="G352" i="4"/>
  <c r="H352" i="4"/>
  <c r="I352" i="4"/>
  <c r="A353" i="4"/>
  <c r="B353" i="4"/>
  <c r="D353" i="4"/>
  <c r="E353" i="4"/>
  <c r="F353" i="4"/>
  <c r="G353" i="4"/>
  <c r="H353" i="4"/>
  <c r="I353" i="4"/>
  <c r="A354" i="4"/>
  <c r="B354" i="4"/>
  <c r="D354" i="4"/>
  <c r="E354" i="4"/>
  <c r="F354" i="4"/>
  <c r="G354" i="4"/>
  <c r="H354" i="4"/>
  <c r="I354" i="4"/>
  <c r="A355" i="4"/>
  <c r="B355" i="4"/>
  <c r="D355" i="4"/>
  <c r="E355" i="4"/>
  <c r="F355" i="4"/>
  <c r="G355" i="4"/>
  <c r="H355" i="4"/>
  <c r="I355" i="4"/>
  <c r="A356" i="4"/>
  <c r="B356" i="4"/>
  <c r="D356" i="4"/>
  <c r="E356" i="4"/>
  <c r="F356" i="4"/>
  <c r="G356" i="4"/>
  <c r="H356" i="4"/>
  <c r="I356" i="4"/>
  <c r="A357" i="4"/>
  <c r="B357" i="4"/>
  <c r="D357" i="4"/>
  <c r="E357" i="4"/>
  <c r="F357" i="4"/>
  <c r="G357" i="4"/>
  <c r="H357" i="4"/>
  <c r="I357" i="4"/>
  <c r="A358" i="4"/>
  <c r="B358" i="4"/>
  <c r="D358" i="4"/>
  <c r="E358" i="4"/>
  <c r="F358" i="4"/>
  <c r="G358" i="4"/>
  <c r="H358" i="4"/>
  <c r="I358" i="4"/>
  <c r="A359" i="4"/>
  <c r="B359" i="4"/>
  <c r="D359" i="4"/>
  <c r="E359" i="4"/>
  <c r="F359" i="4"/>
  <c r="G359" i="4"/>
  <c r="H359" i="4"/>
  <c r="I359" i="4"/>
  <c r="A360" i="4"/>
  <c r="B360" i="4"/>
  <c r="D360" i="4"/>
  <c r="E360" i="4"/>
  <c r="F360" i="4"/>
  <c r="G360" i="4"/>
  <c r="H360" i="4"/>
  <c r="I360" i="4"/>
  <c r="A361" i="4"/>
  <c r="B361" i="4"/>
  <c r="D361" i="4"/>
  <c r="E361" i="4"/>
  <c r="F361" i="4"/>
  <c r="G361" i="4"/>
  <c r="H361" i="4"/>
  <c r="I361" i="4"/>
  <c r="A362" i="4"/>
  <c r="B362" i="4"/>
  <c r="D362" i="4"/>
  <c r="E362" i="4"/>
  <c r="F362" i="4"/>
  <c r="G362" i="4"/>
  <c r="H362" i="4"/>
  <c r="I362" i="4"/>
  <c r="A363" i="4"/>
  <c r="B363" i="4"/>
  <c r="D363" i="4"/>
  <c r="E363" i="4"/>
  <c r="F363" i="4"/>
  <c r="G363" i="4"/>
  <c r="H363" i="4"/>
  <c r="I363" i="4"/>
  <c r="A364" i="4"/>
  <c r="B364" i="4"/>
  <c r="D364" i="4"/>
  <c r="E364" i="4"/>
  <c r="F364" i="4"/>
  <c r="G364" i="4"/>
  <c r="H364" i="4"/>
  <c r="I364" i="4"/>
  <c r="A365" i="4"/>
  <c r="B365" i="4"/>
  <c r="D365" i="4"/>
  <c r="E365" i="4"/>
  <c r="F365" i="4"/>
  <c r="G365" i="4"/>
  <c r="H365" i="4"/>
  <c r="I365" i="4"/>
  <c r="A366" i="4"/>
  <c r="B366" i="4"/>
  <c r="D366" i="4"/>
  <c r="E366" i="4"/>
  <c r="F366" i="4"/>
  <c r="G366" i="4"/>
  <c r="H366" i="4"/>
  <c r="I366" i="4"/>
  <c r="A367" i="4"/>
  <c r="B367" i="4"/>
  <c r="D367" i="4"/>
  <c r="E367" i="4"/>
  <c r="F367" i="4"/>
  <c r="G367" i="4"/>
  <c r="H367" i="4"/>
  <c r="I367" i="4"/>
  <c r="A368" i="4"/>
  <c r="B368" i="4"/>
  <c r="D368" i="4"/>
  <c r="E368" i="4"/>
  <c r="F368" i="4"/>
  <c r="G368" i="4"/>
  <c r="H368" i="4"/>
  <c r="I368" i="4"/>
  <c r="A369" i="4"/>
  <c r="B369" i="4"/>
  <c r="D369" i="4"/>
  <c r="E369" i="4"/>
  <c r="F369" i="4"/>
  <c r="G369" i="4"/>
  <c r="H369" i="4"/>
  <c r="I369" i="4"/>
  <c r="A370" i="4"/>
  <c r="B370" i="4"/>
  <c r="D370" i="4"/>
  <c r="E370" i="4"/>
  <c r="F370" i="4"/>
  <c r="G370" i="4"/>
  <c r="H370" i="4"/>
  <c r="I370" i="4"/>
  <c r="A371" i="4"/>
  <c r="B371" i="4"/>
  <c r="D371" i="4"/>
  <c r="E371" i="4"/>
  <c r="F371" i="4"/>
  <c r="G371" i="4"/>
  <c r="H371" i="4"/>
  <c r="I371" i="4"/>
  <c r="A372" i="4"/>
  <c r="B372" i="4"/>
  <c r="D372" i="4"/>
  <c r="E372" i="4"/>
  <c r="F372" i="4"/>
  <c r="G372" i="4"/>
  <c r="H372" i="4"/>
  <c r="I372" i="4"/>
  <c r="A373" i="4"/>
  <c r="B373" i="4"/>
  <c r="D373" i="4"/>
  <c r="E373" i="4"/>
  <c r="F373" i="4"/>
  <c r="G373" i="4"/>
  <c r="H373" i="4"/>
  <c r="I373" i="4"/>
  <c r="A374" i="4"/>
  <c r="B374" i="4"/>
  <c r="D374" i="4"/>
  <c r="E374" i="4"/>
  <c r="F374" i="4"/>
  <c r="G374" i="4"/>
  <c r="H374" i="4"/>
  <c r="I374" i="4"/>
  <c r="A375" i="4"/>
  <c r="B375" i="4"/>
  <c r="D375" i="4"/>
  <c r="E375" i="4"/>
  <c r="F375" i="4"/>
  <c r="G375" i="4"/>
  <c r="H375" i="4"/>
  <c r="I375" i="4"/>
  <c r="A376" i="4"/>
  <c r="B376" i="4"/>
  <c r="D376" i="4"/>
  <c r="E376" i="4"/>
  <c r="F376" i="4"/>
  <c r="G376" i="4"/>
  <c r="H376" i="4"/>
  <c r="I376" i="4"/>
  <c r="A377" i="4"/>
  <c r="B377" i="4"/>
  <c r="D377" i="4"/>
  <c r="E377" i="4"/>
  <c r="F377" i="4"/>
  <c r="G377" i="4"/>
  <c r="H377" i="4"/>
  <c r="I377" i="4"/>
  <c r="A378" i="4"/>
  <c r="B378" i="4"/>
  <c r="D378" i="4"/>
  <c r="E378" i="4"/>
  <c r="F378" i="4"/>
  <c r="G378" i="4"/>
  <c r="H378" i="4"/>
  <c r="I378" i="4"/>
  <c r="A379" i="4"/>
  <c r="B379" i="4"/>
  <c r="D379" i="4"/>
  <c r="E379" i="4"/>
  <c r="F379" i="4"/>
  <c r="G379" i="4"/>
  <c r="H379" i="4"/>
  <c r="I379" i="4"/>
  <c r="A380" i="4"/>
  <c r="B380" i="4"/>
  <c r="D380" i="4"/>
  <c r="E380" i="4"/>
  <c r="F380" i="4"/>
  <c r="G380" i="4"/>
  <c r="H380" i="4"/>
  <c r="I380" i="4"/>
  <c r="A381" i="4"/>
  <c r="B381" i="4"/>
  <c r="D381" i="4"/>
  <c r="E381" i="4"/>
  <c r="F381" i="4"/>
  <c r="G381" i="4"/>
  <c r="H381" i="4"/>
  <c r="I381" i="4"/>
  <c r="A382" i="4"/>
  <c r="B382" i="4"/>
  <c r="D382" i="4"/>
  <c r="E382" i="4"/>
  <c r="F382" i="4"/>
  <c r="G382" i="4"/>
  <c r="H382" i="4"/>
  <c r="I382" i="4"/>
  <c r="A383" i="4"/>
  <c r="B383" i="4"/>
  <c r="D383" i="4"/>
  <c r="E383" i="4"/>
  <c r="F383" i="4"/>
  <c r="G383" i="4"/>
  <c r="H383" i="4"/>
  <c r="I383" i="4"/>
  <c r="A384" i="4"/>
  <c r="B384" i="4"/>
  <c r="D384" i="4"/>
  <c r="E384" i="4"/>
  <c r="F384" i="4"/>
  <c r="G384" i="4"/>
  <c r="H384" i="4"/>
  <c r="I384" i="4"/>
  <c r="A385" i="4"/>
  <c r="B385" i="4"/>
  <c r="D385" i="4"/>
  <c r="E385" i="4"/>
  <c r="F385" i="4"/>
  <c r="G385" i="4"/>
  <c r="H385" i="4"/>
  <c r="I385" i="4"/>
  <c r="A386" i="4"/>
  <c r="B386" i="4"/>
  <c r="D386" i="4"/>
  <c r="E386" i="4"/>
  <c r="F386" i="4"/>
  <c r="G386" i="4"/>
  <c r="H386" i="4"/>
  <c r="I386" i="4"/>
  <c r="A387" i="4"/>
  <c r="B387" i="4"/>
  <c r="D387" i="4"/>
  <c r="E387" i="4"/>
  <c r="F387" i="4"/>
  <c r="G387" i="4"/>
  <c r="H387" i="4"/>
  <c r="I387" i="4"/>
  <c r="A388" i="4"/>
  <c r="B388" i="4"/>
  <c r="D388" i="4"/>
  <c r="E388" i="4"/>
  <c r="F388" i="4"/>
  <c r="G388" i="4"/>
  <c r="H388" i="4"/>
  <c r="I388" i="4"/>
  <c r="A389" i="4"/>
  <c r="B389" i="4"/>
  <c r="D389" i="4"/>
  <c r="E389" i="4"/>
  <c r="F389" i="4"/>
  <c r="G389" i="4"/>
  <c r="H389" i="4"/>
  <c r="I389" i="4"/>
  <c r="A390" i="4"/>
  <c r="B390" i="4"/>
  <c r="D390" i="4"/>
  <c r="E390" i="4"/>
  <c r="F390" i="4"/>
  <c r="G390" i="4"/>
  <c r="H390" i="4"/>
  <c r="I390" i="4"/>
  <c r="A391" i="4"/>
  <c r="B391" i="4"/>
  <c r="D391" i="4"/>
  <c r="E391" i="4"/>
  <c r="F391" i="4"/>
  <c r="G391" i="4"/>
  <c r="H391" i="4"/>
  <c r="I391" i="4"/>
  <c r="A392" i="4"/>
  <c r="B392" i="4"/>
  <c r="D392" i="4"/>
  <c r="E392" i="4"/>
  <c r="F392" i="4"/>
  <c r="G392" i="4"/>
  <c r="H392" i="4"/>
  <c r="I392" i="4"/>
  <c r="A393" i="4"/>
  <c r="B393" i="4"/>
  <c r="D393" i="4"/>
  <c r="E393" i="4"/>
  <c r="F393" i="4"/>
  <c r="G393" i="4"/>
  <c r="H393" i="4"/>
  <c r="I393" i="4"/>
  <c r="A394" i="4"/>
  <c r="B394" i="4"/>
  <c r="D394" i="4"/>
  <c r="E394" i="4"/>
  <c r="F394" i="4"/>
  <c r="G394" i="4"/>
  <c r="H394" i="4"/>
  <c r="I394" i="4"/>
  <c r="A395" i="4"/>
  <c r="B395" i="4"/>
  <c r="D395" i="4"/>
  <c r="E395" i="4"/>
  <c r="F395" i="4"/>
  <c r="G395" i="4"/>
  <c r="H395" i="4"/>
  <c r="I395" i="4"/>
  <c r="A396" i="4"/>
  <c r="B396" i="4"/>
  <c r="D396" i="4"/>
  <c r="E396" i="4"/>
  <c r="F396" i="4"/>
  <c r="G396" i="4"/>
  <c r="H396" i="4"/>
  <c r="I396" i="4"/>
  <c r="A397" i="4"/>
  <c r="B397" i="4"/>
  <c r="D397" i="4"/>
  <c r="E397" i="4"/>
  <c r="F397" i="4"/>
  <c r="G397" i="4"/>
  <c r="H397" i="4"/>
  <c r="I397" i="4"/>
  <c r="A398" i="4"/>
  <c r="B398" i="4"/>
  <c r="D398" i="4"/>
  <c r="E398" i="4"/>
  <c r="F398" i="4"/>
  <c r="G398" i="4"/>
  <c r="H398" i="4"/>
  <c r="I398" i="4"/>
  <c r="A399" i="4"/>
  <c r="B399" i="4"/>
  <c r="D399" i="4"/>
  <c r="E399" i="4"/>
  <c r="F399" i="4"/>
  <c r="G399" i="4"/>
  <c r="H399" i="4"/>
  <c r="I399" i="4"/>
  <c r="A400" i="4"/>
  <c r="B400" i="4"/>
  <c r="D400" i="4"/>
  <c r="E400" i="4"/>
  <c r="F400" i="4"/>
  <c r="G400" i="4"/>
  <c r="H400" i="4"/>
  <c r="I400" i="4"/>
  <c r="A401" i="4"/>
  <c r="B401" i="4"/>
  <c r="D401" i="4"/>
  <c r="E401" i="4"/>
  <c r="F401" i="4"/>
  <c r="G401" i="4"/>
  <c r="H401" i="4"/>
  <c r="I401" i="4"/>
  <c r="A402" i="4"/>
  <c r="B402" i="4"/>
  <c r="D402" i="4"/>
  <c r="E402" i="4"/>
  <c r="F402" i="4"/>
  <c r="G402" i="4"/>
  <c r="H402" i="4"/>
  <c r="I402" i="4"/>
  <c r="A403" i="4"/>
  <c r="B403" i="4"/>
  <c r="D403" i="4"/>
  <c r="E403" i="4"/>
  <c r="F403" i="4"/>
  <c r="G403" i="4"/>
  <c r="H403" i="4"/>
  <c r="I403" i="4"/>
  <c r="A404" i="4"/>
  <c r="B404" i="4"/>
  <c r="D404" i="4"/>
  <c r="E404" i="4"/>
  <c r="F404" i="4"/>
  <c r="G404" i="4"/>
  <c r="H404" i="4"/>
  <c r="I404" i="4"/>
  <c r="A405" i="4"/>
  <c r="B405" i="4"/>
  <c r="D405" i="4"/>
  <c r="E405" i="4"/>
  <c r="F405" i="4"/>
  <c r="G405" i="4"/>
  <c r="H405" i="4"/>
  <c r="I405" i="4"/>
  <c r="A406" i="4"/>
  <c r="B406" i="4"/>
  <c r="D406" i="4"/>
  <c r="E406" i="4"/>
  <c r="F406" i="4"/>
  <c r="G406" i="4"/>
  <c r="H406" i="4"/>
  <c r="I406" i="4"/>
  <c r="A407" i="4"/>
  <c r="B407" i="4"/>
  <c r="D407" i="4"/>
  <c r="E407" i="4"/>
  <c r="F407" i="4"/>
  <c r="G407" i="4"/>
  <c r="H407" i="4"/>
  <c r="I407" i="4"/>
  <c r="A408" i="4"/>
  <c r="B408" i="4"/>
  <c r="D408" i="4"/>
  <c r="E408" i="4"/>
  <c r="F408" i="4"/>
  <c r="G408" i="4"/>
  <c r="H408" i="4"/>
  <c r="I408" i="4"/>
  <c r="A409" i="4"/>
  <c r="B409" i="4"/>
  <c r="D409" i="4"/>
  <c r="E409" i="4"/>
  <c r="F409" i="4"/>
  <c r="G409" i="4"/>
  <c r="H409" i="4"/>
  <c r="I409" i="4"/>
  <c r="A410" i="4"/>
  <c r="B410" i="4"/>
  <c r="D410" i="4"/>
  <c r="E410" i="4"/>
  <c r="F410" i="4"/>
  <c r="G410" i="4"/>
  <c r="H410" i="4"/>
  <c r="I410" i="4"/>
  <c r="A411" i="4"/>
  <c r="B411" i="4"/>
  <c r="D411" i="4"/>
  <c r="E411" i="4"/>
  <c r="F411" i="4"/>
  <c r="G411" i="4"/>
  <c r="H411" i="4"/>
  <c r="I411" i="4"/>
  <c r="A412" i="4"/>
  <c r="B412" i="4"/>
  <c r="D412" i="4"/>
  <c r="E412" i="4"/>
  <c r="F412" i="4"/>
  <c r="G412" i="4"/>
  <c r="H412" i="4"/>
  <c r="I412" i="4"/>
  <c r="A413" i="4"/>
  <c r="B413" i="4"/>
  <c r="D413" i="4"/>
  <c r="E413" i="4"/>
  <c r="F413" i="4"/>
  <c r="G413" i="4"/>
  <c r="H413" i="4"/>
  <c r="I413" i="4"/>
  <c r="A414" i="4"/>
  <c r="B414" i="4"/>
  <c r="D414" i="4"/>
  <c r="E414" i="4"/>
  <c r="F414" i="4"/>
  <c r="G414" i="4"/>
  <c r="H414" i="4"/>
  <c r="I414" i="4"/>
  <c r="A415" i="4"/>
  <c r="B415" i="4"/>
  <c r="D415" i="4"/>
  <c r="E415" i="4"/>
  <c r="F415" i="4"/>
  <c r="G415" i="4"/>
  <c r="H415" i="4"/>
  <c r="I415" i="4"/>
  <c r="A416" i="4"/>
  <c r="B416" i="4"/>
  <c r="D416" i="4"/>
  <c r="E416" i="4"/>
  <c r="F416" i="4"/>
  <c r="G416" i="4"/>
  <c r="H416" i="4"/>
  <c r="I416" i="4"/>
  <c r="A417" i="4"/>
  <c r="B417" i="4"/>
  <c r="D417" i="4"/>
  <c r="E417" i="4"/>
  <c r="F417" i="4"/>
  <c r="G417" i="4"/>
  <c r="H417" i="4"/>
  <c r="I417" i="4"/>
  <c r="A418" i="4"/>
  <c r="B418" i="4"/>
  <c r="D418" i="4"/>
  <c r="E418" i="4"/>
  <c r="F418" i="4"/>
  <c r="G418" i="4"/>
  <c r="H418" i="4"/>
  <c r="I418" i="4"/>
  <c r="A419" i="4"/>
  <c r="B419" i="4"/>
  <c r="D419" i="4"/>
  <c r="E419" i="4"/>
  <c r="F419" i="4"/>
  <c r="G419" i="4"/>
  <c r="H419" i="4"/>
  <c r="I419" i="4"/>
  <c r="A420" i="4"/>
  <c r="B420" i="4"/>
  <c r="D420" i="4"/>
  <c r="E420" i="4"/>
  <c r="F420" i="4"/>
  <c r="G420" i="4"/>
  <c r="H420" i="4"/>
  <c r="I420" i="4"/>
  <c r="A421" i="4"/>
  <c r="B421" i="4"/>
  <c r="D421" i="4"/>
  <c r="E421" i="4"/>
  <c r="F421" i="4"/>
  <c r="G421" i="4"/>
  <c r="H421" i="4"/>
  <c r="I421" i="4"/>
  <c r="A422" i="4"/>
  <c r="B422" i="4"/>
  <c r="D422" i="4"/>
  <c r="E422" i="4"/>
  <c r="F422" i="4"/>
  <c r="G422" i="4"/>
  <c r="H422" i="4"/>
  <c r="I422" i="4"/>
  <c r="A423" i="4"/>
  <c r="B423" i="4"/>
  <c r="D423" i="4"/>
  <c r="E423" i="4"/>
  <c r="F423" i="4"/>
  <c r="G423" i="4"/>
  <c r="H423" i="4"/>
  <c r="I423" i="4"/>
  <c r="A424" i="4"/>
  <c r="B424" i="4"/>
  <c r="D424" i="4"/>
  <c r="E424" i="4"/>
  <c r="F424" i="4"/>
  <c r="G424" i="4"/>
  <c r="H424" i="4"/>
  <c r="I424" i="4"/>
  <c r="A425" i="4"/>
  <c r="B425" i="4"/>
  <c r="D425" i="4"/>
  <c r="E425" i="4"/>
  <c r="F425" i="4"/>
  <c r="G425" i="4"/>
  <c r="H425" i="4"/>
  <c r="I425" i="4"/>
  <c r="A426" i="4"/>
  <c r="B426" i="4"/>
  <c r="D426" i="4"/>
  <c r="E426" i="4"/>
  <c r="F426" i="4"/>
  <c r="G426" i="4"/>
  <c r="H426" i="4"/>
  <c r="I426" i="4"/>
  <c r="A427" i="4"/>
  <c r="B427" i="4"/>
  <c r="D427" i="4"/>
  <c r="E427" i="4"/>
  <c r="F427" i="4"/>
  <c r="G427" i="4"/>
  <c r="H427" i="4"/>
  <c r="I427" i="4"/>
  <c r="A428" i="4"/>
  <c r="B428" i="4"/>
  <c r="D428" i="4"/>
  <c r="E428" i="4"/>
  <c r="F428" i="4"/>
  <c r="G428" i="4"/>
  <c r="H428" i="4"/>
  <c r="I428" i="4"/>
  <c r="A429" i="4"/>
  <c r="B429" i="4"/>
  <c r="D429" i="4"/>
  <c r="E429" i="4"/>
  <c r="F429" i="4"/>
  <c r="G429" i="4"/>
  <c r="H429" i="4"/>
  <c r="I429" i="4"/>
  <c r="A430" i="4"/>
  <c r="B430" i="4"/>
  <c r="D430" i="4"/>
  <c r="E430" i="4"/>
  <c r="F430" i="4"/>
  <c r="G430" i="4"/>
  <c r="H430" i="4"/>
  <c r="I430" i="4"/>
  <c r="A431" i="4"/>
  <c r="B431" i="4"/>
  <c r="D431" i="4"/>
  <c r="E431" i="4"/>
  <c r="F431" i="4"/>
  <c r="G431" i="4"/>
  <c r="H431" i="4"/>
  <c r="I431" i="4"/>
  <c r="A432" i="4"/>
  <c r="B432" i="4"/>
  <c r="D432" i="4"/>
  <c r="E432" i="4"/>
  <c r="F432" i="4"/>
  <c r="G432" i="4"/>
  <c r="H432" i="4"/>
  <c r="I432" i="4"/>
  <c r="A433" i="4"/>
  <c r="B433" i="4"/>
  <c r="D433" i="4"/>
  <c r="E433" i="4"/>
  <c r="F433" i="4"/>
  <c r="G433" i="4"/>
  <c r="H433" i="4"/>
  <c r="I433" i="4"/>
  <c r="A434" i="4"/>
  <c r="B434" i="4"/>
  <c r="D434" i="4"/>
  <c r="E434" i="4"/>
  <c r="F434" i="4"/>
  <c r="G434" i="4"/>
  <c r="H434" i="4"/>
  <c r="I434" i="4"/>
  <c r="A435" i="4"/>
  <c r="B435" i="4"/>
  <c r="D435" i="4"/>
  <c r="E435" i="4"/>
  <c r="F435" i="4"/>
  <c r="G435" i="4"/>
  <c r="H435" i="4"/>
  <c r="I435" i="4"/>
  <c r="A436" i="4"/>
  <c r="B436" i="4"/>
  <c r="D436" i="4"/>
  <c r="E436" i="4"/>
  <c r="F436" i="4"/>
  <c r="G436" i="4"/>
  <c r="H436" i="4"/>
  <c r="I436" i="4"/>
  <c r="A437" i="4"/>
  <c r="B437" i="4"/>
  <c r="D437" i="4"/>
  <c r="E437" i="4"/>
  <c r="F437" i="4"/>
  <c r="G437" i="4"/>
  <c r="H437" i="4"/>
  <c r="I437" i="4"/>
  <c r="A438" i="4"/>
  <c r="B438" i="4"/>
  <c r="D438" i="4"/>
  <c r="E438" i="4"/>
  <c r="F438" i="4"/>
  <c r="G438" i="4"/>
  <c r="H438" i="4"/>
  <c r="I438" i="4"/>
  <c r="A439" i="4"/>
  <c r="B439" i="4"/>
  <c r="D439" i="4"/>
  <c r="E439" i="4"/>
  <c r="F439" i="4"/>
  <c r="G439" i="4"/>
  <c r="H439" i="4"/>
  <c r="I439" i="4"/>
  <c r="A440" i="4"/>
  <c r="B440" i="4"/>
  <c r="D440" i="4"/>
  <c r="E440" i="4"/>
  <c r="F440" i="4"/>
  <c r="G440" i="4"/>
  <c r="H440" i="4"/>
  <c r="I440" i="4"/>
  <c r="A441" i="4"/>
  <c r="B441" i="4"/>
  <c r="D441" i="4"/>
  <c r="E441" i="4"/>
  <c r="F441" i="4"/>
  <c r="G441" i="4"/>
  <c r="H441" i="4"/>
  <c r="I441" i="4"/>
  <c r="A442" i="4"/>
  <c r="B442" i="4"/>
  <c r="D442" i="4"/>
  <c r="E442" i="4"/>
  <c r="F442" i="4"/>
  <c r="G442" i="4"/>
  <c r="H442" i="4"/>
  <c r="I442" i="4"/>
  <c r="A443" i="4"/>
  <c r="B443" i="4"/>
  <c r="D443" i="4"/>
  <c r="E443" i="4"/>
  <c r="F443" i="4"/>
  <c r="G443" i="4"/>
  <c r="H443" i="4"/>
  <c r="I443" i="4"/>
  <c r="A444" i="4"/>
  <c r="B444" i="4"/>
  <c r="D444" i="4"/>
  <c r="E444" i="4"/>
  <c r="F444" i="4"/>
  <c r="G444" i="4"/>
  <c r="H444" i="4"/>
  <c r="I444" i="4"/>
  <c r="A445" i="4"/>
  <c r="B445" i="4"/>
  <c r="D445" i="4"/>
  <c r="E445" i="4"/>
  <c r="F445" i="4"/>
  <c r="G445" i="4"/>
  <c r="H445" i="4"/>
  <c r="I445" i="4"/>
  <c r="A446" i="4"/>
  <c r="B446" i="4"/>
  <c r="D446" i="4"/>
  <c r="E446" i="4"/>
  <c r="F446" i="4"/>
  <c r="G446" i="4"/>
  <c r="H446" i="4"/>
  <c r="I446" i="4"/>
  <c r="A447" i="4"/>
  <c r="B447" i="4"/>
  <c r="D447" i="4"/>
  <c r="E447" i="4"/>
  <c r="F447" i="4"/>
  <c r="G447" i="4"/>
  <c r="H447" i="4"/>
  <c r="I447" i="4"/>
  <c r="A448" i="4"/>
  <c r="B448" i="4"/>
  <c r="D448" i="4"/>
  <c r="E448" i="4"/>
  <c r="F448" i="4"/>
  <c r="G448" i="4"/>
  <c r="H448" i="4"/>
  <c r="I448" i="4"/>
  <c r="A449" i="4"/>
  <c r="B449" i="4"/>
  <c r="D449" i="4"/>
  <c r="E449" i="4"/>
  <c r="F449" i="4"/>
  <c r="G449" i="4"/>
  <c r="H449" i="4"/>
  <c r="I449" i="4"/>
  <c r="A450" i="4"/>
  <c r="B450" i="4"/>
  <c r="D450" i="4"/>
  <c r="E450" i="4"/>
  <c r="F450" i="4"/>
  <c r="G450" i="4"/>
  <c r="H450" i="4"/>
  <c r="I450" i="4"/>
  <c r="A451" i="4"/>
  <c r="B451" i="4"/>
  <c r="D451" i="4"/>
  <c r="E451" i="4"/>
  <c r="F451" i="4"/>
  <c r="G451" i="4"/>
  <c r="H451" i="4"/>
  <c r="I451" i="4"/>
  <c r="A452" i="4"/>
  <c r="B452" i="4"/>
  <c r="D452" i="4"/>
  <c r="E452" i="4"/>
  <c r="F452" i="4"/>
  <c r="G452" i="4"/>
  <c r="H452" i="4"/>
  <c r="I452" i="4"/>
  <c r="A453" i="4"/>
  <c r="B453" i="4"/>
  <c r="D453" i="4"/>
  <c r="E453" i="4"/>
  <c r="F453" i="4"/>
  <c r="G453" i="4"/>
  <c r="H453" i="4"/>
  <c r="I453" i="4"/>
  <c r="A454" i="4"/>
  <c r="B454" i="4"/>
  <c r="D454" i="4"/>
  <c r="E454" i="4"/>
  <c r="F454" i="4"/>
  <c r="G454" i="4"/>
  <c r="H454" i="4"/>
  <c r="I454" i="4"/>
  <c r="A455" i="4"/>
  <c r="B455" i="4"/>
  <c r="D455" i="4"/>
  <c r="E455" i="4"/>
  <c r="F455" i="4"/>
  <c r="G455" i="4"/>
  <c r="H455" i="4"/>
  <c r="I455" i="4"/>
  <c r="A456" i="4"/>
  <c r="B456" i="4"/>
  <c r="D456" i="4"/>
  <c r="E456" i="4"/>
  <c r="F456" i="4"/>
  <c r="G456" i="4"/>
  <c r="H456" i="4"/>
  <c r="I456" i="4"/>
  <c r="A457" i="4"/>
  <c r="B457" i="4"/>
  <c r="D457" i="4"/>
  <c r="E457" i="4"/>
  <c r="F457" i="4"/>
  <c r="G457" i="4"/>
  <c r="H457" i="4"/>
  <c r="I457" i="4"/>
  <c r="A458" i="4"/>
  <c r="B458" i="4"/>
  <c r="D458" i="4"/>
  <c r="E458" i="4"/>
  <c r="F458" i="4"/>
  <c r="G458" i="4"/>
  <c r="H458" i="4"/>
  <c r="I458" i="4"/>
  <c r="A459" i="4"/>
  <c r="B459" i="4"/>
  <c r="D459" i="4"/>
  <c r="E459" i="4"/>
  <c r="F459" i="4"/>
  <c r="G459" i="4"/>
  <c r="H459" i="4"/>
  <c r="I459" i="4"/>
  <c r="A460" i="4"/>
  <c r="B460" i="4"/>
  <c r="D460" i="4"/>
  <c r="E460" i="4"/>
  <c r="F460" i="4"/>
  <c r="G460" i="4"/>
  <c r="H460" i="4"/>
  <c r="I460" i="4"/>
  <c r="A461" i="4"/>
  <c r="B461" i="4"/>
  <c r="D461" i="4"/>
  <c r="E461" i="4"/>
  <c r="F461" i="4"/>
  <c r="G461" i="4"/>
  <c r="H461" i="4"/>
  <c r="I461" i="4"/>
  <c r="A462" i="4"/>
  <c r="B462" i="4"/>
  <c r="D462" i="4"/>
  <c r="E462" i="4"/>
  <c r="F462" i="4"/>
  <c r="G462" i="4"/>
  <c r="H462" i="4"/>
  <c r="I462" i="4"/>
  <c r="A463" i="4"/>
  <c r="B463" i="4"/>
  <c r="D463" i="4"/>
  <c r="E463" i="4"/>
  <c r="F463" i="4"/>
  <c r="G463" i="4"/>
  <c r="H463" i="4"/>
  <c r="I463" i="4"/>
  <c r="A464" i="4"/>
  <c r="B464" i="4"/>
  <c r="D464" i="4"/>
  <c r="E464" i="4"/>
  <c r="F464" i="4"/>
  <c r="G464" i="4"/>
  <c r="H464" i="4"/>
  <c r="I464" i="4"/>
  <c r="A465" i="4"/>
  <c r="B465" i="4"/>
  <c r="D465" i="4"/>
  <c r="E465" i="4"/>
  <c r="F465" i="4"/>
  <c r="G465" i="4"/>
  <c r="H465" i="4"/>
  <c r="I465" i="4"/>
  <c r="A466" i="4"/>
  <c r="B466" i="4"/>
  <c r="D466" i="4"/>
  <c r="E466" i="4"/>
  <c r="F466" i="4"/>
  <c r="G466" i="4"/>
  <c r="H466" i="4"/>
  <c r="I466" i="4"/>
  <c r="A467" i="4"/>
  <c r="B467" i="4"/>
  <c r="D467" i="4"/>
  <c r="E467" i="4"/>
  <c r="F467" i="4"/>
  <c r="G467" i="4"/>
  <c r="H467" i="4"/>
  <c r="I467" i="4"/>
  <c r="A468" i="4"/>
  <c r="B468" i="4"/>
  <c r="D468" i="4"/>
  <c r="E468" i="4"/>
  <c r="F468" i="4"/>
  <c r="G468" i="4"/>
  <c r="H468" i="4"/>
  <c r="I468" i="4"/>
  <c r="A469" i="4"/>
  <c r="B469" i="4"/>
  <c r="D469" i="4"/>
  <c r="E469" i="4"/>
  <c r="F469" i="4"/>
  <c r="G469" i="4"/>
  <c r="H469" i="4"/>
  <c r="I469" i="4"/>
  <c r="A470" i="4"/>
  <c r="B470" i="4"/>
  <c r="D470" i="4"/>
  <c r="E470" i="4"/>
  <c r="F470" i="4"/>
  <c r="G470" i="4"/>
  <c r="H470" i="4"/>
  <c r="I470" i="4"/>
  <c r="A471" i="4"/>
  <c r="B471" i="4"/>
  <c r="D471" i="4"/>
  <c r="E471" i="4"/>
  <c r="F471" i="4"/>
  <c r="G471" i="4"/>
  <c r="H471" i="4"/>
  <c r="I471" i="4"/>
  <c r="A472" i="4"/>
  <c r="B472" i="4"/>
  <c r="D472" i="4"/>
  <c r="E472" i="4"/>
  <c r="F472" i="4"/>
  <c r="G472" i="4"/>
  <c r="H472" i="4"/>
  <c r="I472" i="4"/>
  <c r="A473" i="4"/>
  <c r="B473" i="4"/>
  <c r="D473" i="4"/>
  <c r="E473" i="4"/>
  <c r="F473" i="4"/>
  <c r="G473" i="4"/>
  <c r="H473" i="4"/>
  <c r="I473" i="4"/>
  <c r="A474" i="4"/>
  <c r="B474" i="4"/>
  <c r="D474" i="4"/>
  <c r="E474" i="4"/>
  <c r="F474" i="4"/>
  <c r="G474" i="4"/>
  <c r="H474" i="4"/>
  <c r="I474" i="4"/>
  <c r="A475" i="4"/>
  <c r="B475" i="4"/>
  <c r="D475" i="4"/>
  <c r="E475" i="4"/>
  <c r="F475" i="4"/>
  <c r="G475" i="4"/>
  <c r="H475" i="4"/>
  <c r="I475" i="4"/>
  <c r="A476" i="4"/>
  <c r="B476" i="4"/>
  <c r="D476" i="4"/>
  <c r="E476" i="4"/>
  <c r="F476" i="4"/>
  <c r="G476" i="4"/>
  <c r="H476" i="4"/>
  <c r="I476" i="4"/>
  <c r="A477" i="4"/>
  <c r="B477" i="4"/>
  <c r="D477" i="4"/>
  <c r="E477" i="4"/>
  <c r="F477" i="4"/>
  <c r="G477" i="4"/>
  <c r="H477" i="4"/>
  <c r="I477" i="4"/>
  <c r="A478" i="4"/>
  <c r="B478" i="4"/>
  <c r="D478" i="4"/>
  <c r="E478" i="4"/>
  <c r="F478" i="4"/>
  <c r="G478" i="4"/>
  <c r="H478" i="4"/>
  <c r="I478" i="4"/>
  <c r="A479" i="4"/>
  <c r="B479" i="4"/>
  <c r="D479" i="4"/>
  <c r="E479" i="4"/>
  <c r="F479" i="4"/>
  <c r="G479" i="4"/>
  <c r="H479" i="4"/>
  <c r="I479" i="4"/>
  <c r="A480" i="4"/>
  <c r="B480" i="4"/>
  <c r="D480" i="4"/>
  <c r="E480" i="4"/>
  <c r="F480" i="4"/>
  <c r="G480" i="4"/>
  <c r="H480" i="4"/>
  <c r="I480" i="4"/>
  <c r="A481" i="4"/>
  <c r="B481" i="4"/>
  <c r="D481" i="4"/>
  <c r="E481" i="4"/>
  <c r="F481" i="4"/>
  <c r="G481" i="4"/>
  <c r="H481" i="4"/>
  <c r="I481" i="4"/>
  <c r="A482" i="4"/>
  <c r="B482" i="4"/>
  <c r="D482" i="4"/>
  <c r="E482" i="4"/>
  <c r="F482" i="4"/>
  <c r="G482" i="4"/>
  <c r="H482" i="4"/>
  <c r="I482" i="4"/>
  <c r="A483" i="4"/>
  <c r="B483" i="4"/>
  <c r="D483" i="4"/>
  <c r="E483" i="4"/>
  <c r="F483" i="4"/>
  <c r="G483" i="4"/>
  <c r="H483" i="4"/>
  <c r="I483" i="4"/>
  <c r="A484" i="4"/>
  <c r="B484" i="4"/>
  <c r="D484" i="4"/>
  <c r="E484" i="4"/>
  <c r="F484" i="4"/>
  <c r="G484" i="4"/>
  <c r="H484" i="4"/>
  <c r="I484" i="4"/>
  <c r="A485" i="4"/>
  <c r="B485" i="4"/>
  <c r="D485" i="4"/>
  <c r="E485" i="4"/>
  <c r="F485" i="4"/>
  <c r="G485" i="4"/>
  <c r="H485" i="4"/>
  <c r="I485" i="4"/>
  <c r="A486" i="4"/>
  <c r="B486" i="4"/>
  <c r="D486" i="4"/>
  <c r="E486" i="4"/>
  <c r="F486" i="4"/>
  <c r="G486" i="4"/>
  <c r="H486" i="4"/>
  <c r="I486" i="4"/>
  <c r="A487" i="4"/>
  <c r="B487" i="4"/>
  <c r="D487" i="4"/>
  <c r="E487" i="4"/>
  <c r="F487" i="4"/>
  <c r="G487" i="4"/>
  <c r="H487" i="4"/>
  <c r="I487" i="4"/>
  <c r="A488" i="4"/>
  <c r="B488" i="4"/>
  <c r="D488" i="4"/>
  <c r="E488" i="4"/>
  <c r="F488" i="4"/>
  <c r="G488" i="4"/>
  <c r="H488" i="4"/>
  <c r="I488" i="4"/>
  <c r="A489" i="4"/>
  <c r="B489" i="4"/>
  <c r="D489" i="4"/>
  <c r="E489" i="4"/>
  <c r="F489" i="4"/>
  <c r="G489" i="4"/>
  <c r="H489" i="4"/>
  <c r="I489" i="4"/>
  <c r="A490" i="4"/>
  <c r="B490" i="4"/>
  <c r="D490" i="4"/>
  <c r="E490" i="4"/>
  <c r="F490" i="4"/>
  <c r="G490" i="4"/>
  <c r="H490" i="4"/>
  <c r="I490" i="4"/>
  <c r="A491" i="4"/>
  <c r="B491" i="4"/>
  <c r="D491" i="4"/>
  <c r="E491" i="4"/>
  <c r="F491" i="4"/>
  <c r="G491" i="4"/>
  <c r="H491" i="4"/>
  <c r="I491" i="4"/>
  <c r="A492" i="4"/>
  <c r="B492" i="4"/>
  <c r="D492" i="4"/>
  <c r="E492" i="4"/>
  <c r="F492" i="4"/>
  <c r="G492" i="4"/>
  <c r="H492" i="4"/>
  <c r="I492" i="4"/>
  <c r="A493" i="4"/>
  <c r="B493" i="4"/>
  <c r="D493" i="4"/>
  <c r="E493" i="4"/>
  <c r="F493" i="4"/>
  <c r="G493" i="4"/>
  <c r="H493" i="4"/>
  <c r="I493" i="4"/>
  <c r="A494" i="4"/>
  <c r="B494" i="4"/>
  <c r="D494" i="4"/>
  <c r="E494" i="4"/>
  <c r="F494" i="4"/>
  <c r="G494" i="4"/>
  <c r="H494" i="4"/>
  <c r="I494" i="4"/>
  <c r="A495" i="4"/>
  <c r="B495" i="4"/>
  <c r="D495" i="4"/>
  <c r="E495" i="4"/>
  <c r="F495" i="4"/>
  <c r="G495" i="4"/>
  <c r="H495" i="4"/>
  <c r="I495" i="4"/>
  <c r="A496" i="4"/>
  <c r="B496" i="4"/>
  <c r="D496" i="4"/>
  <c r="E496" i="4"/>
  <c r="F496" i="4"/>
  <c r="G496" i="4"/>
  <c r="H496" i="4"/>
  <c r="I496" i="4"/>
  <c r="A497" i="4"/>
  <c r="B497" i="4"/>
  <c r="D497" i="4"/>
  <c r="E497" i="4"/>
  <c r="F497" i="4"/>
  <c r="G497" i="4"/>
  <c r="H497" i="4"/>
  <c r="I497" i="4"/>
  <c r="A498" i="4"/>
  <c r="B498" i="4"/>
  <c r="D498" i="4"/>
  <c r="E498" i="4"/>
  <c r="F498" i="4"/>
  <c r="G498" i="4"/>
  <c r="H498" i="4"/>
  <c r="I498" i="4"/>
  <c r="A499" i="4"/>
  <c r="B499" i="4"/>
  <c r="D499" i="4"/>
  <c r="E499" i="4"/>
  <c r="F499" i="4"/>
  <c r="G499" i="4"/>
  <c r="H499" i="4"/>
  <c r="I499" i="4"/>
  <c r="A500" i="4"/>
  <c r="B500" i="4"/>
  <c r="D500" i="4"/>
  <c r="E500" i="4"/>
  <c r="F500" i="4"/>
  <c r="G500" i="4"/>
  <c r="H500" i="4"/>
  <c r="I500" i="4"/>
  <c r="A501" i="4"/>
  <c r="B501" i="4"/>
  <c r="D501" i="4"/>
  <c r="E501" i="4"/>
  <c r="F501" i="4"/>
  <c r="G501" i="4"/>
  <c r="H501" i="4"/>
  <c r="I501" i="4"/>
  <c r="A502" i="4"/>
  <c r="B502" i="4"/>
  <c r="D502" i="4"/>
  <c r="E502" i="4"/>
  <c r="F502" i="4"/>
  <c r="G502" i="4"/>
  <c r="H502" i="4"/>
  <c r="I502" i="4"/>
  <c r="A503" i="4"/>
  <c r="B503" i="4"/>
  <c r="D503" i="4"/>
  <c r="E503" i="4"/>
  <c r="F503" i="4"/>
  <c r="G503" i="4"/>
  <c r="H503" i="4"/>
  <c r="I503" i="4"/>
  <c r="A504" i="4"/>
  <c r="B504" i="4"/>
  <c r="D504" i="4"/>
  <c r="E504" i="4"/>
  <c r="F504" i="4"/>
  <c r="G504" i="4"/>
  <c r="H504" i="4"/>
  <c r="I504" i="4"/>
  <c r="A505" i="4"/>
  <c r="B505" i="4"/>
  <c r="D505" i="4"/>
  <c r="E505" i="4"/>
  <c r="F505" i="4"/>
  <c r="G505" i="4"/>
  <c r="H505" i="4"/>
  <c r="I505" i="4"/>
  <c r="A506" i="4"/>
  <c r="B506" i="4"/>
  <c r="D506" i="4"/>
  <c r="E506" i="4"/>
  <c r="F506" i="4"/>
  <c r="G506" i="4"/>
  <c r="H506" i="4"/>
  <c r="I506" i="4"/>
  <c r="A507" i="4"/>
  <c r="B507" i="4"/>
  <c r="D507" i="4"/>
  <c r="E507" i="4"/>
  <c r="F507" i="4"/>
  <c r="G507" i="4"/>
  <c r="H507" i="4"/>
  <c r="I507" i="4"/>
  <c r="A508" i="4"/>
  <c r="B508" i="4"/>
  <c r="D508" i="4"/>
  <c r="E508" i="4"/>
  <c r="F508" i="4"/>
  <c r="G508" i="4"/>
  <c r="H508" i="4"/>
  <c r="I508" i="4"/>
  <c r="A509" i="4"/>
  <c r="B509" i="4"/>
  <c r="D509" i="4"/>
  <c r="E509" i="4"/>
  <c r="F509" i="4"/>
  <c r="G509" i="4"/>
  <c r="H509" i="4"/>
  <c r="I509" i="4"/>
  <c r="A510" i="4"/>
  <c r="B510" i="4"/>
  <c r="D510" i="4"/>
  <c r="E510" i="4"/>
  <c r="F510" i="4"/>
  <c r="G510" i="4"/>
  <c r="H510" i="4"/>
  <c r="I510" i="4"/>
  <c r="A511" i="4"/>
  <c r="B511" i="4"/>
  <c r="D511" i="4"/>
  <c r="E511" i="4"/>
  <c r="F511" i="4"/>
  <c r="G511" i="4"/>
  <c r="H511" i="4"/>
  <c r="I511" i="4"/>
  <c r="A512" i="4"/>
  <c r="B512" i="4"/>
  <c r="D512" i="4"/>
  <c r="E512" i="4"/>
  <c r="F512" i="4"/>
  <c r="G512" i="4"/>
  <c r="H512" i="4"/>
  <c r="I512" i="4"/>
  <c r="A513" i="4"/>
  <c r="B513" i="4"/>
  <c r="D513" i="4"/>
  <c r="E513" i="4"/>
  <c r="F513" i="4"/>
  <c r="G513" i="4"/>
  <c r="H513" i="4"/>
  <c r="I513" i="4"/>
  <c r="A514" i="4"/>
  <c r="B514" i="4"/>
  <c r="D514" i="4"/>
  <c r="E514" i="4"/>
  <c r="F514" i="4"/>
  <c r="G514" i="4"/>
  <c r="H514" i="4"/>
  <c r="I514" i="4"/>
  <c r="A515" i="4"/>
  <c r="B515" i="4"/>
  <c r="D515" i="4"/>
  <c r="E515" i="4"/>
  <c r="F515" i="4"/>
  <c r="G515" i="4"/>
  <c r="H515" i="4"/>
  <c r="I515" i="4"/>
  <c r="A516" i="4"/>
  <c r="B516" i="4"/>
  <c r="D516" i="4"/>
  <c r="E516" i="4"/>
  <c r="F516" i="4"/>
  <c r="G516" i="4"/>
  <c r="H516" i="4"/>
  <c r="I516" i="4"/>
  <c r="A517" i="4"/>
  <c r="B517" i="4"/>
  <c r="D517" i="4"/>
  <c r="E517" i="4"/>
  <c r="F517" i="4"/>
  <c r="G517" i="4"/>
  <c r="H517" i="4"/>
  <c r="I517" i="4"/>
  <c r="A518" i="4"/>
  <c r="B518" i="4"/>
  <c r="D518" i="4"/>
  <c r="E518" i="4"/>
  <c r="F518" i="4"/>
  <c r="G518" i="4"/>
  <c r="H518" i="4"/>
  <c r="I518" i="4"/>
  <c r="A519" i="4"/>
  <c r="B519" i="4"/>
  <c r="D519" i="4"/>
  <c r="E519" i="4"/>
  <c r="F519" i="4"/>
  <c r="G519" i="4"/>
  <c r="H519" i="4"/>
  <c r="I519" i="4"/>
  <c r="A520" i="4"/>
  <c r="B520" i="4"/>
  <c r="D520" i="4"/>
  <c r="E520" i="4"/>
  <c r="F520" i="4"/>
  <c r="G520" i="4"/>
  <c r="H520" i="4"/>
  <c r="I520" i="4"/>
  <c r="A521" i="4"/>
  <c r="B521" i="4"/>
  <c r="D521" i="4"/>
  <c r="E521" i="4"/>
  <c r="F521" i="4"/>
  <c r="G521" i="4"/>
  <c r="H521" i="4"/>
  <c r="I521" i="4"/>
  <c r="A522" i="4"/>
  <c r="B522" i="4"/>
  <c r="D522" i="4"/>
  <c r="E522" i="4"/>
  <c r="F522" i="4"/>
  <c r="G522" i="4"/>
  <c r="H522" i="4"/>
  <c r="I522" i="4"/>
  <c r="A523" i="4"/>
  <c r="B523" i="4"/>
  <c r="D523" i="4"/>
  <c r="E523" i="4"/>
  <c r="F523" i="4"/>
  <c r="G523" i="4"/>
  <c r="H523" i="4"/>
  <c r="I523" i="4"/>
  <c r="A524" i="4"/>
  <c r="B524" i="4"/>
  <c r="D524" i="4"/>
  <c r="E524" i="4"/>
  <c r="F524" i="4"/>
  <c r="G524" i="4"/>
  <c r="H524" i="4"/>
  <c r="I524" i="4"/>
  <c r="A525" i="4"/>
  <c r="B525" i="4"/>
  <c r="D525" i="4"/>
  <c r="E525" i="4"/>
  <c r="F525" i="4"/>
  <c r="G525" i="4"/>
  <c r="H525" i="4"/>
  <c r="I525" i="4"/>
  <c r="A526" i="4"/>
  <c r="B526" i="4"/>
  <c r="D526" i="4"/>
  <c r="E526" i="4"/>
  <c r="F526" i="4"/>
  <c r="G526" i="4"/>
  <c r="H526" i="4"/>
  <c r="I526" i="4"/>
  <c r="A527" i="4"/>
  <c r="B527" i="4"/>
  <c r="D527" i="4"/>
  <c r="E527" i="4"/>
  <c r="F527" i="4"/>
  <c r="G527" i="4"/>
  <c r="H527" i="4"/>
  <c r="I527" i="4"/>
  <c r="A528" i="4"/>
  <c r="B528" i="4"/>
  <c r="D528" i="4"/>
  <c r="E528" i="4"/>
  <c r="F528" i="4"/>
  <c r="G528" i="4"/>
  <c r="H528" i="4"/>
  <c r="I528" i="4"/>
  <c r="A529" i="4"/>
  <c r="B529" i="4"/>
  <c r="D529" i="4"/>
  <c r="E529" i="4"/>
  <c r="F529" i="4"/>
  <c r="G529" i="4"/>
  <c r="H529" i="4"/>
  <c r="I529" i="4"/>
  <c r="A530" i="4"/>
  <c r="B530" i="4"/>
  <c r="D530" i="4"/>
  <c r="E530" i="4"/>
  <c r="F530" i="4"/>
  <c r="G530" i="4"/>
  <c r="H530" i="4"/>
  <c r="I530" i="4"/>
  <c r="A531" i="4"/>
  <c r="B531" i="4"/>
  <c r="D531" i="4"/>
  <c r="E531" i="4"/>
  <c r="F531" i="4"/>
  <c r="G531" i="4"/>
  <c r="H531" i="4"/>
  <c r="I531" i="4"/>
  <c r="A532" i="4"/>
  <c r="B532" i="4"/>
  <c r="D532" i="4"/>
  <c r="E532" i="4"/>
  <c r="F532" i="4"/>
  <c r="G532" i="4"/>
  <c r="H532" i="4"/>
  <c r="I532" i="4"/>
  <c r="A533" i="4"/>
  <c r="B533" i="4"/>
  <c r="D533" i="4"/>
  <c r="E533" i="4"/>
  <c r="F533" i="4"/>
  <c r="G533" i="4"/>
  <c r="H533" i="4"/>
  <c r="I533" i="4"/>
  <c r="A534" i="4"/>
  <c r="B534" i="4"/>
  <c r="D534" i="4"/>
  <c r="E534" i="4"/>
  <c r="F534" i="4"/>
  <c r="G534" i="4"/>
  <c r="H534" i="4"/>
  <c r="I534" i="4"/>
  <c r="A535" i="4"/>
  <c r="B535" i="4"/>
  <c r="D535" i="4"/>
  <c r="E535" i="4"/>
  <c r="F535" i="4"/>
  <c r="G535" i="4"/>
  <c r="H535" i="4"/>
  <c r="I535" i="4"/>
  <c r="A536" i="4"/>
  <c r="B536" i="4"/>
  <c r="D536" i="4"/>
  <c r="E536" i="4"/>
  <c r="F536" i="4"/>
  <c r="G536" i="4"/>
  <c r="H536" i="4"/>
  <c r="I536" i="4"/>
  <c r="A537" i="4"/>
  <c r="B537" i="4"/>
  <c r="D537" i="4"/>
  <c r="E537" i="4"/>
  <c r="F537" i="4"/>
  <c r="G537" i="4"/>
  <c r="H537" i="4"/>
  <c r="I537" i="4"/>
  <c r="A538" i="4"/>
  <c r="B538" i="4"/>
  <c r="D538" i="4"/>
  <c r="E538" i="4"/>
  <c r="F538" i="4"/>
  <c r="G538" i="4"/>
  <c r="H538" i="4"/>
  <c r="I538" i="4"/>
  <c r="A539" i="4"/>
  <c r="B539" i="4"/>
  <c r="D539" i="4"/>
  <c r="E539" i="4"/>
  <c r="F539" i="4"/>
  <c r="G539" i="4"/>
  <c r="H539" i="4"/>
  <c r="I539" i="4"/>
  <c r="A540" i="4"/>
  <c r="B540" i="4"/>
  <c r="D540" i="4"/>
  <c r="E540" i="4"/>
  <c r="F540" i="4"/>
  <c r="G540" i="4"/>
  <c r="H540" i="4"/>
  <c r="I540" i="4"/>
  <c r="A541" i="4"/>
  <c r="B541" i="4"/>
  <c r="D541" i="4"/>
  <c r="E541" i="4"/>
  <c r="F541" i="4"/>
  <c r="G541" i="4"/>
  <c r="H541" i="4"/>
  <c r="I541" i="4"/>
  <c r="A542" i="4"/>
  <c r="B542" i="4"/>
  <c r="D542" i="4"/>
  <c r="E542" i="4"/>
  <c r="F542" i="4"/>
  <c r="G542" i="4"/>
  <c r="H542" i="4"/>
  <c r="I542" i="4"/>
  <c r="A543" i="4"/>
  <c r="B543" i="4"/>
  <c r="D543" i="4"/>
  <c r="E543" i="4"/>
  <c r="F543" i="4"/>
  <c r="G543" i="4"/>
  <c r="H543" i="4"/>
  <c r="I543" i="4"/>
  <c r="A544" i="4"/>
  <c r="B544" i="4"/>
  <c r="D544" i="4"/>
  <c r="E544" i="4"/>
  <c r="F544" i="4"/>
  <c r="G544" i="4"/>
  <c r="H544" i="4"/>
  <c r="I544" i="4"/>
  <c r="A545" i="4"/>
  <c r="B545" i="4"/>
  <c r="D545" i="4"/>
  <c r="E545" i="4"/>
  <c r="F545" i="4"/>
  <c r="G545" i="4"/>
  <c r="H545" i="4"/>
  <c r="I545" i="4"/>
  <c r="A546" i="4"/>
  <c r="B546" i="4"/>
  <c r="D546" i="4"/>
  <c r="E546" i="4"/>
  <c r="F546" i="4"/>
  <c r="G546" i="4"/>
  <c r="H546" i="4"/>
  <c r="I546" i="4"/>
  <c r="A547" i="4"/>
  <c r="B547" i="4"/>
  <c r="D547" i="4"/>
  <c r="E547" i="4"/>
  <c r="F547" i="4"/>
  <c r="G547" i="4"/>
  <c r="H547" i="4"/>
  <c r="I547" i="4"/>
  <c r="A548" i="4"/>
  <c r="B548" i="4"/>
  <c r="D548" i="4"/>
  <c r="E548" i="4"/>
  <c r="F548" i="4"/>
  <c r="G548" i="4"/>
  <c r="H548" i="4"/>
  <c r="I548" i="4"/>
  <c r="A549" i="4"/>
  <c r="B549" i="4"/>
  <c r="D549" i="4"/>
  <c r="E549" i="4"/>
  <c r="F549" i="4"/>
  <c r="G549" i="4"/>
  <c r="H549" i="4"/>
  <c r="I549" i="4"/>
  <c r="A550" i="4"/>
  <c r="B550" i="4"/>
  <c r="D550" i="4"/>
  <c r="E550" i="4"/>
  <c r="F550" i="4"/>
  <c r="G550" i="4"/>
  <c r="H550" i="4"/>
  <c r="I550" i="4"/>
  <c r="A551" i="4"/>
  <c r="B551" i="4"/>
  <c r="D551" i="4"/>
  <c r="E551" i="4"/>
  <c r="F551" i="4"/>
  <c r="G551" i="4"/>
  <c r="H551" i="4"/>
  <c r="I551" i="4"/>
  <c r="A552" i="4"/>
  <c r="B552" i="4"/>
  <c r="D552" i="4"/>
  <c r="E552" i="4"/>
  <c r="F552" i="4"/>
  <c r="G552" i="4"/>
  <c r="H552" i="4"/>
  <c r="I552" i="4"/>
  <c r="A553" i="4"/>
  <c r="B553" i="4"/>
  <c r="D553" i="4"/>
  <c r="E553" i="4"/>
  <c r="F553" i="4"/>
  <c r="G553" i="4"/>
  <c r="H553" i="4"/>
  <c r="I553" i="4"/>
  <c r="A554" i="4"/>
  <c r="B554" i="4"/>
  <c r="D554" i="4"/>
  <c r="E554" i="4"/>
  <c r="F554" i="4"/>
  <c r="G554" i="4"/>
  <c r="H554" i="4"/>
  <c r="I554" i="4"/>
  <c r="A555" i="4"/>
  <c r="B555" i="4"/>
  <c r="D555" i="4"/>
  <c r="E555" i="4"/>
  <c r="F555" i="4"/>
  <c r="G555" i="4"/>
  <c r="H555" i="4"/>
  <c r="I555" i="4"/>
  <c r="A556" i="4"/>
  <c r="B556" i="4"/>
  <c r="D556" i="4"/>
  <c r="E556" i="4"/>
  <c r="F556" i="4"/>
  <c r="G556" i="4"/>
  <c r="H556" i="4"/>
  <c r="I556" i="4"/>
  <c r="A557" i="4"/>
  <c r="B557" i="4"/>
  <c r="D557" i="4"/>
  <c r="E557" i="4"/>
  <c r="F557" i="4"/>
  <c r="G557" i="4"/>
  <c r="H557" i="4"/>
  <c r="I557" i="4"/>
  <c r="A558" i="4"/>
  <c r="B558" i="4"/>
  <c r="D558" i="4"/>
  <c r="E558" i="4"/>
  <c r="F558" i="4"/>
  <c r="G558" i="4"/>
  <c r="H558" i="4"/>
  <c r="I558" i="4"/>
  <c r="A559" i="4"/>
  <c r="B559" i="4"/>
  <c r="D559" i="4"/>
  <c r="E559" i="4"/>
  <c r="F559" i="4"/>
  <c r="G559" i="4"/>
  <c r="H559" i="4"/>
  <c r="I559" i="4"/>
  <c r="A560" i="4"/>
  <c r="B560" i="4"/>
  <c r="D560" i="4"/>
  <c r="E560" i="4"/>
  <c r="F560" i="4"/>
  <c r="G560" i="4"/>
  <c r="H560" i="4"/>
  <c r="I560" i="4"/>
  <c r="A561" i="4"/>
  <c r="B561" i="4"/>
  <c r="D561" i="4"/>
  <c r="E561" i="4"/>
  <c r="F561" i="4"/>
  <c r="G561" i="4"/>
  <c r="H561" i="4"/>
  <c r="I561" i="4"/>
  <c r="A562" i="4"/>
  <c r="B562" i="4"/>
  <c r="D562" i="4"/>
  <c r="E562" i="4"/>
  <c r="F562" i="4"/>
  <c r="G562" i="4"/>
  <c r="H562" i="4"/>
  <c r="I562" i="4"/>
  <c r="A563" i="4"/>
  <c r="B563" i="4"/>
  <c r="D563" i="4"/>
  <c r="E563" i="4"/>
  <c r="F563" i="4"/>
  <c r="G563" i="4"/>
  <c r="H563" i="4"/>
  <c r="I563" i="4"/>
  <c r="A564" i="4"/>
  <c r="B564" i="4"/>
  <c r="D564" i="4"/>
  <c r="E564" i="4"/>
  <c r="F564" i="4"/>
  <c r="G564" i="4"/>
  <c r="H564" i="4"/>
  <c r="I564" i="4"/>
  <c r="A565" i="4"/>
  <c r="B565" i="4"/>
  <c r="D565" i="4"/>
  <c r="E565" i="4"/>
  <c r="F565" i="4"/>
  <c r="G565" i="4"/>
  <c r="H565" i="4"/>
  <c r="I565" i="4"/>
  <c r="A566" i="4"/>
  <c r="B566" i="4"/>
  <c r="D566" i="4"/>
  <c r="E566" i="4"/>
  <c r="F566" i="4"/>
  <c r="G566" i="4"/>
  <c r="H566" i="4"/>
  <c r="I566" i="4"/>
  <c r="A567" i="4"/>
  <c r="B567" i="4"/>
  <c r="D567" i="4"/>
  <c r="E567" i="4"/>
  <c r="F567" i="4"/>
  <c r="G567" i="4"/>
  <c r="H567" i="4"/>
  <c r="I567" i="4"/>
  <c r="A568" i="4"/>
  <c r="B568" i="4"/>
  <c r="D568" i="4"/>
  <c r="E568" i="4"/>
  <c r="F568" i="4"/>
  <c r="G568" i="4"/>
  <c r="H568" i="4"/>
  <c r="I568" i="4"/>
  <c r="A569" i="4"/>
  <c r="B569" i="4"/>
  <c r="D569" i="4"/>
  <c r="E569" i="4"/>
  <c r="F569" i="4"/>
  <c r="G569" i="4"/>
  <c r="H569" i="4"/>
  <c r="I569" i="4"/>
  <c r="A570" i="4"/>
  <c r="B570" i="4"/>
  <c r="D570" i="4"/>
  <c r="E570" i="4"/>
  <c r="F570" i="4"/>
  <c r="G570" i="4"/>
  <c r="H570" i="4"/>
  <c r="I570" i="4"/>
  <c r="A571" i="4"/>
  <c r="B571" i="4"/>
  <c r="D571" i="4"/>
  <c r="E571" i="4"/>
  <c r="F571" i="4"/>
  <c r="G571" i="4"/>
  <c r="H571" i="4"/>
  <c r="I571" i="4"/>
  <c r="A572" i="4"/>
  <c r="B572" i="4"/>
  <c r="D572" i="4"/>
  <c r="E572" i="4"/>
  <c r="F572" i="4"/>
  <c r="G572" i="4"/>
  <c r="H572" i="4"/>
  <c r="I572" i="4"/>
  <c r="A573" i="4"/>
  <c r="B573" i="4"/>
  <c r="D573" i="4"/>
  <c r="E573" i="4"/>
  <c r="F573" i="4"/>
  <c r="G573" i="4"/>
  <c r="H573" i="4"/>
  <c r="I573" i="4"/>
  <c r="A574" i="4"/>
  <c r="B574" i="4"/>
  <c r="D574" i="4"/>
  <c r="E574" i="4"/>
  <c r="F574" i="4"/>
  <c r="G574" i="4"/>
  <c r="H574" i="4"/>
  <c r="I574" i="4"/>
  <c r="A575" i="4"/>
  <c r="B575" i="4"/>
  <c r="D575" i="4"/>
  <c r="E575" i="4"/>
  <c r="F575" i="4"/>
  <c r="G575" i="4"/>
  <c r="H575" i="4"/>
  <c r="I575" i="4"/>
  <c r="A576" i="4"/>
  <c r="B576" i="4"/>
  <c r="D576" i="4"/>
  <c r="E576" i="4"/>
  <c r="F576" i="4"/>
  <c r="G576" i="4"/>
  <c r="H576" i="4"/>
  <c r="I576" i="4"/>
  <c r="A577" i="4"/>
  <c r="B577" i="4"/>
  <c r="D577" i="4"/>
  <c r="E577" i="4"/>
  <c r="F577" i="4"/>
  <c r="G577" i="4"/>
  <c r="H577" i="4"/>
  <c r="I577" i="4"/>
  <c r="A578" i="4"/>
  <c r="B578" i="4"/>
  <c r="D578" i="4"/>
  <c r="E578" i="4"/>
  <c r="F578" i="4"/>
  <c r="G578" i="4"/>
  <c r="H578" i="4"/>
  <c r="I578" i="4"/>
  <c r="A579" i="4"/>
  <c r="B579" i="4"/>
  <c r="D579" i="4"/>
  <c r="E579" i="4"/>
  <c r="F579" i="4"/>
  <c r="G579" i="4"/>
  <c r="H579" i="4"/>
  <c r="I579" i="4"/>
  <c r="A580" i="4"/>
  <c r="B580" i="4"/>
  <c r="D580" i="4"/>
  <c r="E580" i="4"/>
  <c r="F580" i="4"/>
  <c r="G580" i="4"/>
  <c r="H580" i="4"/>
  <c r="I580" i="4"/>
  <c r="A581" i="4"/>
  <c r="B581" i="4"/>
  <c r="D581" i="4"/>
  <c r="E581" i="4"/>
  <c r="F581" i="4"/>
  <c r="G581" i="4"/>
  <c r="H581" i="4"/>
  <c r="I581" i="4"/>
  <c r="A582" i="4"/>
  <c r="B582" i="4"/>
  <c r="D582" i="4"/>
  <c r="E582" i="4"/>
  <c r="F582" i="4"/>
  <c r="G582" i="4"/>
  <c r="H582" i="4"/>
  <c r="I582" i="4"/>
  <c r="A583" i="4"/>
  <c r="B583" i="4"/>
  <c r="D583" i="4"/>
  <c r="E583" i="4"/>
  <c r="F583" i="4"/>
  <c r="G583" i="4"/>
  <c r="H583" i="4"/>
  <c r="I583" i="4"/>
  <c r="A584" i="4"/>
  <c r="B584" i="4"/>
  <c r="D584" i="4"/>
  <c r="E584" i="4"/>
  <c r="F584" i="4"/>
  <c r="G584" i="4"/>
  <c r="H584" i="4"/>
  <c r="I584" i="4"/>
  <c r="A585" i="4"/>
  <c r="B585" i="4"/>
  <c r="D585" i="4"/>
  <c r="E585" i="4"/>
  <c r="F585" i="4"/>
  <c r="G585" i="4"/>
  <c r="H585" i="4"/>
  <c r="I585" i="4"/>
  <c r="A586" i="4"/>
  <c r="B586" i="4"/>
  <c r="D586" i="4"/>
  <c r="E586" i="4"/>
  <c r="F586" i="4"/>
  <c r="G586" i="4"/>
  <c r="H586" i="4"/>
  <c r="I586" i="4"/>
  <c r="A587" i="4"/>
  <c r="B587" i="4"/>
  <c r="D587" i="4"/>
  <c r="E587" i="4"/>
  <c r="F587" i="4"/>
  <c r="G587" i="4"/>
  <c r="H587" i="4"/>
  <c r="I587" i="4"/>
  <c r="A588" i="4"/>
  <c r="B588" i="4"/>
  <c r="D588" i="4"/>
  <c r="E588" i="4"/>
  <c r="F588" i="4"/>
  <c r="G588" i="4"/>
  <c r="H588" i="4"/>
  <c r="I588" i="4"/>
  <c r="A589" i="4"/>
  <c r="B589" i="4"/>
  <c r="D589" i="4"/>
  <c r="E589" i="4"/>
  <c r="F589" i="4"/>
  <c r="G589" i="4"/>
  <c r="H589" i="4"/>
  <c r="I589" i="4"/>
  <c r="A590" i="4"/>
  <c r="B590" i="4"/>
  <c r="D590" i="4"/>
  <c r="E590" i="4"/>
  <c r="F590" i="4"/>
  <c r="G590" i="4"/>
  <c r="H590" i="4"/>
  <c r="I590" i="4"/>
  <c r="A591" i="4"/>
  <c r="B591" i="4"/>
  <c r="D591" i="4"/>
  <c r="E591" i="4"/>
  <c r="F591" i="4"/>
  <c r="G591" i="4"/>
  <c r="H591" i="4"/>
  <c r="I591" i="4"/>
  <c r="A592" i="4"/>
  <c r="B592" i="4"/>
  <c r="D592" i="4"/>
  <c r="E592" i="4"/>
  <c r="F592" i="4"/>
  <c r="G592" i="4"/>
  <c r="H592" i="4"/>
  <c r="I592" i="4"/>
  <c r="A593" i="4"/>
  <c r="B593" i="4"/>
  <c r="D593" i="4"/>
  <c r="E593" i="4"/>
  <c r="F593" i="4"/>
  <c r="G593" i="4"/>
  <c r="H593" i="4"/>
  <c r="I593" i="4"/>
  <c r="A594" i="4"/>
  <c r="B594" i="4"/>
  <c r="D594" i="4"/>
  <c r="E594" i="4"/>
  <c r="F594" i="4"/>
  <c r="G594" i="4"/>
  <c r="H594" i="4"/>
  <c r="I594" i="4"/>
  <c r="A595" i="4"/>
  <c r="B595" i="4"/>
  <c r="D595" i="4"/>
  <c r="E595" i="4"/>
  <c r="F595" i="4"/>
  <c r="G595" i="4"/>
  <c r="H595" i="4"/>
  <c r="I595" i="4"/>
  <c r="A596" i="4"/>
  <c r="B596" i="4"/>
  <c r="D596" i="4"/>
  <c r="E596" i="4"/>
  <c r="F596" i="4"/>
  <c r="G596" i="4"/>
  <c r="H596" i="4"/>
  <c r="I596" i="4"/>
  <c r="A597" i="4"/>
  <c r="B597" i="4"/>
  <c r="D597" i="4"/>
  <c r="E597" i="4"/>
  <c r="F597" i="4"/>
  <c r="G597" i="4"/>
  <c r="H597" i="4"/>
  <c r="I597" i="4"/>
  <c r="A598" i="4"/>
  <c r="B598" i="4"/>
  <c r="D598" i="4"/>
  <c r="E598" i="4"/>
  <c r="F598" i="4"/>
  <c r="G598" i="4"/>
  <c r="H598" i="4"/>
  <c r="I598" i="4"/>
  <c r="A599" i="4"/>
  <c r="B599" i="4"/>
  <c r="D599" i="4"/>
  <c r="E599" i="4"/>
  <c r="F599" i="4"/>
  <c r="G599" i="4"/>
  <c r="H599" i="4"/>
  <c r="I599" i="4"/>
  <c r="A600" i="4"/>
  <c r="B600" i="4"/>
  <c r="D600" i="4"/>
  <c r="E600" i="4"/>
  <c r="F600" i="4"/>
  <c r="G600" i="4"/>
  <c r="H600" i="4"/>
  <c r="I600" i="4"/>
  <c r="A601" i="4"/>
  <c r="B601" i="4"/>
  <c r="D601" i="4"/>
  <c r="E601" i="4"/>
  <c r="F601" i="4"/>
  <c r="G601" i="4"/>
  <c r="H601" i="4"/>
  <c r="I601" i="4"/>
  <c r="A602" i="4"/>
  <c r="B602" i="4"/>
  <c r="D602" i="4"/>
  <c r="E602" i="4"/>
  <c r="F602" i="4"/>
  <c r="G602" i="4"/>
  <c r="H602" i="4"/>
  <c r="I602" i="4"/>
  <c r="A603" i="4"/>
  <c r="B603" i="4"/>
  <c r="D603" i="4"/>
  <c r="E603" i="4"/>
  <c r="F603" i="4"/>
  <c r="G603" i="4"/>
  <c r="H603" i="4"/>
  <c r="I603" i="4"/>
  <c r="A604" i="4"/>
  <c r="B604" i="4"/>
  <c r="D604" i="4"/>
  <c r="E604" i="4"/>
  <c r="F604" i="4"/>
  <c r="G604" i="4"/>
  <c r="H604" i="4"/>
  <c r="I604" i="4"/>
  <c r="A605" i="4"/>
  <c r="B605" i="4"/>
  <c r="D605" i="4"/>
  <c r="E605" i="4"/>
  <c r="F605" i="4"/>
  <c r="G605" i="4"/>
  <c r="H605" i="4"/>
  <c r="I605" i="4"/>
  <c r="A606" i="4"/>
  <c r="B606" i="4"/>
  <c r="D606" i="4"/>
  <c r="E606" i="4"/>
  <c r="F606" i="4"/>
  <c r="G606" i="4"/>
  <c r="H606" i="4"/>
  <c r="I606" i="4"/>
  <c r="A607" i="4"/>
  <c r="B607" i="4"/>
  <c r="D607" i="4"/>
  <c r="E607" i="4"/>
  <c r="F607" i="4"/>
  <c r="G607" i="4"/>
  <c r="H607" i="4"/>
  <c r="I607" i="4"/>
  <c r="A608" i="4"/>
  <c r="B608" i="4"/>
  <c r="D608" i="4"/>
  <c r="E608" i="4"/>
  <c r="F608" i="4"/>
  <c r="G608" i="4"/>
  <c r="H608" i="4"/>
  <c r="I608" i="4"/>
  <c r="A609" i="4"/>
  <c r="B609" i="4"/>
  <c r="D609" i="4"/>
  <c r="E609" i="4"/>
  <c r="F609" i="4"/>
  <c r="G609" i="4"/>
  <c r="H609" i="4"/>
  <c r="I609" i="4"/>
  <c r="A610" i="4"/>
  <c r="B610" i="4"/>
  <c r="D610" i="4"/>
  <c r="E610" i="4"/>
  <c r="F610" i="4"/>
  <c r="G610" i="4"/>
  <c r="H610" i="4"/>
  <c r="I610" i="4"/>
  <c r="A611" i="4"/>
  <c r="B611" i="4"/>
  <c r="D611" i="4"/>
  <c r="E611" i="4"/>
  <c r="F611" i="4"/>
  <c r="G611" i="4"/>
  <c r="H611" i="4"/>
  <c r="I611" i="4"/>
  <c r="A612" i="4"/>
  <c r="B612" i="4"/>
  <c r="D612" i="4"/>
  <c r="E612" i="4"/>
  <c r="F612" i="4"/>
  <c r="G612" i="4"/>
  <c r="H612" i="4"/>
  <c r="I612" i="4"/>
  <c r="A613" i="4"/>
  <c r="B613" i="4"/>
  <c r="D613" i="4"/>
  <c r="E613" i="4"/>
  <c r="F613" i="4"/>
  <c r="G613" i="4"/>
  <c r="H613" i="4"/>
  <c r="I613" i="4"/>
  <c r="A614" i="4"/>
  <c r="B614" i="4"/>
  <c r="D614" i="4"/>
  <c r="E614" i="4"/>
  <c r="F614" i="4"/>
  <c r="G614" i="4"/>
  <c r="H614" i="4"/>
  <c r="I614" i="4"/>
  <c r="A615" i="4"/>
  <c r="B615" i="4"/>
  <c r="D615" i="4"/>
  <c r="E615" i="4"/>
  <c r="F615" i="4"/>
  <c r="G615" i="4"/>
  <c r="H615" i="4"/>
  <c r="I615" i="4"/>
  <c r="A616" i="4"/>
  <c r="B616" i="4"/>
  <c r="D616" i="4"/>
  <c r="E616" i="4"/>
  <c r="F616" i="4"/>
  <c r="G616" i="4"/>
  <c r="H616" i="4"/>
  <c r="I616" i="4"/>
  <c r="A617" i="4"/>
  <c r="B617" i="4"/>
  <c r="D617" i="4"/>
  <c r="E617" i="4"/>
  <c r="F617" i="4"/>
  <c r="G617" i="4"/>
  <c r="H617" i="4"/>
  <c r="I617" i="4"/>
  <c r="A618" i="4"/>
  <c r="B618" i="4"/>
  <c r="D618" i="4"/>
  <c r="E618" i="4"/>
  <c r="F618" i="4"/>
  <c r="G618" i="4"/>
  <c r="H618" i="4"/>
  <c r="I618" i="4"/>
  <c r="A619" i="4"/>
  <c r="B619" i="4"/>
  <c r="D619" i="4"/>
  <c r="E619" i="4"/>
  <c r="F619" i="4"/>
  <c r="G619" i="4"/>
  <c r="H619" i="4"/>
  <c r="I619" i="4"/>
  <c r="A620" i="4"/>
  <c r="B620" i="4"/>
  <c r="D620" i="4"/>
  <c r="E620" i="4"/>
  <c r="F620" i="4"/>
  <c r="G620" i="4"/>
  <c r="H620" i="4"/>
  <c r="I620" i="4"/>
  <c r="A621" i="4"/>
  <c r="B621" i="4"/>
  <c r="D621" i="4"/>
  <c r="E621" i="4"/>
  <c r="F621" i="4"/>
  <c r="G621" i="4"/>
  <c r="H621" i="4"/>
  <c r="I621" i="4"/>
  <c r="A622" i="4"/>
  <c r="B622" i="4"/>
  <c r="D622" i="4"/>
  <c r="E622" i="4"/>
  <c r="F622" i="4"/>
  <c r="G622" i="4"/>
  <c r="H622" i="4"/>
  <c r="I622" i="4"/>
  <c r="A623" i="4"/>
  <c r="B623" i="4"/>
  <c r="D623" i="4"/>
  <c r="E623" i="4"/>
  <c r="F623" i="4"/>
  <c r="G623" i="4"/>
  <c r="H623" i="4"/>
  <c r="I623" i="4"/>
  <c r="A624" i="4"/>
  <c r="B624" i="4"/>
  <c r="D624" i="4"/>
  <c r="E624" i="4"/>
  <c r="F624" i="4"/>
  <c r="G624" i="4"/>
  <c r="H624" i="4"/>
  <c r="I624" i="4"/>
  <c r="A625" i="4"/>
  <c r="B625" i="4"/>
  <c r="D625" i="4"/>
  <c r="E625" i="4"/>
  <c r="F625" i="4"/>
  <c r="G625" i="4"/>
  <c r="H625" i="4"/>
  <c r="I625" i="4"/>
  <c r="A626" i="4"/>
  <c r="B626" i="4"/>
  <c r="D626" i="4"/>
  <c r="E626" i="4"/>
  <c r="F626" i="4"/>
  <c r="G626" i="4"/>
  <c r="H626" i="4"/>
  <c r="I626" i="4"/>
  <c r="A627" i="4"/>
  <c r="B627" i="4"/>
  <c r="D627" i="4"/>
  <c r="E627" i="4"/>
  <c r="F627" i="4"/>
  <c r="G627" i="4"/>
  <c r="H627" i="4"/>
  <c r="I627" i="4"/>
  <c r="A628" i="4"/>
  <c r="B628" i="4"/>
  <c r="D628" i="4"/>
  <c r="E628" i="4"/>
  <c r="F628" i="4"/>
  <c r="G628" i="4"/>
  <c r="H628" i="4"/>
  <c r="I628" i="4"/>
  <c r="A629" i="4"/>
  <c r="B629" i="4"/>
  <c r="D629" i="4"/>
  <c r="E629" i="4"/>
  <c r="F629" i="4"/>
  <c r="G629" i="4"/>
  <c r="H629" i="4"/>
  <c r="I629" i="4"/>
  <c r="A630" i="4"/>
  <c r="B630" i="4"/>
  <c r="D630" i="4"/>
  <c r="E630" i="4"/>
  <c r="F630" i="4"/>
  <c r="G630" i="4"/>
  <c r="H630" i="4"/>
  <c r="I630" i="4"/>
  <c r="A631" i="4"/>
  <c r="B631" i="4"/>
  <c r="D631" i="4"/>
  <c r="E631" i="4"/>
  <c r="F631" i="4"/>
  <c r="G631" i="4"/>
  <c r="H631" i="4"/>
  <c r="I631" i="4"/>
  <c r="A632" i="4"/>
  <c r="B632" i="4"/>
  <c r="D632" i="4"/>
  <c r="E632" i="4"/>
  <c r="F632" i="4"/>
  <c r="G632" i="4"/>
  <c r="H632" i="4"/>
  <c r="I632" i="4"/>
  <c r="A633" i="4"/>
  <c r="B633" i="4"/>
  <c r="D633" i="4"/>
  <c r="E633" i="4"/>
  <c r="F633" i="4"/>
  <c r="G633" i="4"/>
  <c r="H633" i="4"/>
  <c r="I633" i="4"/>
  <c r="A634" i="4"/>
  <c r="B634" i="4"/>
  <c r="D634" i="4"/>
  <c r="E634" i="4"/>
  <c r="F634" i="4"/>
  <c r="G634" i="4"/>
  <c r="H634" i="4"/>
  <c r="I634" i="4"/>
  <c r="A635" i="4"/>
  <c r="B635" i="4"/>
  <c r="D635" i="4"/>
  <c r="E635" i="4"/>
  <c r="F635" i="4"/>
  <c r="G635" i="4"/>
  <c r="H635" i="4"/>
  <c r="I635" i="4"/>
  <c r="A636" i="4"/>
  <c r="B636" i="4"/>
  <c r="D636" i="4"/>
  <c r="E636" i="4"/>
  <c r="F636" i="4"/>
  <c r="G636" i="4"/>
  <c r="H636" i="4"/>
  <c r="I636" i="4"/>
  <c r="A637" i="4"/>
  <c r="B637" i="4"/>
  <c r="D637" i="4"/>
  <c r="E637" i="4"/>
  <c r="F637" i="4"/>
  <c r="G637" i="4"/>
  <c r="H637" i="4"/>
  <c r="I637" i="4"/>
  <c r="A638" i="4"/>
  <c r="B638" i="4"/>
  <c r="D638" i="4"/>
  <c r="E638" i="4"/>
  <c r="F638" i="4"/>
  <c r="G638" i="4"/>
  <c r="H638" i="4"/>
  <c r="I638" i="4"/>
  <c r="A639" i="4"/>
  <c r="B639" i="4"/>
  <c r="D639" i="4"/>
  <c r="E639" i="4"/>
  <c r="F639" i="4"/>
  <c r="G639" i="4"/>
  <c r="H639" i="4"/>
  <c r="I639" i="4"/>
  <c r="A640" i="4"/>
  <c r="B640" i="4"/>
  <c r="D640" i="4"/>
  <c r="E640" i="4"/>
  <c r="F640" i="4"/>
  <c r="G640" i="4"/>
  <c r="H640" i="4"/>
  <c r="I640" i="4"/>
  <c r="A641" i="4"/>
  <c r="B641" i="4"/>
  <c r="D641" i="4"/>
  <c r="E641" i="4"/>
  <c r="F641" i="4"/>
  <c r="G641" i="4"/>
  <c r="H641" i="4"/>
  <c r="I641" i="4"/>
  <c r="A642" i="4"/>
  <c r="B642" i="4"/>
  <c r="D642" i="4"/>
  <c r="E642" i="4"/>
  <c r="F642" i="4"/>
  <c r="G642" i="4"/>
  <c r="H642" i="4"/>
  <c r="I642" i="4"/>
  <c r="A643" i="4"/>
  <c r="B643" i="4"/>
  <c r="D643" i="4"/>
  <c r="E643" i="4"/>
  <c r="F643" i="4"/>
  <c r="G643" i="4"/>
  <c r="H643" i="4"/>
  <c r="I643" i="4"/>
  <c r="A644" i="4"/>
  <c r="B644" i="4"/>
  <c r="D644" i="4"/>
  <c r="E644" i="4"/>
  <c r="F644" i="4"/>
  <c r="G644" i="4"/>
  <c r="H644" i="4"/>
  <c r="I644" i="4"/>
  <c r="A645" i="4"/>
  <c r="B645" i="4"/>
  <c r="D645" i="4"/>
  <c r="E645" i="4"/>
  <c r="F645" i="4"/>
  <c r="G645" i="4"/>
  <c r="H645" i="4"/>
  <c r="I645" i="4"/>
  <c r="A646" i="4"/>
  <c r="B646" i="4"/>
  <c r="D646" i="4"/>
  <c r="E646" i="4"/>
  <c r="F646" i="4"/>
  <c r="G646" i="4"/>
  <c r="H646" i="4"/>
  <c r="I646" i="4"/>
  <c r="A647" i="4"/>
  <c r="B647" i="4"/>
  <c r="D647" i="4"/>
  <c r="E647" i="4"/>
  <c r="F647" i="4"/>
  <c r="G647" i="4"/>
  <c r="H647" i="4"/>
  <c r="I647" i="4"/>
  <c r="A648" i="4"/>
  <c r="B648" i="4"/>
  <c r="D648" i="4"/>
  <c r="E648" i="4"/>
  <c r="F648" i="4"/>
  <c r="G648" i="4"/>
  <c r="H648" i="4"/>
  <c r="I648" i="4"/>
  <c r="A649" i="4"/>
  <c r="B649" i="4"/>
  <c r="D649" i="4"/>
  <c r="E649" i="4"/>
  <c r="F649" i="4"/>
  <c r="G649" i="4"/>
  <c r="H649" i="4"/>
  <c r="I649" i="4"/>
  <c r="A650" i="4"/>
  <c r="B650" i="4"/>
  <c r="D650" i="4"/>
  <c r="E650" i="4"/>
  <c r="F650" i="4"/>
  <c r="G650" i="4"/>
  <c r="H650" i="4"/>
  <c r="I650" i="4"/>
  <c r="A651" i="4"/>
  <c r="B651" i="4"/>
  <c r="D651" i="4"/>
  <c r="E651" i="4"/>
  <c r="F651" i="4"/>
  <c r="G651" i="4"/>
  <c r="H651" i="4"/>
  <c r="I651" i="4"/>
  <c r="A652" i="4"/>
  <c r="B652" i="4"/>
  <c r="D652" i="4"/>
  <c r="E652" i="4"/>
  <c r="F652" i="4"/>
  <c r="G652" i="4"/>
  <c r="H652" i="4"/>
  <c r="I652" i="4"/>
  <c r="A653" i="4"/>
  <c r="B653" i="4"/>
  <c r="D653" i="4"/>
  <c r="E653" i="4"/>
  <c r="F653" i="4"/>
  <c r="G653" i="4"/>
  <c r="H653" i="4"/>
  <c r="I653" i="4"/>
  <c r="A654" i="4"/>
  <c r="B654" i="4"/>
  <c r="D654" i="4"/>
  <c r="E654" i="4"/>
  <c r="F654" i="4"/>
  <c r="G654" i="4"/>
  <c r="H654" i="4"/>
  <c r="I654" i="4"/>
  <c r="A655" i="4"/>
  <c r="B655" i="4"/>
  <c r="D655" i="4"/>
  <c r="E655" i="4"/>
  <c r="F655" i="4"/>
  <c r="G655" i="4"/>
  <c r="H655" i="4"/>
  <c r="I655" i="4"/>
  <c r="A656" i="4"/>
  <c r="B656" i="4"/>
  <c r="D656" i="4"/>
  <c r="E656" i="4"/>
  <c r="F656" i="4"/>
  <c r="G656" i="4"/>
  <c r="H656" i="4"/>
  <c r="I656" i="4"/>
  <c r="A657" i="4"/>
  <c r="B657" i="4"/>
  <c r="D657" i="4"/>
  <c r="E657" i="4"/>
  <c r="F657" i="4"/>
  <c r="G657" i="4"/>
  <c r="H657" i="4"/>
  <c r="I657" i="4"/>
  <c r="A658" i="4"/>
  <c r="B658" i="4"/>
  <c r="D658" i="4"/>
  <c r="E658" i="4"/>
  <c r="F658" i="4"/>
  <c r="G658" i="4"/>
  <c r="H658" i="4"/>
  <c r="I658" i="4"/>
  <c r="A659" i="4"/>
  <c r="B659" i="4"/>
  <c r="D659" i="4"/>
  <c r="E659" i="4"/>
  <c r="F659" i="4"/>
  <c r="G659" i="4"/>
  <c r="H659" i="4"/>
  <c r="I659" i="4"/>
  <c r="A660" i="4"/>
  <c r="B660" i="4"/>
  <c r="D660" i="4"/>
  <c r="E660" i="4"/>
  <c r="F660" i="4"/>
  <c r="G660" i="4"/>
  <c r="H660" i="4"/>
  <c r="I660" i="4"/>
  <c r="A661" i="4"/>
  <c r="B661" i="4"/>
  <c r="D661" i="4"/>
  <c r="E661" i="4"/>
  <c r="F661" i="4"/>
  <c r="G661" i="4"/>
  <c r="H661" i="4"/>
  <c r="I661" i="4"/>
  <c r="A662" i="4"/>
  <c r="B662" i="4"/>
  <c r="D662" i="4"/>
  <c r="E662" i="4"/>
  <c r="F662" i="4"/>
  <c r="G662" i="4"/>
  <c r="H662" i="4"/>
  <c r="I662" i="4"/>
  <c r="A663" i="4"/>
  <c r="B663" i="4"/>
  <c r="D663" i="4"/>
  <c r="E663" i="4"/>
  <c r="F663" i="4"/>
  <c r="G663" i="4"/>
  <c r="H663" i="4"/>
  <c r="I663" i="4"/>
  <c r="A664" i="4"/>
  <c r="B664" i="4"/>
  <c r="D664" i="4"/>
  <c r="E664" i="4"/>
  <c r="F664" i="4"/>
  <c r="G664" i="4"/>
  <c r="H664" i="4"/>
  <c r="I664" i="4"/>
  <c r="A665" i="4"/>
  <c r="B665" i="4"/>
  <c r="D665" i="4"/>
  <c r="E665" i="4"/>
  <c r="F665" i="4"/>
  <c r="G665" i="4"/>
  <c r="H665" i="4"/>
  <c r="I665" i="4"/>
  <c r="A666" i="4"/>
  <c r="B666" i="4"/>
  <c r="D666" i="4"/>
  <c r="E666" i="4"/>
  <c r="F666" i="4"/>
  <c r="G666" i="4"/>
  <c r="H666" i="4"/>
  <c r="I666" i="4"/>
  <c r="A667" i="4"/>
  <c r="B667" i="4"/>
  <c r="D667" i="4"/>
  <c r="E667" i="4"/>
  <c r="F667" i="4"/>
  <c r="G667" i="4"/>
  <c r="H667" i="4"/>
  <c r="I667" i="4"/>
  <c r="A668" i="4"/>
  <c r="B668" i="4"/>
  <c r="D668" i="4"/>
  <c r="E668" i="4"/>
  <c r="F668" i="4"/>
  <c r="G668" i="4"/>
  <c r="H668" i="4"/>
  <c r="I668" i="4"/>
  <c r="A669" i="4"/>
  <c r="B669" i="4"/>
  <c r="D669" i="4"/>
  <c r="E669" i="4"/>
  <c r="F669" i="4"/>
  <c r="G669" i="4"/>
  <c r="H669" i="4"/>
  <c r="I669" i="4"/>
  <c r="A670" i="4"/>
  <c r="B670" i="4"/>
  <c r="D670" i="4"/>
  <c r="E670" i="4"/>
  <c r="F670" i="4"/>
  <c r="G670" i="4"/>
  <c r="H670" i="4"/>
  <c r="I670" i="4"/>
  <c r="A671" i="4"/>
  <c r="B671" i="4"/>
  <c r="D671" i="4"/>
  <c r="E671" i="4"/>
  <c r="F671" i="4"/>
  <c r="G671" i="4"/>
  <c r="H671" i="4"/>
  <c r="I671" i="4"/>
  <c r="A672" i="4"/>
  <c r="B672" i="4"/>
  <c r="D672" i="4"/>
  <c r="E672" i="4"/>
  <c r="F672" i="4"/>
  <c r="G672" i="4"/>
  <c r="H672" i="4"/>
  <c r="I672" i="4"/>
  <c r="A673" i="4"/>
  <c r="B673" i="4"/>
  <c r="D673" i="4"/>
  <c r="E673" i="4"/>
  <c r="F673" i="4"/>
  <c r="G673" i="4"/>
  <c r="H673" i="4"/>
  <c r="I673" i="4"/>
  <c r="A674" i="4"/>
  <c r="B674" i="4"/>
  <c r="D674" i="4"/>
  <c r="E674" i="4"/>
  <c r="F674" i="4"/>
  <c r="G674" i="4"/>
  <c r="H674" i="4"/>
  <c r="I674" i="4"/>
  <c r="A675" i="4"/>
  <c r="B675" i="4"/>
  <c r="D675" i="4"/>
  <c r="E675" i="4"/>
  <c r="F675" i="4"/>
  <c r="G675" i="4"/>
  <c r="H675" i="4"/>
  <c r="I675" i="4"/>
  <c r="A676" i="4"/>
  <c r="B676" i="4"/>
  <c r="D676" i="4"/>
  <c r="E676" i="4"/>
  <c r="F676" i="4"/>
  <c r="G676" i="4"/>
  <c r="H676" i="4"/>
  <c r="I676" i="4"/>
  <c r="A677" i="4"/>
  <c r="B677" i="4"/>
  <c r="D677" i="4"/>
  <c r="E677" i="4"/>
  <c r="F677" i="4"/>
  <c r="G677" i="4"/>
  <c r="H677" i="4"/>
  <c r="I677" i="4"/>
  <c r="A678" i="4"/>
  <c r="B678" i="4"/>
  <c r="D678" i="4"/>
  <c r="E678" i="4"/>
  <c r="F678" i="4"/>
  <c r="G678" i="4"/>
  <c r="H678" i="4"/>
  <c r="I678" i="4"/>
  <c r="A679" i="4"/>
  <c r="B679" i="4"/>
  <c r="D679" i="4"/>
  <c r="E679" i="4"/>
  <c r="F679" i="4"/>
  <c r="G679" i="4"/>
  <c r="H679" i="4"/>
  <c r="I679" i="4"/>
  <c r="A680" i="4"/>
  <c r="B680" i="4"/>
  <c r="D680" i="4"/>
  <c r="E680" i="4"/>
  <c r="F680" i="4"/>
  <c r="G680" i="4"/>
  <c r="H680" i="4"/>
  <c r="I680" i="4"/>
  <c r="A681" i="4"/>
  <c r="B681" i="4"/>
  <c r="D681" i="4"/>
  <c r="E681" i="4"/>
  <c r="F681" i="4"/>
  <c r="G681" i="4"/>
  <c r="H681" i="4"/>
  <c r="I681" i="4"/>
  <c r="A682" i="4"/>
  <c r="B682" i="4"/>
  <c r="D682" i="4"/>
  <c r="E682" i="4"/>
  <c r="F682" i="4"/>
  <c r="G682" i="4"/>
  <c r="H682" i="4"/>
  <c r="I682" i="4"/>
  <c r="A683" i="4"/>
  <c r="B683" i="4"/>
  <c r="D683" i="4"/>
  <c r="E683" i="4"/>
  <c r="F683" i="4"/>
  <c r="G683" i="4"/>
  <c r="H683" i="4"/>
  <c r="I683" i="4"/>
  <c r="A684" i="4"/>
  <c r="B684" i="4"/>
  <c r="D684" i="4"/>
  <c r="E684" i="4"/>
  <c r="F684" i="4"/>
  <c r="G684" i="4"/>
  <c r="H684" i="4"/>
  <c r="I684" i="4"/>
  <c r="A685" i="4"/>
  <c r="B685" i="4"/>
  <c r="D685" i="4"/>
  <c r="E685" i="4"/>
  <c r="F685" i="4"/>
  <c r="G685" i="4"/>
  <c r="H685" i="4"/>
  <c r="I685" i="4"/>
  <c r="A686" i="4"/>
  <c r="B686" i="4"/>
  <c r="D686" i="4"/>
  <c r="E686" i="4"/>
  <c r="F686" i="4"/>
  <c r="G686" i="4"/>
  <c r="H686" i="4"/>
  <c r="I686" i="4"/>
  <c r="A687" i="4"/>
  <c r="B687" i="4"/>
  <c r="D687" i="4"/>
  <c r="E687" i="4"/>
  <c r="F687" i="4"/>
  <c r="G687" i="4"/>
  <c r="H687" i="4"/>
  <c r="I687" i="4"/>
  <c r="A688" i="4"/>
  <c r="B688" i="4"/>
  <c r="D688" i="4"/>
  <c r="E688" i="4"/>
  <c r="F688" i="4"/>
  <c r="G688" i="4"/>
  <c r="H688" i="4"/>
  <c r="I688" i="4"/>
  <c r="A689" i="4"/>
  <c r="B689" i="4"/>
  <c r="D689" i="4"/>
  <c r="E689" i="4"/>
  <c r="F689" i="4"/>
  <c r="G689" i="4"/>
  <c r="H689" i="4"/>
  <c r="I689" i="4"/>
  <c r="A690" i="4"/>
  <c r="B690" i="4"/>
  <c r="D690" i="4"/>
  <c r="E690" i="4"/>
  <c r="F690" i="4"/>
  <c r="G690" i="4"/>
  <c r="H690" i="4"/>
  <c r="I690" i="4"/>
  <c r="A691" i="4"/>
  <c r="B691" i="4"/>
  <c r="D691" i="4"/>
  <c r="E691" i="4"/>
  <c r="F691" i="4"/>
  <c r="G691" i="4"/>
  <c r="H691" i="4"/>
  <c r="I691" i="4"/>
  <c r="A692" i="4"/>
  <c r="B692" i="4"/>
  <c r="D692" i="4"/>
  <c r="E692" i="4"/>
  <c r="F692" i="4"/>
  <c r="G692" i="4"/>
  <c r="H692" i="4"/>
  <c r="I692" i="4"/>
  <c r="A693" i="4"/>
  <c r="B693" i="4"/>
  <c r="D693" i="4"/>
  <c r="E693" i="4"/>
  <c r="F693" i="4"/>
  <c r="G693" i="4"/>
  <c r="H693" i="4"/>
  <c r="I693" i="4"/>
  <c r="A694" i="4"/>
  <c r="B694" i="4"/>
  <c r="D694" i="4"/>
  <c r="E694" i="4"/>
  <c r="F694" i="4"/>
  <c r="G694" i="4"/>
  <c r="H694" i="4"/>
  <c r="I694" i="4"/>
  <c r="A695" i="4"/>
  <c r="B695" i="4"/>
  <c r="D695" i="4"/>
  <c r="E695" i="4"/>
  <c r="F695" i="4"/>
  <c r="G695" i="4"/>
  <c r="H695" i="4"/>
  <c r="I695" i="4"/>
  <c r="A696" i="4"/>
  <c r="B696" i="4"/>
  <c r="D696" i="4"/>
  <c r="E696" i="4"/>
  <c r="F696" i="4"/>
  <c r="G696" i="4"/>
  <c r="H696" i="4"/>
  <c r="I696" i="4"/>
  <c r="A697" i="4"/>
  <c r="B697" i="4"/>
  <c r="D697" i="4"/>
  <c r="E697" i="4"/>
  <c r="F697" i="4"/>
  <c r="G697" i="4"/>
  <c r="H697" i="4"/>
  <c r="I697" i="4"/>
  <c r="A698" i="4"/>
  <c r="B698" i="4"/>
  <c r="D698" i="4"/>
  <c r="E698" i="4"/>
  <c r="F698" i="4"/>
  <c r="G698" i="4"/>
  <c r="H698" i="4"/>
  <c r="I698" i="4"/>
  <c r="A699" i="4"/>
  <c r="B699" i="4"/>
  <c r="D699" i="4"/>
  <c r="E699" i="4"/>
  <c r="F699" i="4"/>
  <c r="G699" i="4"/>
  <c r="H699" i="4"/>
  <c r="I699" i="4"/>
  <c r="A700" i="4"/>
  <c r="B700" i="4"/>
  <c r="D700" i="4"/>
  <c r="E700" i="4"/>
  <c r="F700" i="4"/>
  <c r="G700" i="4"/>
  <c r="H700" i="4"/>
  <c r="I700" i="4"/>
  <c r="A701" i="4"/>
  <c r="B701" i="4"/>
  <c r="D701" i="4"/>
  <c r="E701" i="4"/>
  <c r="F701" i="4"/>
  <c r="G701" i="4"/>
  <c r="H701" i="4"/>
  <c r="I701" i="4"/>
  <c r="A702" i="4"/>
  <c r="B702" i="4"/>
  <c r="D702" i="4"/>
  <c r="E702" i="4"/>
  <c r="F702" i="4"/>
  <c r="G702" i="4"/>
  <c r="H702" i="4"/>
  <c r="I702" i="4"/>
  <c r="A703" i="4"/>
  <c r="B703" i="4"/>
  <c r="D703" i="4"/>
  <c r="E703" i="4"/>
  <c r="F703" i="4"/>
  <c r="G703" i="4"/>
  <c r="H703" i="4"/>
  <c r="I703" i="4"/>
  <c r="A704" i="4"/>
  <c r="B704" i="4"/>
  <c r="D704" i="4"/>
  <c r="E704" i="4"/>
  <c r="F704" i="4"/>
  <c r="G704" i="4"/>
  <c r="H704" i="4"/>
  <c r="I704" i="4"/>
  <c r="A705" i="4"/>
  <c r="B705" i="4"/>
  <c r="D705" i="4"/>
  <c r="E705" i="4"/>
  <c r="F705" i="4"/>
  <c r="G705" i="4"/>
  <c r="H705" i="4"/>
  <c r="I705" i="4"/>
  <c r="A706" i="4"/>
  <c r="B706" i="4"/>
  <c r="D706" i="4"/>
  <c r="E706" i="4"/>
  <c r="F706" i="4"/>
  <c r="G706" i="4"/>
  <c r="H706" i="4"/>
  <c r="I706" i="4"/>
  <c r="A707" i="4"/>
  <c r="B707" i="4"/>
  <c r="D707" i="4"/>
  <c r="E707" i="4"/>
  <c r="F707" i="4"/>
  <c r="G707" i="4"/>
  <c r="H707" i="4"/>
  <c r="I707" i="4"/>
  <c r="A708" i="4"/>
  <c r="B708" i="4"/>
  <c r="D708" i="4"/>
  <c r="E708" i="4"/>
  <c r="F708" i="4"/>
  <c r="G708" i="4"/>
  <c r="H708" i="4"/>
  <c r="I708" i="4"/>
  <c r="A709" i="4"/>
  <c r="B709" i="4"/>
  <c r="D709" i="4"/>
  <c r="E709" i="4"/>
  <c r="F709" i="4"/>
  <c r="G709" i="4"/>
  <c r="H709" i="4"/>
  <c r="I709" i="4"/>
  <c r="A710" i="4"/>
  <c r="B710" i="4"/>
  <c r="D710" i="4"/>
  <c r="E710" i="4"/>
  <c r="F710" i="4"/>
  <c r="G710" i="4"/>
  <c r="H710" i="4"/>
  <c r="I710" i="4"/>
  <c r="A711" i="4"/>
  <c r="B711" i="4"/>
  <c r="D711" i="4"/>
  <c r="E711" i="4"/>
  <c r="F711" i="4"/>
  <c r="G711" i="4"/>
  <c r="H711" i="4"/>
  <c r="I711" i="4"/>
  <c r="A712" i="4"/>
  <c r="B712" i="4"/>
  <c r="D712" i="4"/>
  <c r="E712" i="4"/>
  <c r="F712" i="4"/>
  <c r="G712" i="4"/>
  <c r="H712" i="4"/>
  <c r="I712" i="4"/>
  <c r="A713" i="4"/>
  <c r="B713" i="4"/>
  <c r="D713" i="4"/>
  <c r="E713" i="4"/>
  <c r="F713" i="4"/>
  <c r="G713" i="4"/>
  <c r="H713" i="4"/>
  <c r="I713" i="4"/>
  <c r="A714" i="4"/>
  <c r="B714" i="4"/>
  <c r="D714" i="4"/>
  <c r="E714" i="4"/>
  <c r="F714" i="4"/>
  <c r="G714" i="4"/>
  <c r="H714" i="4"/>
  <c r="I714" i="4"/>
  <c r="A715" i="4"/>
  <c r="B715" i="4"/>
  <c r="D715" i="4"/>
  <c r="E715" i="4"/>
  <c r="F715" i="4"/>
  <c r="G715" i="4"/>
  <c r="H715" i="4"/>
  <c r="I715" i="4"/>
  <c r="A716" i="4"/>
  <c r="B716" i="4"/>
  <c r="D716" i="4"/>
  <c r="E716" i="4"/>
  <c r="F716" i="4"/>
  <c r="G716" i="4"/>
  <c r="H716" i="4"/>
  <c r="I716" i="4"/>
  <c r="A717" i="4"/>
  <c r="B717" i="4"/>
  <c r="D717" i="4"/>
  <c r="E717" i="4"/>
  <c r="F717" i="4"/>
  <c r="G717" i="4"/>
  <c r="H717" i="4"/>
  <c r="I717" i="4"/>
  <c r="A718" i="4"/>
  <c r="B718" i="4"/>
  <c r="D718" i="4"/>
  <c r="E718" i="4"/>
  <c r="F718" i="4"/>
  <c r="G718" i="4"/>
  <c r="H718" i="4"/>
  <c r="I718" i="4"/>
  <c r="A719" i="4"/>
  <c r="B719" i="4"/>
  <c r="D719" i="4"/>
  <c r="E719" i="4"/>
  <c r="F719" i="4"/>
  <c r="G719" i="4"/>
  <c r="H719" i="4"/>
  <c r="I719" i="4"/>
  <c r="A720" i="4"/>
  <c r="B720" i="4"/>
  <c r="D720" i="4"/>
  <c r="E720" i="4"/>
  <c r="F720" i="4"/>
  <c r="G720" i="4"/>
  <c r="H720" i="4"/>
  <c r="I720" i="4"/>
  <c r="A721" i="4"/>
  <c r="B721" i="4"/>
  <c r="D721" i="4"/>
  <c r="E721" i="4"/>
  <c r="F721" i="4"/>
  <c r="G721" i="4"/>
  <c r="H721" i="4"/>
  <c r="I721" i="4"/>
  <c r="A722" i="4"/>
  <c r="B722" i="4"/>
  <c r="D722" i="4"/>
  <c r="E722" i="4"/>
  <c r="F722" i="4"/>
  <c r="G722" i="4"/>
  <c r="H722" i="4"/>
  <c r="I722" i="4"/>
  <c r="A723" i="4"/>
  <c r="B723" i="4"/>
  <c r="D723" i="4"/>
  <c r="E723" i="4"/>
  <c r="F723" i="4"/>
  <c r="G723" i="4"/>
  <c r="H723" i="4"/>
  <c r="I723" i="4"/>
  <c r="A724" i="4"/>
  <c r="B724" i="4"/>
  <c r="D724" i="4"/>
  <c r="E724" i="4"/>
  <c r="F724" i="4"/>
  <c r="G724" i="4"/>
  <c r="H724" i="4"/>
  <c r="I724" i="4"/>
  <c r="A725" i="4"/>
  <c r="B725" i="4"/>
  <c r="D725" i="4"/>
  <c r="E725" i="4"/>
  <c r="F725" i="4"/>
  <c r="G725" i="4"/>
  <c r="H725" i="4"/>
  <c r="I725" i="4"/>
  <c r="A726" i="4"/>
  <c r="B726" i="4"/>
  <c r="D726" i="4"/>
  <c r="E726" i="4"/>
  <c r="F726" i="4"/>
  <c r="G726" i="4"/>
  <c r="H726" i="4"/>
  <c r="I726" i="4"/>
  <c r="A727" i="4"/>
  <c r="B727" i="4"/>
  <c r="D727" i="4"/>
  <c r="E727" i="4"/>
  <c r="F727" i="4"/>
  <c r="G727" i="4"/>
  <c r="H727" i="4"/>
  <c r="I727" i="4"/>
  <c r="A728" i="4"/>
  <c r="B728" i="4"/>
  <c r="D728" i="4"/>
  <c r="E728" i="4"/>
  <c r="F728" i="4"/>
  <c r="G728" i="4"/>
  <c r="H728" i="4"/>
  <c r="I728" i="4"/>
  <c r="A729" i="4"/>
  <c r="B729" i="4"/>
  <c r="D729" i="4"/>
  <c r="E729" i="4"/>
  <c r="F729" i="4"/>
  <c r="G729" i="4"/>
  <c r="H729" i="4"/>
  <c r="I729" i="4"/>
  <c r="A730" i="4"/>
  <c r="B730" i="4"/>
  <c r="D730" i="4"/>
  <c r="E730" i="4"/>
  <c r="F730" i="4"/>
  <c r="G730" i="4"/>
  <c r="H730" i="4"/>
  <c r="I730" i="4"/>
  <c r="A731" i="4"/>
  <c r="B731" i="4"/>
  <c r="D731" i="4"/>
  <c r="E731" i="4"/>
  <c r="F731" i="4"/>
  <c r="G731" i="4"/>
  <c r="H731" i="4"/>
  <c r="I731" i="4"/>
  <c r="A732" i="4"/>
  <c r="B732" i="4"/>
  <c r="D732" i="4"/>
  <c r="E732" i="4"/>
  <c r="F732" i="4"/>
  <c r="G732" i="4"/>
  <c r="H732" i="4"/>
  <c r="I732" i="4"/>
  <c r="A733" i="4"/>
  <c r="B733" i="4"/>
  <c r="D733" i="4"/>
  <c r="E733" i="4"/>
  <c r="F733" i="4"/>
  <c r="G733" i="4"/>
  <c r="H733" i="4"/>
  <c r="I733" i="4"/>
  <c r="A734" i="4"/>
  <c r="B734" i="4"/>
  <c r="D734" i="4"/>
  <c r="E734" i="4"/>
  <c r="F734" i="4"/>
  <c r="G734" i="4"/>
  <c r="H734" i="4"/>
  <c r="I734" i="4"/>
  <c r="A735" i="4"/>
  <c r="B735" i="4"/>
  <c r="D735" i="4"/>
  <c r="E735" i="4"/>
  <c r="F735" i="4"/>
  <c r="G735" i="4"/>
  <c r="H735" i="4"/>
  <c r="I735" i="4"/>
  <c r="A736" i="4"/>
  <c r="B736" i="4"/>
  <c r="D736" i="4"/>
  <c r="E736" i="4"/>
  <c r="F736" i="4"/>
  <c r="G736" i="4"/>
  <c r="H736" i="4"/>
  <c r="I736" i="4"/>
  <c r="A737" i="4"/>
  <c r="B737" i="4"/>
  <c r="D737" i="4"/>
  <c r="E737" i="4"/>
  <c r="F737" i="4"/>
  <c r="G737" i="4"/>
  <c r="H737" i="4"/>
  <c r="I737" i="4"/>
  <c r="A738" i="4"/>
  <c r="B738" i="4"/>
  <c r="D738" i="4"/>
  <c r="E738" i="4"/>
  <c r="F738" i="4"/>
  <c r="G738" i="4"/>
  <c r="H738" i="4"/>
  <c r="I738" i="4"/>
  <c r="A739" i="4"/>
  <c r="B739" i="4"/>
  <c r="D739" i="4"/>
  <c r="E739" i="4"/>
  <c r="F739" i="4"/>
  <c r="G739" i="4"/>
  <c r="H739" i="4"/>
  <c r="I739" i="4"/>
  <c r="A740" i="4"/>
  <c r="B740" i="4"/>
  <c r="D740" i="4"/>
  <c r="E740" i="4"/>
  <c r="F740" i="4"/>
  <c r="G740" i="4"/>
  <c r="H740" i="4"/>
  <c r="I740" i="4"/>
  <c r="A741" i="4"/>
  <c r="B741" i="4"/>
  <c r="D741" i="4"/>
  <c r="E741" i="4"/>
  <c r="F741" i="4"/>
  <c r="G741" i="4"/>
  <c r="H741" i="4"/>
  <c r="I741" i="4"/>
  <c r="A742" i="4"/>
  <c r="B742" i="4"/>
  <c r="D742" i="4"/>
  <c r="E742" i="4"/>
  <c r="F742" i="4"/>
  <c r="G742" i="4"/>
  <c r="H742" i="4"/>
  <c r="I742" i="4"/>
  <c r="A743" i="4"/>
  <c r="B743" i="4"/>
  <c r="D743" i="4"/>
  <c r="E743" i="4"/>
  <c r="F743" i="4"/>
  <c r="G743" i="4"/>
  <c r="H743" i="4"/>
  <c r="I743" i="4"/>
  <c r="A744" i="4"/>
  <c r="B744" i="4"/>
  <c r="D744" i="4"/>
  <c r="E744" i="4"/>
  <c r="F744" i="4"/>
  <c r="G744" i="4"/>
  <c r="H744" i="4"/>
  <c r="I744" i="4"/>
  <c r="A745" i="4"/>
  <c r="B745" i="4"/>
  <c r="D745" i="4"/>
  <c r="E745" i="4"/>
  <c r="F745" i="4"/>
  <c r="G745" i="4"/>
  <c r="H745" i="4"/>
  <c r="I745" i="4"/>
  <c r="A746" i="4"/>
  <c r="B746" i="4"/>
  <c r="D746" i="4"/>
  <c r="E746" i="4"/>
  <c r="F746" i="4"/>
  <c r="G746" i="4"/>
  <c r="H746" i="4"/>
  <c r="I746" i="4"/>
  <c r="A747" i="4"/>
  <c r="B747" i="4"/>
  <c r="D747" i="4"/>
  <c r="E747" i="4"/>
  <c r="F747" i="4"/>
  <c r="G747" i="4"/>
  <c r="H747" i="4"/>
  <c r="I747" i="4"/>
  <c r="A748" i="4"/>
  <c r="B748" i="4"/>
  <c r="D748" i="4"/>
  <c r="E748" i="4"/>
  <c r="F748" i="4"/>
  <c r="G748" i="4"/>
  <c r="H748" i="4"/>
  <c r="I748" i="4"/>
  <c r="A749" i="4"/>
  <c r="B749" i="4"/>
  <c r="D749" i="4"/>
  <c r="E749" i="4"/>
  <c r="F749" i="4"/>
  <c r="G749" i="4"/>
  <c r="H749" i="4"/>
  <c r="I749" i="4"/>
  <c r="A750" i="4"/>
  <c r="B750" i="4"/>
  <c r="D750" i="4"/>
  <c r="E750" i="4"/>
  <c r="F750" i="4"/>
  <c r="G750" i="4"/>
  <c r="H750" i="4"/>
  <c r="I750" i="4"/>
  <c r="A751" i="4"/>
  <c r="B751" i="4"/>
  <c r="D751" i="4"/>
  <c r="E751" i="4"/>
  <c r="F751" i="4"/>
  <c r="G751" i="4"/>
  <c r="H751" i="4"/>
  <c r="I751" i="4"/>
  <c r="A752" i="4"/>
  <c r="B752" i="4"/>
  <c r="D752" i="4"/>
  <c r="E752" i="4"/>
  <c r="F752" i="4"/>
  <c r="G752" i="4"/>
  <c r="H752" i="4"/>
  <c r="I752" i="4"/>
  <c r="A753" i="4"/>
  <c r="B753" i="4"/>
  <c r="D753" i="4"/>
  <c r="E753" i="4"/>
  <c r="F753" i="4"/>
  <c r="G753" i="4"/>
  <c r="H753" i="4"/>
  <c r="I753" i="4"/>
  <c r="A754" i="4"/>
  <c r="B754" i="4"/>
  <c r="D754" i="4"/>
  <c r="E754" i="4"/>
  <c r="F754" i="4"/>
  <c r="G754" i="4"/>
  <c r="H754" i="4"/>
  <c r="I754" i="4"/>
  <c r="A755" i="4"/>
  <c r="B755" i="4"/>
  <c r="D755" i="4"/>
  <c r="E755" i="4"/>
  <c r="F755" i="4"/>
  <c r="G755" i="4"/>
  <c r="H755" i="4"/>
  <c r="I755" i="4"/>
  <c r="A756" i="4"/>
  <c r="B756" i="4"/>
  <c r="D756" i="4"/>
  <c r="E756" i="4"/>
  <c r="F756" i="4"/>
  <c r="G756" i="4"/>
  <c r="H756" i="4"/>
  <c r="I756" i="4"/>
  <c r="A757" i="4"/>
  <c r="B757" i="4"/>
  <c r="D757" i="4"/>
  <c r="E757" i="4"/>
  <c r="F757" i="4"/>
  <c r="G757" i="4"/>
  <c r="H757" i="4"/>
  <c r="I757" i="4"/>
  <c r="A758" i="4"/>
  <c r="B758" i="4"/>
  <c r="D758" i="4"/>
  <c r="E758" i="4"/>
  <c r="F758" i="4"/>
  <c r="G758" i="4"/>
  <c r="H758" i="4"/>
  <c r="I758" i="4"/>
  <c r="A759" i="4"/>
  <c r="B759" i="4"/>
  <c r="D759" i="4"/>
  <c r="E759" i="4"/>
  <c r="F759" i="4"/>
  <c r="G759" i="4"/>
  <c r="H759" i="4"/>
  <c r="I759" i="4"/>
  <c r="A760" i="4"/>
  <c r="B760" i="4"/>
  <c r="D760" i="4"/>
  <c r="E760" i="4"/>
  <c r="F760" i="4"/>
  <c r="G760" i="4"/>
  <c r="H760" i="4"/>
  <c r="I760" i="4"/>
  <c r="A761" i="4"/>
  <c r="B761" i="4"/>
  <c r="D761" i="4"/>
  <c r="E761" i="4"/>
  <c r="F761" i="4"/>
  <c r="G761" i="4"/>
  <c r="H761" i="4"/>
  <c r="I761" i="4"/>
  <c r="A762" i="4"/>
  <c r="B762" i="4"/>
  <c r="D762" i="4"/>
  <c r="E762" i="4"/>
  <c r="F762" i="4"/>
  <c r="G762" i="4"/>
  <c r="H762" i="4"/>
  <c r="I762" i="4"/>
  <c r="A763" i="4"/>
  <c r="B763" i="4"/>
  <c r="D763" i="4"/>
  <c r="E763" i="4"/>
  <c r="F763" i="4"/>
  <c r="G763" i="4"/>
  <c r="H763" i="4"/>
  <c r="I763" i="4"/>
  <c r="A764" i="4"/>
  <c r="B764" i="4"/>
  <c r="D764" i="4"/>
  <c r="E764" i="4"/>
  <c r="F764" i="4"/>
  <c r="G764" i="4"/>
  <c r="H764" i="4"/>
  <c r="I764" i="4"/>
  <c r="A765" i="4"/>
  <c r="B765" i="4"/>
  <c r="D765" i="4"/>
  <c r="E765" i="4"/>
  <c r="F765" i="4"/>
  <c r="G765" i="4"/>
  <c r="H765" i="4"/>
  <c r="I765" i="4"/>
  <c r="A766" i="4"/>
  <c r="B766" i="4"/>
  <c r="D766" i="4"/>
  <c r="E766" i="4"/>
  <c r="F766" i="4"/>
  <c r="G766" i="4"/>
  <c r="H766" i="4"/>
  <c r="I766" i="4"/>
  <c r="A767" i="4"/>
  <c r="B767" i="4"/>
  <c r="D767" i="4"/>
  <c r="E767" i="4"/>
  <c r="F767" i="4"/>
  <c r="G767" i="4"/>
  <c r="H767" i="4"/>
  <c r="I767" i="4"/>
  <c r="A768" i="4"/>
  <c r="B768" i="4"/>
  <c r="D768" i="4"/>
  <c r="E768" i="4"/>
  <c r="F768" i="4"/>
  <c r="G768" i="4"/>
  <c r="H768" i="4"/>
  <c r="I768" i="4"/>
  <c r="A769" i="4"/>
  <c r="B769" i="4"/>
  <c r="D769" i="4"/>
  <c r="E769" i="4"/>
  <c r="F769" i="4"/>
  <c r="G769" i="4"/>
  <c r="H769" i="4"/>
  <c r="I769" i="4"/>
  <c r="A770" i="4"/>
  <c r="B770" i="4"/>
  <c r="D770" i="4"/>
  <c r="E770" i="4"/>
  <c r="F770" i="4"/>
  <c r="G770" i="4"/>
  <c r="H770" i="4"/>
  <c r="I770" i="4"/>
  <c r="A771" i="4"/>
  <c r="B771" i="4"/>
  <c r="D771" i="4"/>
  <c r="E771" i="4"/>
  <c r="F771" i="4"/>
  <c r="G771" i="4"/>
  <c r="H771" i="4"/>
  <c r="I771" i="4"/>
  <c r="A772" i="4"/>
  <c r="B772" i="4"/>
  <c r="D772" i="4"/>
  <c r="E772" i="4"/>
  <c r="F772" i="4"/>
  <c r="G772" i="4"/>
  <c r="H772" i="4"/>
  <c r="I772" i="4"/>
  <c r="A773" i="4"/>
  <c r="B773" i="4"/>
  <c r="D773" i="4"/>
  <c r="E773" i="4"/>
  <c r="F773" i="4"/>
  <c r="G773" i="4"/>
  <c r="H773" i="4"/>
  <c r="I773" i="4"/>
  <c r="A774" i="4"/>
  <c r="B774" i="4"/>
  <c r="D774" i="4"/>
  <c r="E774" i="4"/>
  <c r="F774" i="4"/>
  <c r="G774" i="4"/>
  <c r="H774" i="4"/>
  <c r="I774" i="4"/>
  <c r="A775" i="4"/>
  <c r="B775" i="4"/>
  <c r="D775" i="4"/>
  <c r="E775" i="4"/>
  <c r="F775" i="4"/>
  <c r="G775" i="4"/>
  <c r="H775" i="4"/>
  <c r="I775" i="4"/>
  <c r="A776" i="4"/>
  <c r="B776" i="4"/>
  <c r="D776" i="4"/>
  <c r="E776" i="4"/>
  <c r="F776" i="4"/>
  <c r="G776" i="4"/>
  <c r="H776" i="4"/>
  <c r="I776" i="4"/>
  <c r="A777" i="4"/>
  <c r="B777" i="4"/>
  <c r="D777" i="4"/>
  <c r="E777" i="4"/>
  <c r="F777" i="4"/>
  <c r="G777" i="4"/>
  <c r="H777" i="4"/>
  <c r="I777" i="4"/>
  <c r="A778" i="4"/>
  <c r="B778" i="4"/>
  <c r="D778" i="4"/>
  <c r="E778" i="4"/>
  <c r="F778" i="4"/>
  <c r="G778" i="4"/>
  <c r="H778" i="4"/>
  <c r="I778" i="4"/>
  <c r="A779" i="4"/>
  <c r="B779" i="4"/>
  <c r="D779" i="4"/>
  <c r="E779" i="4"/>
  <c r="F779" i="4"/>
  <c r="G779" i="4"/>
  <c r="H779" i="4"/>
  <c r="I779" i="4"/>
  <c r="A780" i="4"/>
  <c r="B780" i="4"/>
  <c r="D780" i="4"/>
  <c r="E780" i="4"/>
  <c r="F780" i="4"/>
  <c r="G780" i="4"/>
  <c r="H780" i="4"/>
  <c r="I780" i="4"/>
  <c r="A781" i="4"/>
  <c r="B781" i="4"/>
  <c r="D781" i="4"/>
  <c r="E781" i="4"/>
  <c r="F781" i="4"/>
  <c r="G781" i="4"/>
  <c r="H781" i="4"/>
  <c r="I781" i="4"/>
  <c r="A782" i="4"/>
  <c r="B782" i="4"/>
  <c r="D782" i="4"/>
  <c r="E782" i="4"/>
  <c r="F782" i="4"/>
  <c r="G782" i="4"/>
  <c r="H782" i="4"/>
  <c r="I782" i="4"/>
  <c r="A783" i="4"/>
  <c r="B783" i="4"/>
  <c r="D783" i="4"/>
  <c r="E783" i="4"/>
  <c r="F783" i="4"/>
  <c r="G783" i="4"/>
  <c r="H783" i="4"/>
  <c r="I783" i="4"/>
  <c r="A784" i="4"/>
  <c r="B784" i="4"/>
  <c r="D784" i="4"/>
  <c r="E784" i="4"/>
  <c r="F784" i="4"/>
  <c r="G784" i="4"/>
  <c r="H784" i="4"/>
  <c r="I784" i="4"/>
  <c r="A785" i="4"/>
  <c r="B785" i="4"/>
  <c r="D785" i="4"/>
  <c r="E785" i="4"/>
  <c r="F785" i="4"/>
  <c r="G785" i="4"/>
  <c r="H785" i="4"/>
  <c r="I785" i="4"/>
  <c r="A786" i="4"/>
  <c r="B786" i="4"/>
  <c r="D786" i="4"/>
  <c r="E786" i="4"/>
  <c r="F786" i="4"/>
  <c r="G786" i="4"/>
  <c r="H786" i="4"/>
  <c r="I786" i="4"/>
  <c r="A787" i="4"/>
  <c r="B787" i="4"/>
  <c r="D787" i="4"/>
  <c r="E787" i="4"/>
  <c r="F787" i="4"/>
  <c r="G787" i="4"/>
  <c r="H787" i="4"/>
  <c r="I787" i="4"/>
  <c r="A788" i="4"/>
  <c r="B788" i="4"/>
  <c r="D788" i="4"/>
  <c r="E788" i="4"/>
  <c r="F788" i="4"/>
  <c r="G788" i="4"/>
  <c r="H788" i="4"/>
  <c r="I788" i="4"/>
  <c r="A789" i="4"/>
  <c r="B789" i="4"/>
  <c r="D789" i="4"/>
  <c r="E789" i="4"/>
  <c r="F789" i="4"/>
  <c r="G789" i="4"/>
  <c r="H789" i="4"/>
  <c r="I789" i="4"/>
  <c r="A790" i="4"/>
  <c r="B790" i="4"/>
  <c r="D790" i="4"/>
  <c r="E790" i="4"/>
  <c r="F790" i="4"/>
  <c r="G790" i="4"/>
  <c r="H790" i="4"/>
  <c r="I790" i="4"/>
  <c r="A791" i="4"/>
  <c r="B791" i="4"/>
  <c r="D791" i="4"/>
  <c r="E791" i="4"/>
  <c r="F791" i="4"/>
  <c r="G791" i="4"/>
  <c r="H791" i="4"/>
  <c r="I791" i="4"/>
  <c r="A792" i="4"/>
  <c r="B792" i="4"/>
  <c r="D792" i="4"/>
  <c r="E792" i="4"/>
  <c r="F792" i="4"/>
  <c r="G792" i="4"/>
  <c r="H792" i="4"/>
  <c r="I792" i="4"/>
  <c r="A793" i="4"/>
  <c r="B793" i="4"/>
  <c r="D793" i="4"/>
  <c r="E793" i="4"/>
  <c r="F793" i="4"/>
  <c r="G793" i="4"/>
  <c r="H793" i="4"/>
  <c r="I793" i="4"/>
  <c r="A794" i="4"/>
  <c r="B794" i="4"/>
  <c r="D794" i="4"/>
  <c r="E794" i="4"/>
  <c r="F794" i="4"/>
  <c r="G794" i="4"/>
  <c r="H794" i="4"/>
  <c r="I794" i="4"/>
  <c r="A795" i="4"/>
  <c r="B795" i="4"/>
  <c r="D795" i="4"/>
  <c r="E795" i="4"/>
  <c r="F795" i="4"/>
  <c r="G795" i="4"/>
  <c r="H795" i="4"/>
  <c r="I795" i="4"/>
  <c r="A796" i="4"/>
  <c r="B796" i="4"/>
  <c r="D796" i="4"/>
  <c r="E796" i="4"/>
  <c r="F796" i="4"/>
  <c r="G796" i="4"/>
  <c r="H796" i="4"/>
  <c r="I796" i="4"/>
  <c r="A797" i="4"/>
  <c r="B797" i="4"/>
  <c r="D797" i="4"/>
  <c r="E797" i="4"/>
  <c r="F797" i="4"/>
  <c r="G797" i="4"/>
  <c r="H797" i="4"/>
  <c r="I797" i="4"/>
  <c r="A798" i="4"/>
  <c r="B798" i="4"/>
  <c r="D798" i="4"/>
  <c r="E798" i="4"/>
  <c r="F798" i="4"/>
  <c r="G798" i="4"/>
  <c r="H798" i="4"/>
  <c r="I798" i="4"/>
  <c r="A799" i="4"/>
  <c r="B799" i="4"/>
  <c r="D799" i="4"/>
  <c r="E799" i="4"/>
  <c r="F799" i="4"/>
  <c r="G799" i="4"/>
  <c r="H799" i="4"/>
  <c r="I799" i="4"/>
  <c r="A800" i="4"/>
  <c r="B800" i="4"/>
  <c r="D800" i="4"/>
  <c r="E800" i="4"/>
  <c r="F800" i="4"/>
  <c r="G800" i="4"/>
  <c r="H800" i="4"/>
  <c r="I800" i="4"/>
  <c r="A801" i="4"/>
  <c r="B801" i="4"/>
  <c r="D801" i="4"/>
  <c r="E801" i="4"/>
  <c r="F801" i="4"/>
  <c r="G801" i="4"/>
  <c r="H801" i="4"/>
  <c r="I801" i="4"/>
  <c r="A802" i="4"/>
  <c r="B802" i="4"/>
  <c r="D802" i="4"/>
  <c r="E802" i="4"/>
  <c r="F802" i="4"/>
  <c r="G802" i="4"/>
  <c r="H802" i="4"/>
  <c r="I802" i="4"/>
  <c r="A803" i="4"/>
  <c r="B803" i="4"/>
  <c r="D803" i="4"/>
  <c r="E803" i="4"/>
  <c r="F803" i="4"/>
  <c r="G803" i="4"/>
  <c r="H803" i="4"/>
  <c r="I803" i="4"/>
  <c r="A804" i="4"/>
  <c r="B804" i="4"/>
  <c r="D804" i="4"/>
  <c r="E804" i="4"/>
  <c r="F804" i="4"/>
  <c r="G804" i="4"/>
  <c r="H804" i="4"/>
  <c r="I804" i="4"/>
  <c r="A805" i="4"/>
  <c r="B805" i="4"/>
  <c r="D805" i="4"/>
  <c r="E805" i="4"/>
  <c r="F805" i="4"/>
  <c r="G805" i="4"/>
  <c r="H805" i="4"/>
  <c r="I805" i="4"/>
  <c r="A806" i="4"/>
  <c r="B806" i="4"/>
  <c r="D806" i="4"/>
  <c r="E806" i="4"/>
  <c r="F806" i="4"/>
  <c r="G806" i="4"/>
  <c r="H806" i="4"/>
  <c r="I806" i="4"/>
  <c r="A807" i="4"/>
  <c r="B807" i="4"/>
  <c r="D807" i="4"/>
  <c r="E807" i="4"/>
  <c r="F807" i="4"/>
  <c r="G807" i="4"/>
  <c r="H807" i="4"/>
  <c r="I807" i="4"/>
  <c r="A808" i="4"/>
  <c r="B808" i="4"/>
  <c r="D808" i="4"/>
  <c r="E808" i="4"/>
  <c r="F808" i="4"/>
  <c r="G808" i="4"/>
  <c r="H808" i="4"/>
  <c r="I808" i="4"/>
  <c r="A809" i="4"/>
  <c r="B809" i="4"/>
  <c r="D809" i="4"/>
  <c r="E809" i="4"/>
  <c r="F809" i="4"/>
  <c r="G809" i="4"/>
  <c r="H809" i="4"/>
  <c r="I809" i="4"/>
  <c r="A810" i="4"/>
  <c r="B810" i="4"/>
  <c r="D810" i="4"/>
  <c r="E810" i="4"/>
  <c r="F810" i="4"/>
  <c r="G810" i="4"/>
  <c r="H810" i="4"/>
  <c r="I810" i="4"/>
  <c r="A811" i="4"/>
  <c r="B811" i="4"/>
  <c r="D811" i="4"/>
  <c r="E811" i="4"/>
  <c r="F811" i="4"/>
  <c r="G811" i="4"/>
  <c r="H811" i="4"/>
  <c r="I811" i="4"/>
  <c r="A812" i="4"/>
  <c r="B812" i="4"/>
  <c r="D812" i="4"/>
  <c r="E812" i="4"/>
  <c r="F812" i="4"/>
  <c r="G812" i="4"/>
  <c r="H812" i="4"/>
  <c r="I812" i="4"/>
  <c r="A813" i="4"/>
  <c r="B813" i="4"/>
  <c r="D813" i="4"/>
  <c r="E813" i="4"/>
  <c r="F813" i="4"/>
  <c r="G813" i="4"/>
  <c r="H813" i="4"/>
  <c r="I813" i="4"/>
  <c r="A814" i="4"/>
  <c r="B814" i="4"/>
  <c r="D814" i="4"/>
  <c r="E814" i="4"/>
  <c r="F814" i="4"/>
  <c r="G814" i="4"/>
  <c r="H814" i="4"/>
  <c r="I814" i="4"/>
  <c r="A815" i="4"/>
  <c r="B815" i="4"/>
  <c r="D815" i="4"/>
  <c r="E815" i="4"/>
  <c r="F815" i="4"/>
  <c r="G815" i="4"/>
  <c r="H815" i="4"/>
  <c r="I815" i="4"/>
  <c r="A816" i="4"/>
  <c r="B816" i="4"/>
  <c r="D816" i="4"/>
  <c r="E816" i="4"/>
  <c r="F816" i="4"/>
  <c r="G816" i="4"/>
  <c r="H816" i="4"/>
  <c r="I816" i="4"/>
  <c r="A817" i="4"/>
  <c r="B817" i="4"/>
  <c r="D817" i="4"/>
  <c r="E817" i="4"/>
  <c r="F817" i="4"/>
  <c r="G817" i="4"/>
  <c r="H817" i="4"/>
  <c r="I817" i="4"/>
  <c r="A818" i="4"/>
  <c r="B818" i="4"/>
  <c r="D818" i="4"/>
  <c r="E818" i="4"/>
  <c r="F818" i="4"/>
  <c r="G818" i="4"/>
  <c r="H818" i="4"/>
  <c r="I818" i="4"/>
  <c r="A819" i="4"/>
  <c r="B819" i="4"/>
  <c r="D819" i="4"/>
  <c r="E819" i="4"/>
  <c r="F819" i="4"/>
  <c r="G819" i="4"/>
  <c r="H819" i="4"/>
  <c r="I819" i="4"/>
  <c r="A820" i="4"/>
  <c r="B820" i="4"/>
  <c r="D820" i="4"/>
  <c r="E820" i="4"/>
  <c r="F820" i="4"/>
  <c r="G820" i="4"/>
  <c r="H820" i="4"/>
  <c r="I820" i="4"/>
  <c r="A821" i="4"/>
  <c r="B821" i="4"/>
  <c r="D821" i="4"/>
  <c r="E821" i="4"/>
  <c r="F821" i="4"/>
  <c r="G821" i="4"/>
  <c r="H821" i="4"/>
  <c r="I821" i="4"/>
  <c r="A822" i="4"/>
  <c r="B822" i="4"/>
  <c r="D822" i="4"/>
  <c r="E822" i="4"/>
  <c r="F822" i="4"/>
  <c r="G822" i="4"/>
  <c r="H822" i="4"/>
  <c r="I822" i="4"/>
  <c r="A823" i="4"/>
  <c r="B823" i="4"/>
  <c r="D823" i="4"/>
  <c r="E823" i="4"/>
  <c r="F823" i="4"/>
  <c r="G823" i="4"/>
  <c r="H823" i="4"/>
  <c r="I823" i="4"/>
  <c r="A824" i="4"/>
  <c r="B824" i="4"/>
  <c r="D824" i="4"/>
  <c r="E824" i="4"/>
  <c r="F824" i="4"/>
  <c r="G824" i="4"/>
  <c r="H824" i="4"/>
  <c r="I824" i="4"/>
  <c r="A825" i="4"/>
  <c r="B825" i="4"/>
  <c r="D825" i="4"/>
  <c r="E825" i="4"/>
  <c r="F825" i="4"/>
  <c r="G825" i="4"/>
  <c r="H825" i="4"/>
  <c r="I825" i="4"/>
  <c r="A826" i="4"/>
  <c r="B826" i="4"/>
  <c r="D826" i="4"/>
  <c r="E826" i="4"/>
  <c r="F826" i="4"/>
  <c r="G826" i="4"/>
  <c r="H826" i="4"/>
  <c r="I826" i="4"/>
  <c r="A827" i="4"/>
  <c r="B827" i="4"/>
  <c r="D827" i="4"/>
  <c r="E827" i="4"/>
  <c r="F827" i="4"/>
  <c r="G827" i="4"/>
  <c r="H827" i="4"/>
  <c r="I827" i="4"/>
  <c r="A828" i="4"/>
  <c r="B828" i="4"/>
  <c r="D828" i="4"/>
  <c r="E828" i="4"/>
  <c r="F828" i="4"/>
  <c r="G828" i="4"/>
  <c r="H828" i="4"/>
  <c r="I828" i="4"/>
  <c r="A829" i="4"/>
  <c r="B829" i="4"/>
  <c r="D829" i="4"/>
  <c r="E829" i="4"/>
  <c r="F829" i="4"/>
  <c r="G829" i="4"/>
  <c r="H829" i="4"/>
  <c r="I829" i="4"/>
  <c r="A830" i="4"/>
  <c r="B830" i="4"/>
  <c r="D830" i="4"/>
  <c r="E830" i="4"/>
  <c r="F830" i="4"/>
  <c r="G830" i="4"/>
  <c r="H830" i="4"/>
  <c r="I830" i="4"/>
  <c r="A831" i="4"/>
  <c r="B831" i="4"/>
  <c r="D831" i="4"/>
  <c r="E831" i="4"/>
  <c r="F831" i="4"/>
  <c r="G831" i="4"/>
  <c r="H831" i="4"/>
  <c r="I831" i="4"/>
  <c r="A832" i="4"/>
  <c r="B832" i="4"/>
  <c r="D832" i="4"/>
  <c r="E832" i="4"/>
  <c r="F832" i="4"/>
  <c r="G832" i="4"/>
  <c r="H832" i="4"/>
  <c r="I832" i="4"/>
  <c r="A833" i="4"/>
  <c r="B833" i="4"/>
  <c r="D833" i="4"/>
  <c r="E833" i="4"/>
  <c r="F833" i="4"/>
  <c r="G833" i="4"/>
  <c r="H833" i="4"/>
  <c r="I833" i="4"/>
  <c r="A834" i="4"/>
  <c r="B834" i="4"/>
  <c r="D834" i="4"/>
  <c r="E834" i="4"/>
  <c r="F834" i="4"/>
  <c r="G834" i="4"/>
  <c r="H834" i="4"/>
  <c r="I834" i="4"/>
  <c r="A835" i="4"/>
  <c r="B835" i="4"/>
  <c r="D835" i="4"/>
  <c r="E835" i="4"/>
  <c r="F835" i="4"/>
  <c r="G835" i="4"/>
  <c r="H835" i="4"/>
  <c r="I835" i="4"/>
  <c r="A836" i="4"/>
  <c r="B836" i="4"/>
  <c r="D836" i="4"/>
  <c r="E836" i="4"/>
  <c r="F836" i="4"/>
  <c r="G836" i="4"/>
  <c r="H836" i="4"/>
  <c r="I836" i="4"/>
  <c r="A837" i="4"/>
  <c r="B837" i="4"/>
  <c r="D837" i="4"/>
  <c r="E837" i="4"/>
  <c r="F837" i="4"/>
  <c r="G837" i="4"/>
  <c r="H837" i="4"/>
  <c r="I837" i="4"/>
  <c r="A838" i="4"/>
  <c r="B838" i="4"/>
  <c r="D838" i="4"/>
  <c r="E838" i="4"/>
  <c r="F838" i="4"/>
  <c r="G838" i="4"/>
  <c r="H838" i="4"/>
  <c r="I838" i="4"/>
  <c r="A839" i="4"/>
  <c r="B839" i="4"/>
  <c r="D839" i="4"/>
  <c r="E839" i="4"/>
  <c r="F839" i="4"/>
  <c r="G839" i="4"/>
  <c r="H839" i="4"/>
  <c r="I839" i="4"/>
  <c r="A840" i="4"/>
  <c r="B840" i="4"/>
  <c r="D840" i="4"/>
  <c r="E840" i="4"/>
  <c r="F840" i="4"/>
  <c r="G840" i="4"/>
  <c r="H840" i="4"/>
  <c r="I840" i="4"/>
  <c r="A841" i="4"/>
  <c r="B841" i="4"/>
  <c r="D841" i="4"/>
  <c r="E841" i="4"/>
  <c r="F841" i="4"/>
  <c r="G841" i="4"/>
  <c r="H841" i="4"/>
  <c r="I841" i="4"/>
  <c r="A842" i="4"/>
  <c r="B842" i="4"/>
  <c r="D842" i="4"/>
  <c r="E842" i="4"/>
  <c r="F842" i="4"/>
  <c r="G842" i="4"/>
  <c r="H842" i="4"/>
  <c r="I842" i="4"/>
  <c r="A843" i="4"/>
  <c r="B843" i="4"/>
  <c r="D843" i="4"/>
  <c r="E843" i="4"/>
  <c r="F843" i="4"/>
  <c r="G843" i="4"/>
  <c r="H843" i="4"/>
  <c r="I843" i="4"/>
  <c r="A844" i="4"/>
  <c r="B844" i="4"/>
  <c r="D844" i="4"/>
  <c r="E844" i="4"/>
  <c r="F844" i="4"/>
  <c r="G844" i="4"/>
  <c r="H844" i="4"/>
  <c r="I844" i="4"/>
  <c r="A845" i="4"/>
  <c r="B845" i="4"/>
  <c r="D845" i="4"/>
  <c r="E845" i="4"/>
  <c r="F845" i="4"/>
  <c r="G845" i="4"/>
  <c r="H845" i="4"/>
  <c r="I845" i="4"/>
  <c r="A846" i="4"/>
  <c r="B846" i="4"/>
  <c r="D846" i="4"/>
  <c r="E846" i="4"/>
  <c r="F846" i="4"/>
  <c r="G846" i="4"/>
  <c r="H846" i="4"/>
  <c r="I846" i="4"/>
  <c r="A847" i="4"/>
  <c r="B847" i="4"/>
  <c r="D847" i="4"/>
  <c r="E847" i="4"/>
  <c r="F847" i="4"/>
  <c r="G847" i="4"/>
  <c r="H847" i="4"/>
  <c r="I847" i="4"/>
  <c r="A848" i="4"/>
  <c r="B848" i="4"/>
  <c r="D848" i="4"/>
  <c r="E848" i="4"/>
  <c r="F848" i="4"/>
  <c r="G848" i="4"/>
  <c r="H848" i="4"/>
  <c r="I848" i="4"/>
  <c r="A849" i="4"/>
  <c r="B849" i="4"/>
  <c r="D849" i="4"/>
  <c r="E849" i="4"/>
  <c r="F849" i="4"/>
  <c r="G849" i="4"/>
  <c r="H849" i="4"/>
  <c r="I849" i="4"/>
  <c r="A850" i="4"/>
  <c r="B850" i="4"/>
  <c r="D850" i="4"/>
  <c r="E850" i="4"/>
  <c r="F850" i="4"/>
  <c r="G850" i="4"/>
  <c r="H850" i="4"/>
  <c r="I850" i="4"/>
  <c r="A851" i="4"/>
  <c r="B851" i="4"/>
  <c r="D851" i="4"/>
  <c r="E851" i="4"/>
  <c r="F851" i="4"/>
  <c r="G851" i="4"/>
  <c r="H851" i="4"/>
  <c r="I851" i="4"/>
  <c r="A852" i="4"/>
  <c r="B852" i="4"/>
  <c r="D852" i="4"/>
  <c r="E852" i="4"/>
  <c r="F852" i="4"/>
  <c r="G852" i="4"/>
  <c r="H852" i="4"/>
  <c r="I852" i="4"/>
  <c r="A853" i="4"/>
  <c r="B853" i="4"/>
  <c r="D853" i="4"/>
  <c r="E853" i="4"/>
  <c r="F853" i="4"/>
  <c r="G853" i="4"/>
  <c r="H853" i="4"/>
  <c r="I853" i="4"/>
  <c r="A854" i="4"/>
  <c r="B854" i="4"/>
  <c r="D854" i="4"/>
  <c r="E854" i="4"/>
  <c r="F854" i="4"/>
  <c r="G854" i="4"/>
  <c r="H854" i="4"/>
  <c r="I854" i="4"/>
  <c r="A855" i="4"/>
  <c r="B855" i="4"/>
  <c r="D855" i="4"/>
  <c r="E855" i="4"/>
  <c r="F855" i="4"/>
  <c r="G855" i="4"/>
  <c r="H855" i="4"/>
  <c r="I855" i="4"/>
  <c r="A856" i="4"/>
  <c r="B856" i="4"/>
  <c r="D856" i="4"/>
  <c r="E856" i="4"/>
  <c r="F856" i="4"/>
  <c r="G856" i="4"/>
  <c r="H856" i="4"/>
  <c r="I856" i="4"/>
  <c r="A857" i="4"/>
  <c r="B857" i="4"/>
  <c r="D857" i="4"/>
  <c r="E857" i="4"/>
  <c r="F857" i="4"/>
  <c r="G857" i="4"/>
  <c r="H857" i="4"/>
  <c r="I857" i="4"/>
  <c r="A858" i="4"/>
  <c r="B858" i="4"/>
  <c r="D858" i="4"/>
  <c r="E858" i="4"/>
  <c r="F858" i="4"/>
  <c r="G858" i="4"/>
  <c r="H858" i="4"/>
  <c r="I858" i="4"/>
  <c r="A859" i="4"/>
  <c r="B859" i="4"/>
  <c r="D859" i="4"/>
  <c r="E859" i="4"/>
  <c r="F859" i="4"/>
  <c r="G859" i="4"/>
  <c r="H859" i="4"/>
  <c r="I859" i="4"/>
  <c r="A860" i="4"/>
  <c r="B860" i="4"/>
  <c r="D860" i="4"/>
  <c r="E860" i="4"/>
  <c r="F860" i="4"/>
  <c r="G860" i="4"/>
  <c r="H860" i="4"/>
  <c r="I860" i="4"/>
  <c r="A861" i="4"/>
  <c r="B861" i="4"/>
  <c r="D861" i="4"/>
  <c r="E861" i="4"/>
  <c r="F861" i="4"/>
  <c r="G861" i="4"/>
  <c r="H861" i="4"/>
  <c r="I861" i="4"/>
  <c r="A862" i="4"/>
  <c r="B862" i="4"/>
  <c r="D862" i="4"/>
  <c r="E862" i="4"/>
  <c r="F862" i="4"/>
  <c r="G862" i="4"/>
  <c r="H862" i="4"/>
  <c r="I862" i="4"/>
  <c r="A863" i="4"/>
  <c r="B863" i="4"/>
  <c r="D863" i="4"/>
  <c r="E863" i="4"/>
  <c r="F863" i="4"/>
  <c r="G863" i="4"/>
  <c r="H863" i="4"/>
  <c r="I863" i="4"/>
  <c r="A864" i="4"/>
  <c r="B864" i="4"/>
  <c r="D864" i="4"/>
  <c r="E864" i="4"/>
  <c r="F864" i="4"/>
  <c r="G864" i="4"/>
  <c r="H864" i="4"/>
  <c r="I864" i="4"/>
  <c r="A865" i="4"/>
  <c r="B865" i="4"/>
  <c r="D865" i="4"/>
  <c r="E865" i="4"/>
  <c r="F865" i="4"/>
  <c r="G865" i="4"/>
  <c r="H865" i="4"/>
  <c r="I865" i="4"/>
  <c r="A866" i="4"/>
  <c r="B866" i="4"/>
  <c r="D866" i="4"/>
  <c r="E866" i="4"/>
  <c r="F866" i="4"/>
  <c r="G866" i="4"/>
  <c r="H866" i="4"/>
  <c r="I866" i="4"/>
  <c r="A867" i="4"/>
  <c r="B867" i="4"/>
  <c r="D867" i="4"/>
  <c r="E867" i="4"/>
  <c r="F867" i="4"/>
  <c r="G867" i="4"/>
  <c r="H867" i="4"/>
  <c r="I867" i="4"/>
  <c r="A868" i="4"/>
  <c r="B868" i="4"/>
  <c r="D868" i="4"/>
  <c r="E868" i="4"/>
  <c r="F868" i="4"/>
  <c r="G868" i="4"/>
  <c r="H868" i="4"/>
  <c r="I868" i="4"/>
  <c r="A869" i="4"/>
  <c r="B869" i="4"/>
  <c r="D869" i="4"/>
  <c r="E869" i="4"/>
  <c r="F869" i="4"/>
  <c r="G869" i="4"/>
  <c r="H869" i="4"/>
  <c r="I869" i="4"/>
  <c r="A870" i="4"/>
  <c r="B870" i="4"/>
  <c r="D870" i="4"/>
  <c r="E870" i="4"/>
  <c r="F870" i="4"/>
  <c r="G870" i="4"/>
  <c r="H870" i="4"/>
  <c r="I870" i="4"/>
  <c r="A871" i="4"/>
  <c r="B871" i="4"/>
  <c r="D871" i="4"/>
  <c r="E871" i="4"/>
  <c r="F871" i="4"/>
  <c r="G871" i="4"/>
  <c r="H871" i="4"/>
  <c r="I871" i="4"/>
  <c r="A872" i="4"/>
  <c r="B872" i="4"/>
  <c r="D872" i="4"/>
  <c r="E872" i="4"/>
  <c r="F872" i="4"/>
  <c r="G872" i="4"/>
  <c r="H872" i="4"/>
  <c r="I872" i="4"/>
  <c r="A873" i="4"/>
  <c r="B873" i="4"/>
  <c r="D873" i="4"/>
  <c r="E873" i="4"/>
  <c r="F873" i="4"/>
  <c r="G873" i="4"/>
  <c r="H873" i="4"/>
  <c r="I873" i="4"/>
  <c r="A874" i="4"/>
  <c r="B874" i="4"/>
  <c r="D874" i="4"/>
  <c r="E874" i="4"/>
  <c r="F874" i="4"/>
  <c r="G874" i="4"/>
  <c r="H874" i="4"/>
  <c r="I874" i="4"/>
  <c r="A875" i="4"/>
  <c r="B875" i="4"/>
  <c r="D875" i="4"/>
  <c r="E875" i="4"/>
  <c r="F875" i="4"/>
  <c r="G875" i="4"/>
  <c r="H875" i="4"/>
  <c r="I875" i="4"/>
  <c r="A876" i="4"/>
  <c r="B876" i="4"/>
  <c r="D876" i="4"/>
  <c r="E876" i="4"/>
  <c r="F876" i="4"/>
  <c r="G876" i="4"/>
  <c r="H876" i="4"/>
  <c r="I876" i="4"/>
  <c r="A877" i="4"/>
  <c r="B877" i="4"/>
  <c r="D877" i="4"/>
  <c r="E877" i="4"/>
  <c r="F877" i="4"/>
  <c r="G877" i="4"/>
  <c r="H877" i="4"/>
  <c r="I877" i="4"/>
  <c r="A878" i="4"/>
  <c r="B878" i="4"/>
  <c r="D878" i="4"/>
  <c r="E878" i="4"/>
  <c r="F878" i="4"/>
  <c r="G878" i="4"/>
  <c r="H878" i="4"/>
  <c r="I878" i="4"/>
  <c r="A879" i="4"/>
  <c r="B879" i="4"/>
  <c r="D879" i="4"/>
  <c r="E879" i="4"/>
  <c r="F879" i="4"/>
  <c r="G879" i="4"/>
  <c r="H879" i="4"/>
  <c r="I879" i="4"/>
  <c r="A880" i="4"/>
  <c r="B880" i="4"/>
  <c r="D880" i="4"/>
  <c r="E880" i="4"/>
  <c r="F880" i="4"/>
  <c r="G880" i="4"/>
  <c r="H880" i="4"/>
  <c r="I880" i="4"/>
  <c r="A881" i="4"/>
  <c r="B881" i="4"/>
  <c r="D881" i="4"/>
  <c r="E881" i="4"/>
  <c r="F881" i="4"/>
  <c r="G881" i="4"/>
  <c r="H881" i="4"/>
  <c r="I881" i="4"/>
  <c r="A882" i="4"/>
  <c r="B882" i="4"/>
  <c r="D882" i="4"/>
  <c r="E882" i="4"/>
  <c r="F882" i="4"/>
  <c r="G882" i="4"/>
  <c r="H882" i="4"/>
  <c r="I882" i="4"/>
  <c r="A883" i="4"/>
  <c r="B883" i="4"/>
  <c r="D883" i="4"/>
  <c r="E883" i="4"/>
  <c r="F883" i="4"/>
  <c r="G883" i="4"/>
  <c r="H883" i="4"/>
  <c r="I883" i="4"/>
  <c r="A884" i="4"/>
  <c r="B884" i="4"/>
  <c r="D884" i="4"/>
  <c r="E884" i="4"/>
  <c r="F884" i="4"/>
  <c r="G884" i="4"/>
  <c r="H884" i="4"/>
  <c r="I884" i="4"/>
  <c r="A885" i="4"/>
  <c r="B885" i="4"/>
  <c r="D885" i="4"/>
  <c r="E885" i="4"/>
  <c r="F885" i="4"/>
  <c r="G885" i="4"/>
  <c r="H885" i="4"/>
  <c r="I885" i="4"/>
  <c r="A886" i="4"/>
  <c r="B886" i="4"/>
  <c r="D886" i="4"/>
  <c r="E886" i="4"/>
  <c r="F886" i="4"/>
  <c r="G886" i="4"/>
  <c r="H886" i="4"/>
  <c r="I886" i="4"/>
  <c r="A887" i="4"/>
  <c r="B887" i="4"/>
  <c r="D887" i="4"/>
  <c r="E887" i="4"/>
  <c r="F887" i="4"/>
  <c r="G887" i="4"/>
  <c r="H887" i="4"/>
  <c r="I887" i="4"/>
  <c r="A888" i="4"/>
  <c r="B888" i="4"/>
  <c r="D888" i="4"/>
  <c r="E888" i="4"/>
  <c r="F888" i="4"/>
  <c r="G888" i="4"/>
  <c r="H888" i="4"/>
  <c r="I888" i="4"/>
  <c r="A889" i="4"/>
  <c r="B889" i="4"/>
  <c r="D889" i="4"/>
  <c r="E889" i="4"/>
  <c r="F889" i="4"/>
  <c r="G889" i="4"/>
  <c r="H889" i="4"/>
  <c r="I889" i="4"/>
  <c r="A890" i="4"/>
  <c r="B890" i="4"/>
  <c r="D890" i="4"/>
  <c r="E890" i="4"/>
  <c r="F890" i="4"/>
  <c r="G890" i="4"/>
  <c r="H890" i="4"/>
  <c r="I890" i="4"/>
  <c r="A891" i="4"/>
  <c r="B891" i="4"/>
  <c r="D891" i="4"/>
  <c r="E891" i="4"/>
  <c r="F891" i="4"/>
  <c r="G891" i="4"/>
  <c r="H891" i="4"/>
  <c r="I891" i="4"/>
  <c r="A892" i="4"/>
  <c r="B892" i="4"/>
  <c r="D892" i="4"/>
  <c r="E892" i="4"/>
  <c r="F892" i="4"/>
  <c r="G892" i="4"/>
  <c r="H892" i="4"/>
  <c r="I892" i="4"/>
  <c r="A893" i="4"/>
  <c r="B893" i="4"/>
  <c r="D893" i="4"/>
  <c r="E893" i="4"/>
  <c r="F893" i="4"/>
  <c r="G893" i="4"/>
  <c r="H893" i="4"/>
  <c r="I893" i="4"/>
  <c r="A894" i="4"/>
  <c r="B894" i="4"/>
  <c r="D894" i="4"/>
  <c r="E894" i="4"/>
  <c r="F894" i="4"/>
  <c r="G894" i="4"/>
  <c r="H894" i="4"/>
  <c r="I894" i="4"/>
  <c r="A895" i="4"/>
  <c r="B895" i="4"/>
  <c r="D895" i="4"/>
  <c r="E895" i="4"/>
  <c r="F895" i="4"/>
  <c r="G895" i="4"/>
  <c r="H895" i="4"/>
  <c r="I895" i="4"/>
  <c r="A896" i="4"/>
  <c r="B896" i="4"/>
  <c r="D896" i="4"/>
  <c r="E896" i="4"/>
  <c r="F896" i="4"/>
  <c r="G896" i="4"/>
  <c r="H896" i="4"/>
  <c r="I896" i="4"/>
  <c r="A897" i="4"/>
  <c r="B897" i="4"/>
  <c r="D897" i="4"/>
  <c r="E897" i="4"/>
  <c r="F897" i="4"/>
  <c r="G897" i="4"/>
  <c r="H897" i="4"/>
  <c r="I897" i="4"/>
  <c r="A898" i="4"/>
  <c r="B898" i="4"/>
  <c r="D898" i="4"/>
  <c r="E898" i="4"/>
  <c r="F898" i="4"/>
  <c r="G898" i="4"/>
  <c r="H898" i="4"/>
  <c r="I898" i="4"/>
  <c r="A899" i="4"/>
  <c r="B899" i="4"/>
  <c r="D899" i="4"/>
  <c r="E899" i="4"/>
  <c r="F899" i="4"/>
  <c r="G899" i="4"/>
  <c r="H899" i="4"/>
  <c r="I899" i="4"/>
  <c r="A900" i="4"/>
  <c r="B900" i="4"/>
  <c r="D900" i="4"/>
  <c r="E900" i="4"/>
  <c r="F900" i="4"/>
  <c r="G900" i="4"/>
  <c r="H900" i="4"/>
  <c r="I900" i="4"/>
  <c r="A901" i="4"/>
  <c r="B901" i="4"/>
  <c r="D901" i="4"/>
  <c r="E901" i="4"/>
  <c r="F901" i="4"/>
  <c r="G901" i="4"/>
  <c r="H901" i="4"/>
  <c r="I901" i="4"/>
  <c r="A902" i="4"/>
  <c r="B902" i="4"/>
  <c r="D902" i="4"/>
  <c r="E902" i="4"/>
  <c r="F902" i="4"/>
  <c r="G902" i="4"/>
  <c r="H902" i="4"/>
  <c r="I902" i="4"/>
  <c r="A903" i="4"/>
  <c r="B903" i="4"/>
  <c r="D903" i="4"/>
  <c r="E903" i="4"/>
  <c r="F903" i="4"/>
  <c r="G903" i="4"/>
  <c r="H903" i="4"/>
  <c r="I903" i="4"/>
  <c r="A904" i="4"/>
  <c r="B904" i="4"/>
  <c r="D904" i="4"/>
  <c r="E904" i="4"/>
  <c r="F904" i="4"/>
  <c r="G904" i="4"/>
  <c r="H904" i="4"/>
  <c r="I904" i="4"/>
  <c r="A905" i="4"/>
  <c r="B905" i="4"/>
  <c r="D905" i="4"/>
  <c r="E905" i="4"/>
  <c r="F905" i="4"/>
  <c r="G905" i="4"/>
  <c r="H905" i="4"/>
  <c r="I905" i="4"/>
  <c r="A906" i="4"/>
  <c r="B906" i="4"/>
  <c r="D906" i="4"/>
  <c r="E906" i="4"/>
  <c r="F906" i="4"/>
  <c r="G906" i="4"/>
  <c r="H906" i="4"/>
  <c r="I906" i="4"/>
  <c r="A907" i="4"/>
  <c r="B907" i="4"/>
  <c r="D907" i="4"/>
  <c r="E907" i="4"/>
  <c r="F907" i="4"/>
  <c r="G907" i="4"/>
  <c r="H907" i="4"/>
  <c r="I907" i="4"/>
  <c r="A908" i="4"/>
  <c r="B908" i="4"/>
  <c r="D908" i="4"/>
  <c r="E908" i="4"/>
  <c r="F908" i="4"/>
  <c r="G908" i="4"/>
  <c r="H908" i="4"/>
  <c r="I908" i="4"/>
  <c r="A909" i="4"/>
  <c r="B909" i="4"/>
  <c r="D909" i="4"/>
  <c r="E909" i="4"/>
  <c r="F909" i="4"/>
  <c r="G909" i="4"/>
  <c r="H909" i="4"/>
  <c r="I909" i="4"/>
  <c r="A910" i="4"/>
  <c r="B910" i="4"/>
  <c r="D910" i="4"/>
  <c r="E910" i="4"/>
  <c r="F910" i="4"/>
  <c r="G910" i="4"/>
  <c r="H910" i="4"/>
  <c r="I910" i="4"/>
  <c r="A911" i="4"/>
  <c r="B911" i="4"/>
  <c r="D911" i="4"/>
  <c r="E911" i="4"/>
  <c r="F911" i="4"/>
  <c r="G911" i="4"/>
  <c r="H911" i="4"/>
  <c r="I911" i="4"/>
  <c r="A912" i="4"/>
  <c r="B912" i="4"/>
  <c r="D912" i="4"/>
  <c r="E912" i="4"/>
  <c r="F912" i="4"/>
  <c r="G912" i="4"/>
  <c r="H912" i="4"/>
  <c r="I912" i="4"/>
  <c r="A913" i="4"/>
  <c r="B913" i="4"/>
  <c r="D913" i="4"/>
  <c r="E913" i="4"/>
  <c r="F913" i="4"/>
  <c r="G913" i="4"/>
  <c r="H913" i="4"/>
  <c r="I913" i="4"/>
  <c r="A914" i="4"/>
  <c r="B914" i="4"/>
  <c r="D914" i="4"/>
  <c r="E914" i="4"/>
  <c r="F914" i="4"/>
  <c r="G914" i="4"/>
  <c r="H914" i="4"/>
  <c r="I914" i="4"/>
  <c r="A915" i="4"/>
  <c r="B915" i="4"/>
  <c r="D915" i="4"/>
  <c r="E915" i="4"/>
  <c r="F915" i="4"/>
  <c r="G915" i="4"/>
  <c r="H915" i="4"/>
  <c r="I915" i="4"/>
  <c r="A916" i="4"/>
  <c r="B916" i="4"/>
  <c r="D916" i="4"/>
  <c r="E916" i="4"/>
  <c r="F916" i="4"/>
  <c r="G916" i="4"/>
  <c r="H916" i="4"/>
  <c r="I916" i="4"/>
  <c r="A917" i="4"/>
  <c r="B917" i="4"/>
  <c r="D917" i="4"/>
  <c r="E917" i="4"/>
  <c r="F917" i="4"/>
  <c r="G917" i="4"/>
  <c r="H917" i="4"/>
  <c r="I917" i="4"/>
  <c r="A918" i="4"/>
  <c r="B918" i="4"/>
  <c r="D918" i="4"/>
  <c r="E918" i="4"/>
  <c r="F918" i="4"/>
  <c r="G918" i="4"/>
  <c r="H918" i="4"/>
  <c r="I918" i="4"/>
  <c r="A919" i="4"/>
  <c r="B919" i="4"/>
  <c r="D919" i="4"/>
  <c r="E919" i="4"/>
  <c r="F919" i="4"/>
  <c r="G919" i="4"/>
  <c r="H919" i="4"/>
  <c r="I919" i="4"/>
  <c r="A920" i="4"/>
  <c r="B920" i="4"/>
  <c r="D920" i="4"/>
  <c r="E920" i="4"/>
  <c r="F920" i="4"/>
  <c r="G920" i="4"/>
  <c r="H920" i="4"/>
  <c r="I920" i="4"/>
  <c r="A921" i="4"/>
  <c r="B921" i="4"/>
  <c r="D921" i="4"/>
  <c r="E921" i="4"/>
  <c r="F921" i="4"/>
  <c r="G921" i="4"/>
  <c r="H921" i="4"/>
  <c r="I921" i="4"/>
  <c r="A922" i="4"/>
  <c r="B922" i="4"/>
  <c r="D922" i="4"/>
  <c r="E922" i="4"/>
  <c r="F922" i="4"/>
  <c r="G922" i="4"/>
  <c r="H922" i="4"/>
  <c r="I922" i="4"/>
  <c r="A923" i="4"/>
  <c r="B923" i="4"/>
  <c r="D923" i="4"/>
  <c r="E923" i="4"/>
  <c r="F923" i="4"/>
  <c r="G923" i="4"/>
  <c r="H923" i="4"/>
  <c r="I923" i="4"/>
  <c r="A924" i="4"/>
  <c r="B924" i="4"/>
  <c r="D924" i="4"/>
  <c r="E924" i="4"/>
  <c r="F924" i="4"/>
  <c r="G924" i="4"/>
  <c r="H924" i="4"/>
  <c r="I924" i="4"/>
  <c r="A925" i="4"/>
  <c r="B925" i="4"/>
  <c r="D925" i="4"/>
  <c r="E925" i="4"/>
  <c r="F925" i="4"/>
  <c r="G925" i="4"/>
  <c r="H925" i="4"/>
  <c r="I925" i="4"/>
  <c r="A926" i="4"/>
  <c r="B926" i="4"/>
  <c r="D926" i="4"/>
  <c r="E926" i="4"/>
  <c r="F926" i="4"/>
  <c r="G926" i="4"/>
  <c r="H926" i="4"/>
  <c r="I926" i="4"/>
  <c r="A927" i="4"/>
  <c r="B927" i="4"/>
  <c r="D927" i="4"/>
  <c r="E927" i="4"/>
  <c r="F927" i="4"/>
  <c r="G927" i="4"/>
  <c r="H927" i="4"/>
  <c r="I927" i="4"/>
  <c r="A928" i="4"/>
  <c r="B928" i="4"/>
  <c r="D928" i="4"/>
  <c r="E928" i="4"/>
  <c r="F928" i="4"/>
  <c r="G928" i="4"/>
  <c r="H928" i="4"/>
  <c r="I928" i="4"/>
  <c r="A929" i="4"/>
  <c r="B929" i="4"/>
  <c r="D929" i="4"/>
  <c r="E929" i="4"/>
  <c r="F929" i="4"/>
  <c r="G929" i="4"/>
  <c r="H929" i="4"/>
  <c r="I929" i="4"/>
  <c r="A930" i="4"/>
  <c r="B930" i="4"/>
  <c r="D930" i="4"/>
  <c r="E930" i="4"/>
  <c r="F930" i="4"/>
  <c r="G930" i="4"/>
  <c r="H930" i="4"/>
  <c r="I930" i="4"/>
  <c r="A931" i="4"/>
  <c r="B931" i="4"/>
  <c r="D931" i="4"/>
  <c r="E931" i="4"/>
  <c r="F931" i="4"/>
  <c r="G931" i="4"/>
  <c r="H931" i="4"/>
  <c r="I931" i="4"/>
  <c r="A932" i="4"/>
  <c r="B932" i="4"/>
  <c r="D932" i="4"/>
  <c r="E932" i="4"/>
  <c r="F932" i="4"/>
  <c r="G932" i="4"/>
  <c r="H932" i="4"/>
  <c r="I932" i="4"/>
  <c r="A933" i="4"/>
  <c r="B933" i="4"/>
  <c r="D933" i="4"/>
  <c r="E933" i="4"/>
  <c r="F933" i="4"/>
  <c r="G933" i="4"/>
  <c r="H933" i="4"/>
  <c r="I933" i="4"/>
  <c r="A934" i="4"/>
  <c r="B934" i="4"/>
  <c r="D934" i="4"/>
  <c r="E934" i="4"/>
  <c r="F934" i="4"/>
  <c r="G934" i="4"/>
  <c r="H934" i="4"/>
  <c r="I934" i="4"/>
  <c r="A935" i="4"/>
  <c r="B935" i="4"/>
  <c r="D935" i="4"/>
  <c r="E935" i="4"/>
  <c r="F935" i="4"/>
  <c r="G935" i="4"/>
  <c r="H935" i="4"/>
  <c r="I935" i="4"/>
  <c r="A936" i="4"/>
  <c r="B936" i="4"/>
  <c r="D936" i="4"/>
  <c r="E936" i="4"/>
  <c r="F936" i="4"/>
  <c r="G936" i="4"/>
  <c r="H936" i="4"/>
  <c r="I936" i="4"/>
  <c r="A937" i="4"/>
  <c r="B937" i="4"/>
  <c r="D937" i="4"/>
  <c r="E937" i="4"/>
  <c r="F937" i="4"/>
  <c r="G937" i="4"/>
  <c r="H937" i="4"/>
  <c r="I937" i="4"/>
  <c r="A938" i="4"/>
  <c r="B938" i="4"/>
  <c r="D938" i="4"/>
  <c r="E938" i="4"/>
  <c r="F938" i="4"/>
  <c r="G938" i="4"/>
  <c r="H938" i="4"/>
  <c r="I938" i="4"/>
  <c r="A939" i="4"/>
  <c r="B939" i="4"/>
  <c r="D939" i="4"/>
  <c r="E939" i="4"/>
  <c r="F939" i="4"/>
  <c r="G939" i="4"/>
  <c r="H939" i="4"/>
  <c r="I939" i="4"/>
  <c r="A940" i="4"/>
  <c r="B940" i="4"/>
  <c r="D940" i="4"/>
  <c r="E940" i="4"/>
  <c r="F940" i="4"/>
  <c r="G940" i="4"/>
  <c r="H940" i="4"/>
  <c r="I940" i="4"/>
  <c r="A941" i="4"/>
  <c r="B941" i="4"/>
  <c r="D941" i="4"/>
  <c r="E941" i="4"/>
  <c r="F941" i="4"/>
  <c r="G941" i="4"/>
  <c r="H941" i="4"/>
  <c r="I941" i="4"/>
  <c r="A942" i="4"/>
  <c r="B942" i="4"/>
  <c r="D942" i="4"/>
  <c r="E942" i="4"/>
  <c r="F942" i="4"/>
  <c r="G942" i="4"/>
  <c r="H942" i="4"/>
  <c r="I942" i="4"/>
  <c r="A943" i="4"/>
  <c r="B943" i="4"/>
  <c r="D943" i="4"/>
  <c r="E943" i="4"/>
  <c r="F943" i="4"/>
  <c r="G943" i="4"/>
  <c r="H943" i="4"/>
  <c r="I943" i="4"/>
  <c r="A944" i="4"/>
  <c r="B944" i="4"/>
  <c r="D944" i="4"/>
  <c r="E944" i="4"/>
  <c r="F944" i="4"/>
  <c r="G944" i="4"/>
  <c r="H944" i="4"/>
  <c r="I944" i="4"/>
  <c r="A945" i="4"/>
  <c r="B945" i="4"/>
  <c r="D945" i="4"/>
  <c r="E945" i="4"/>
  <c r="F945" i="4"/>
  <c r="G945" i="4"/>
  <c r="H945" i="4"/>
  <c r="I945" i="4"/>
  <c r="A946" i="4"/>
  <c r="B946" i="4"/>
  <c r="D946" i="4"/>
  <c r="E946" i="4"/>
  <c r="F946" i="4"/>
  <c r="G946" i="4"/>
  <c r="H946" i="4"/>
  <c r="I946" i="4"/>
  <c r="A947" i="4"/>
  <c r="B947" i="4"/>
  <c r="D947" i="4"/>
  <c r="E947" i="4"/>
  <c r="F947" i="4"/>
  <c r="G947" i="4"/>
  <c r="H947" i="4"/>
  <c r="I947" i="4"/>
  <c r="A948" i="4"/>
  <c r="B948" i="4"/>
  <c r="D948" i="4"/>
  <c r="E948" i="4"/>
  <c r="F948" i="4"/>
  <c r="G948" i="4"/>
  <c r="H948" i="4"/>
  <c r="I948" i="4"/>
  <c r="A949" i="4"/>
  <c r="B949" i="4"/>
  <c r="D949" i="4"/>
  <c r="E949" i="4"/>
  <c r="F949" i="4"/>
  <c r="G949" i="4"/>
  <c r="H949" i="4"/>
  <c r="I949" i="4"/>
  <c r="A950" i="4"/>
  <c r="B950" i="4"/>
  <c r="D950" i="4"/>
  <c r="E950" i="4"/>
  <c r="F950" i="4"/>
  <c r="G950" i="4"/>
  <c r="H950" i="4"/>
  <c r="I950" i="4"/>
  <c r="A951" i="4"/>
  <c r="B951" i="4"/>
  <c r="D951" i="4"/>
  <c r="E951" i="4"/>
  <c r="F951" i="4"/>
  <c r="G951" i="4"/>
  <c r="H951" i="4"/>
  <c r="I951" i="4"/>
  <c r="A952" i="4"/>
  <c r="B952" i="4"/>
  <c r="D952" i="4"/>
  <c r="E952" i="4"/>
  <c r="F952" i="4"/>
  <c r="G952" i="4"/>
  <c r="H952" i="4"/>
  <c r="I952" i="4"/>
  <c r="A953" i="4"/>
  <c r="B953" i="4"/>
  <c r="D953" i="4"/>
  <c r="E953" i="4"/>
  <c r="F953" i="4"/>
  <c r="G953" i="4"/>
  <c r="H953" i="4"/>
  <c r="I953" i="4"/>
  <c r="A954" i="4"/>
  <c r="B954" i="4"/>
  <c r="D954" i="4"/>
  <c r="E954" i="4"/>
  <c r="F954" i="4"/>
  <c r="G954" i="4"/>
  <c r="H954" i="4"/>
  <c r="I954" i="4"/>
  <c r="A955" i="4"/>
  <c r="B955" i="4"/>
  <c r="D955" i="4"/>
  <c r="E955" i="4"/>
  <c r="F955" i="4"/>
  <c r="G955" i="4"/>
  <c r="H955" i="4"/>
  <c r="I955" i="4"/>
  <c r="A956" i="4"/>
  <c r="B956" i="4"/>
  <c r="D956" i="4"/>
  <c r="E956" i="4"/>
  <c r="F956" i="4"/>
  <c r="G956" i="4"/>
  <c r="H956" i="4"/>
  <c r="I956" i="4"/>
  <c r="A957" i="4"/>
  <c r="B957" i="4"/>
  <c r="D957" i="4"/>
  <c r="E957" i="4"/>
  <c r="F957" i="4"/>
  <c r="G957" i="4"/>
  <c r="H957" i="4"/>
  <c r="I957" i="4"/>
  <c r="A958" i="4"/>
  <c r="B958" i="4"/>
  <c r="D958" i="4"/>
  <c r="E958" i="4"/>
  <c r="F958" i="4"/>
  <c r="G958" i="4"/>
  <c r="H958" i="4"/>
  <c r="I958" i="4"/>
  <c r="A959" i="4"/>
  <c r="B959" i="4"/>
  <c r="D959" i="4"/>
  <c r="E959" i="4"/>
  <c r="F959" i="4"/>
  <c r="G959" i="4"/>
  <c r="H959" i="4"/>
  <c r="I959" i="4"/>
  <c r="A960" i="4"/>
  <c r="B960" i="4"/>
  <c r="D960" i="4"/>
  <c r="E960" i="4"/>
  <c r="F960" i="4"/>
  <c r="G960" i="4"/>
  <c r="H960" i="4"/>
  <c r="I960" i="4"/>
  <c r="A961" i="4"/>
  <c r="B961" i="4"/>
  <c r="D961" i="4"/>
  <c r="E961" i="4"/>
  <c r="F961" i="4"/>
  <c r="G961" i="4"/>
  <c r="H961" i="4"/>
  <c r="I961" i="4"/>
  <c r="A962" i="4"/>
  <c r="B962" i="4"/>
  <c r="D962" i="4"/>
  <c r="E962" i="4"/>
  <c r="F962" i="4"/>
  <c r="G962" i="4"/>
  <c r="H962" i="4"/>
  <c r="I962" i="4"/>
  <c r="A963" i="4"/>
  <c r="B963" i="4"/>
  <c r="D963" i="4"/>
  <c r="E963" i="4"/>
  <c r="F963" i="4"/>
  <c r="G963" i="4"/>
  <c r="H963" i="4"/>
  <c r="I963" i="4"/>
  <c r="A964" i="4"/>
  <c r="B964" i="4"/>
  <c r="D964" i="4"/>
  <c r="E964" i="4"/>
  <c r="F964" i="4"/>
  <c r="G964" i="4"/>
  <c r="H964" i="4"/>
  <c r="I964" i="4"/>
  <c r="A965" i="4"/>
  <c r="B965" i="4"/>
  <c r="D965" i="4"/>
  <c r="E965" i="4"/>
  <c r="F965" i="4"/>
  <c r="G965" i="4"/>
  <c r="H965" i="4"/>
  <c r="I965" i="4"/>
  <c r="A966" i="4"/>
  <c r="B966" i="4"/>
  <c r="D966" i="4"/>
  <c r="E966" i="4"/>
  <c r="F966" i="4"/>
  <c r="G966" i="4"/>
  <c r="H966" i="4"/>
  <c r="I966" i="4"/>
  <c r="A967" i="4"/>
  <c r="B967" i="4"/>
  <c r="D967" i="4"/>
  <c r="E967" i="4"/>
  <c r="F967" i="4"/>
  <c r="G967" i="4"/>
  <c r="H967" i="4"/>
  <c r="I967" i="4"/>
  <c r="A968" i="4"/>
  <c r="B968" i="4"/>
  <c r="D968" i="4"/>
  <c r="E968" i="4"/>
  <c r="F968" i="4"/>
  <c r="G968" i="4"/>
  <c r="H968" i="4"/>
  <c r="I968" i="4"/>
  <c r="A969" i="4"/>
  <c r="B969" i="4"/>
  <c r="D969" i="4"/>
  <c r="E969" i="4"/>
  <c r="F969" i="4"/>
  <c r="G969" i="4"/>
  <c r="H969" i="4"/>
  <c r="I969" i="4"/>
  <c r="A970" i="4"/>
  <c r="B970" i="4"/>
  <c r="D970" i="4"/>
  <c r="E970" i="4"/>
  <c r="F970" i="4"/>
  <c r="G970" i="4"/>
  <c r="H970" i="4"/>
  <c r="I970" i="4"/>
  <c r="A971" i="4"/>
  <c r="B971" i="4"/>
  <c r="D971" i="4"/>
  <c r="E971" i="4"/>
  <c r="F971" i="4"/>
  <c r="G971" i="4"/>
  <c r="H971" i="4"/>
  <c r="I971" i="4"/>
  <c r="A972" i="4"/>
  <c r="B972" i="4"/>
  <c r="D972" i="4"/>
  <c r="E972" i="4"/>
  <c r="F972" i="4"/>
  <c r="G972" i="4"/>
  <c r="H972" i="4"/>
  <c r="I972" i="4"/>
  <c r="A973" i="4"/>
  <c r="B973" i="4"/>
  <c r="D973" i="4"/>
  <c r="E973" i="4"/>
  <c r="F973" i="4"/>
  <c r="G973" i="4"/>
  <c r="H973" i="4"/>
  <c r="I973" i="4"/>
  <c r="A974" i="4"/>
  <c r="B974" i="4"/>
  <c r="D974" i="4"/>
  <c r="E974" i="4"/>
  <c r="F974" i="4"/>
  <c r="G974" i="4"/>
  <c r="H974" i="4"/>
  <c r="I974" i="4"/>
  <c r="A975" i="4"/>
  <c r="B975" i="4"/>
  <c r="D975" i="4"/>
  <c r="E975" i="4"/>
  <c r="F975" i="4"/>
  <c r="G975" i="4"/>
  <c r="H975" i="4"/>
  <c r="I975" i="4"/>
  <c r="A976" i="4"/>
  <c r="B976" i="4"/>
  <c r="D976" i="4"/>
  <c r="E976" i="4"/>
  <c r="F976" i="4"/>
  <c r="G976" i="4"/>
  <c r="H976" i="4"/>
  <c r="I976" i="4"/>
  <c r="A977" i="4"/>
  <c r="B977" i="4"/>
  <c r="D977" i="4"/>
  <c r="E977" i="4"/>
  <c r="F977" i="4"/>
  <c r="G977" i="4"/>
  <c r="H977" i="4"/>
  <c r="I977" i="4"/>
  <c r="A978" i="4"/>
  <c r="B978" i="4"/>
  <c r="D978" i="4"/>
  <c r="E978" i="4"/>
  <c r="F978" i="4"/>
  <c r="G978" i="4"/>
  <c r="H978" i="4"/>
  <c r="I978" i="4"/>
  <c r="A979" i="4"/>
  <c r="B979" i="4"/>
  <c r="D979" i="4"/>
  <c r="E979" i="4"/>
  <c r="F979" i="4"/>
  <c r="G979" i="4"/>
  <c r="H979" i="4"/>
  <c r="I979" i="4"/>
  <c r="A980" i="4"/>
  <c r="B980" i="4"/>
  <c r="D980" i="4"/>
  <c r="E980" i="4"/>
  <c r="F980" i="4"/>
  <c r="G980" i="4"/>
  <c r="H980" i="4"/>
  <c r="I980" i="4"/>
  <c r="A981" i="4"/>
  <c r="B981" i="4"/>
  <c r="D981" i="4"/>
  <c r="E981" i="4"/>
  <c r="F981" i="4"/>
  <c r="G981" i="4"/>
  <c r="H981" i="4"/>
  <c r="I981" i="4"/>
  <c r="A982" i="4"/>
  <c r="B982" i="4"/>
  <c r="D982" i="4"/>
  <c r="E982" i="4"/>
  <c r="F982" i="4"/>
  <c r="G982" i="4"/>
  <c r="H982" i="4"/>
  <c r="I982" i="4"/>
  <c r="A983" i="4"/>
  <c r="B983" i="4"/>
  <c r="D983" i="4"/>
  <c r="E983" i="4"/>
  <c r="F983" i="4"/>
  <c r="G983" i="4"/>
  <c r="H983" i="4"/>
  <c r="I983" i="4"/>
  <c r="A984" i="4"/>
  <c r="B984" i="4"/>
  <c r="D984" i="4"/>
  <c r="E984" i="4"/>
  <c r="F984" i="4"/>
  <c r="G984" i="4"/>
  <c r="H984" i="4"/>
  <c r="I984" i="4"/>
  <c r="A985" i="4"/>
  <c r="B985" i="4"/>
  <c r="D985" i="4"/>
  <c r="E985" i="4"/>
  <c r="F985" i="4"/>
  <c r="G985" i="4"/>
  <c r="H985" i="4"/>
  <c r="I985" i="4"/>
  <c r="A986" i="4"/>
  <c r="B986" i="4"/>
  <c r="D986" i="4"/>
  <c r="E986" i="4"/>
  <c r="F986" i="4"/>
  <c r="G986" i="4"/>
  <c r="H986" i="4"/>
  <c r="I986" i="4"/>
  <c r="A987" i="4"/>
  <c r="B987" i="4"/>
  <c r="D987" i="4"/>
  <c r="E987" i="4"/>
  <c r="F987" i="4"/>
  <c r="G987" i="4"/>
  <c r="H987" i="4"/>
  <c r="I987" i="4"/>
  <c r="A988" i="4"/>
  <c r="B988" i="4"/>
  <c r="D988" i="4"/>
  <c r="E988" i="4"/>
  <c r="F988" i="4"/>
  <c r="G988" i="4"/>
  <c r="H988" i="4"/>
  <c r="I988" i="4"/>
  <c r="A989" i="4"/>
  <c r="B989" i="4"/>
  <c r="D989" i="4"/>
  <c r="E989" i="4"/>
  <c r="F989" i="4"/>
  <c r="G989" i="4"/>
  <c r="H989" i="4"/>
  <c r="I989" i="4"/>
  <c r="A990" i="4"/>
  <c r="B990" i="4"/>
  <c r="D990" i="4"/>
  <c r="E990" i="4"/>
  <c r="F990" i="4"/>
  <c r="G990" i="4"/>
  <c r="H990" i="4"/>
  <c r="I990" i="4"/>
  <c r="A991" i="4"/>
  <c r="B991" i="4"/>
  <c r="D991" i="4"/>
  <c r="E991" i="4"/>
  <c r="F991" i="4"/>
  <c r="G991" i="4"/>
  <c r="H991" i="4"/>
  <c r="I991" i="4"/>
  <c r="A992" i="4"/>
  <c r="B992" i="4"/>
  <c r="D992" i="4"/>
  <c r="E992" i="4"/>
  <c r="F992" i="4"/>
  <c r="G992" i="4"/>
  <c r="H992" i="4"/>
  <c r="I992" i="4"/>
  <c r="A993" i="4"/>
  <c r="B993" i="4"/>
  <c r="D993" i="4"/>
  <c r="E993" i="4"/>
  <c r="F993" i="4"/>
  <c r="G993" i="4"/>
  <c r="H993" i="4"/>
  <c r="I993" i="4"/>
  <c r="A994" i="4"/>
  <c r="B994" i="4"/>
  <c r="D994" i="4"/>
  <c r="E994" i="4"/>
  <c r="F994" i="4"/>
  <c r="G994" i="4"/>
  <c r="H994" i="4"/>
  <c r="I994" i="4"/>
  <c r="A995" i="4"/>
  <c r="B995" i="4"/>
  <c r="D995" i="4"/>
  <c r="E995" i="4"/>
  <c r="F995" i="4"/>
  <c r="G995" i="4"/>
  <c r="H995" i="4"/>
  <c r="I995" i="4"/>
  <c r="A996" i="4"/>
  <c r="B996" i="4"/>
  <c r="D996" i="4"/>
  <c r="E996" i="4"/>
  <c r="F996" i="4"/>
  <c r="G996" i="4"/>
  <c r="H996" i="4"/>
  <c r="I996" i="4"/>
  <c r="A997" i="4"/>
  <c r="B997" i="4"/>
  <c r="D997" i="4"/>
  <c r="E997" i="4"/>
  <c r="F997" i="4"/>
  <c r="G997" i="4"/>
  <c r="H997" i="4"/>
  <c r="I997" i="4"/>
  <c r="A998" i="4"/>
  <c r="B998" i="4"/>
  <c r="D998" i="4"/>
  <c r="E998" i="4"/>
  <c r="F998" i="4"/>
  <c r="G998" i="4"/>
  <c r="H998" i="4"/>
  <c r="I998" i="4"/>
  <c r="A999" i="4"/>
  <c r="B999" i="4"/>
  <c r="D999" i="4"/>
  <c r="E999" i="4"/>
  <c r="F999" i="4"/>
  <c r="G999" i="4"/>
  <c r="H999" i="4"/>
  <c r="I999" i="4"/>
  <c r="A1000" i="4"/>
  <c r="B1000" i="4"/>
  <c r="D1000" i="4"/>
  <c r="E1000" i="4"/>
  <c r="F1000" i="4"/>
  <c r="G1000" i="4"/>
  <c r="H1000" i="4"/>
  <c r="I1000" i="4"/>
  <c r="A1001" i="4"/>
  <c r="B1001" i="4"/>
  <c r="D1001" i="4"/>
  <c r="E1001" i="4"/>
  <c r="F1001" i="4"/>
  <c r="G1001" i="4"/>
  <c r="H1001" i="4"/>
  <c r="I1001" i="4"/>
  <c r="A1002" i="4"/>
  <c r="B1002" i="4"/>
  <c r="D1002" i="4"/>
  <c r="E1002" i="4"/>
  <c r="F1002" i="4"/>
  <c r="G1002" i="4"/>
  <c r="H1002" i="4"/>
  <c r="I1002" i="4"/>
  <c r="A1003" i="4"/>
  <c r="B1003" i="4"/>
  <c r="D1003" i="4"/>
  <c r="E1003" i="4"/>
  <c r="F1003" i="4"/>
  <c r="G1003" i="4"/>
  <c r="H1003" i="4"/>
  <c r="I1003" i="4"/>
  <c r="A1004" i="4"/>
  <c r="B1004" i="4"/>
  <c r="D1004" i="4"/>
  <c r="E1004" i="4"/>
  <c r="F1004" i="4"/>
  <c r="G1004" i="4"/>
  <c r="H1004" i="4"/>
  <c r="I1004" i="4"/>
  <c r="A1005" i="4"/>
  <c r="B1005" i="4"/>
  <c r="D1005" i="4"/>
  <c r="E1005" i="4"/>
  <c r="F1005" i="4"/>
  <c r="G1005" i="4"/>
  <c r="H1005" i="4"/>
  <c r="I1005" i="4"/>
  <c r="A1006" i="4"/>
  <c r="B1006" i="4"/>
  <c r="D1006" i="4"/>
  <c r="E1006" i="4"/>
  <c r="F1006" i="4"/>
  <c r="G1006" i="4"/>
  <c r="H1006" i="4"/>
  <c r="I1006" i="4"/>
  <c r="A1007" i="4"/>
  <c r="B1007" i="4"/>
  <c r="D1007" i="4"/>
  <c r="E1007" i="4"/>
  <c r="F1007" i="4"/>
  <c r="G1007" i="4"/>
  <c r="H1007" i="4"/>
  <c r="I1007" i="4"/>
  <c r="A1008" i="4"/>
  <c r="B1008" i="4"/>
  <c r="D1008" i="4"/>
  <c r="E1008" i="4"/>
  <c r="F1008" i="4"/>
  <c r="G1008" i="4"/>
  <c r="H1008" i="4"/>
  <c r="I1008" i="4"/>
  <c r="A1009" i="4"/>
  <c r="B1009" i="4"/>
  <c r="D1009" i="4"/>
  <c r="E1009" i="4"/>
  <c r="F1009" i="4"/>
  <c r="G1009" i="4"/>
  <c r="H1009" i="4"/>
  <c r="I1009" i="4"/>
  <c r="A1010" i="4"/>
  <c r="B1010" i="4"/>
  <c r="D1010" i="4"/>
  <c r="E1010" i="4"/>
  <c r="F1010" i="4"/>
  <c r="G1010" i="4"/>
  <c r="H1010" i="4"/>
  <c r="I1010" i="4"/>
  <c r="A1011" i="4"/>
  <c r="B1011" i="4"/>
  <c r="D1011" i="4"/>
  <c r="E1011" i="4"/>
  <c r="F1011" i="4"/>
  <c r="G1011" i="4"/>
  <c r="H1011" i="4"/>
  <c r="I1011" i="4"/>
  <c r="A1012" i="4"/>
  <c r="B1012" i="4"/>
  <c r="D1012" i="4"/>
  <c r="E1012" i="4"/>
  <c r="F1012" i="4"/>
  <c r="G1012" i="4"/>
  <c r="H1012" i="4"/>
  <c r="I1012" i="4"/>
  <c r="A1013" i="4"/>
  <c r="B1013" i="4"/>
  <c r="D1013" i="4"/>
  <c r="E1013" i="4"/>
  <c r="F1013" i="4"/>
  <c r="G1013" i="4"/>
  <c r="H1013" i="4"/>
  <c r="I1013" i="4"/>
  <c r="A1014" i="4"/>
  <c r="B1014" i="4"/>
  <c r="D1014" i="4"/>
  <c r="E1014" i="4"/>
  <c r="F1014" i="4"/>
  <c r="G1014" i="4"/>
  <c r="H1014" i="4"/>
  <c r="I1014" i="4"/>
  <c r="A1015" i="4"/>
  <c r="B1015" i="4"/>
  <c r="D1015" i="4"/>
  <c r="E1015" i="4"/>
  <c r="F1015" i="4"/>
  <c r="G1015" i="4"/>
  <c r="H1015" i="4"/>
  <c r="I1015" i="4"/>
  <c r="A1016" i="4"/>
  <c r="B1016" i="4"/>
  <c r="D1016" i="4"/>
  <c r="E1016" i="4"/>
  <c r="F1016" i="4"/>
  <c r="G1016" i="4"/>
  <c r="H1016" i="4"/>
  <c r="I1016" i="4"/>
  <c r="A1017" i="4"/>
  <c r="B1017" i="4"/>
  <c r="D1017" i="4"/>
  <c r="E1017" i="4"/>
  <c r="F1017" i="4"/>
  <c r="G1017" i="4"/>
  <c r="H1017" i="4"/>
  <c r="I1017" i="4"/>
  <c r="A1018" i="4"/>
  <c r="B1018" i="4"/>
  <c r="D1018" i="4"/>
  <c r="E1018" i="4"/>
  <c r="F1018" i="4"/>
  <c r="G1018" i="4"/>
  <c r="H1018" i="4"/>
  <c r="I1018" i="4"/>
  <c r="A1019" i="4"/>
  <c r="B1019" i="4"/>
  <c r="D1019" i="4"/>
  <c r="E1019" i="4"/>
  <c r="F1019" i="4"/>
  <c r="G1019" i="4"/>
  <c r="H1019" i="4"/>
  <c r="I1019" i="4"/>
  <c r="A1020" i="4"/>
  <c r="B1020" i="4"/>
  <c r="D1020" i="4"/>
  <c r="E1020" i="4"/>
  <c r="F1020" i="4"/>
  <c r="G1020" i="4"/>
  <c r="H1020" i="4"/>
  <c r="I1020" i="4"/>
  <c r="A1021" i="4"/>
  <c r="B1021" i="4"/>
  <c r="D1021" i="4"/>
  <c r="E1021" i="4"/>
  <c r="F1021" i="4"/>
  <c r="G1021" i="4"/>
  <c r="H1021" i="4"/>
  <c r="I1021" i="4"/>
  <c r="A1022" i="4"/>
  <c r="B1022" i="4"/>
  <c r="D1022" i="4"/>
  <c r="E1022" i="4"/>
  <c r="F1022" i="4"/>
  <c r="G1022" i="4"/>
  <c r="H1022" i="4"/>
  <c r="I1022" i="4"/>
  <c r="A1023" i="4"/>
  <c r="B1023" i="4"/>
  <c r="D1023" i="4"/>
  <c r="E1023" i="4"/>
  <c r="F1023" i="4"/>
  <c r="G1023" i="4"/>
  <c r="H1023" i="4"/>
  <c r="I1023" i="4"/>
  <c r="A1024" i="4"/>
  <c r="B1024" i="4"/>
  <c r="D1024" i="4"/>
  <c r="E1024" i="4"/>
  <c r="F1024" i="4"/>
  <c r="G1024" i="4"/>
  <c r="H1024" i="4"/>
  <c r="I1024" i="4"/>
  <c r="A1025" i="4"/>
  <c r="B1025" i="4"/>
  <c r="D1025" i="4"/>
  <c r="E1025" i="4"/>
  <c r="F1025" i="4"/>
  <c r="G1025" i="4"/>
  <c r="H1025" i="4"/>
  <c r="I1025" i="4"/>
  <c r="A1026" i="4"/>
  <c r="B1026" i="4"/>
  <c r="D1026" i="4"/>
  <c r="E1026" i="4"/>
  <c r="F1026" i="4"/>
  <c r="G1026" i="4"/>
  <c r="H1026" i="4"/>
  <c r="I1026" i="4"/>
  <c r="A1027" i="4"/>
  <c r="B1027" i="4"/>
  <c r="D1027" i="4"/>
  <c r="E1027" i="4"/>
  <c r="F1027" i="4"/>
  <c r="G1027" i="4"/>
  <c r="H1027" i="4"/>
  <c r="I1027" i="4"/>
  <c r="A1028" i="4"/>
  <c r="B1028" i="4"/>
  <c r="D1028" i="4"/>
  <c r="E1028" i="4"/>
  <c r="F1028" i="4"/>
  <c r="G1028" i="4"/>
  <c r="H1028" i="4"/>
  <c r="I1028" i="4"/>
  <c r="A1029" i="4"/>
  <c r="B1029" i="4"/>
  <c r="D1029" i="4"/>
  <c r="E1029" i="4"/>
  <c r="F1029" i="4"/>
  <c r="G1029" i="4"/>
  <c r="H1029" i="4"/>
  <c r="I1029" i="4"/>
  <c r="A1030" i="4"/>
  <c r="B1030" i="4"/>
  <c r="D1030" i="4"/>
  <c r="E1030" i="4"/>
  <c r="F1030" i="4"/>
  <c r="G1030" i="4"/>
  <c r="H1030" i="4"/>
  <c r="I1030" i="4"/>
  <c r="A1031" i="4"/>
  <c r="B1031" i="4"/>
  <c r="D1031" i="4"/>
  <c r="E1031" i="4"/>
  <c r="F1031" i="4"/>
  <c r="G1031" i="4"/>
  <c r="H1031" i="4"/>
  <c r="I1031" i="4"/>
  <c r="A1032" i="4"/>
  <c r="B1032" i="4"/>
  <c r="D1032" i="4"/>
  <c r="E1032" i="4"/>
  <c r="F1032" i="4"/>
  <c r="G1032" i="4"/>
  <c r="H1032" i="4"/>
  <c r="I1032" i="4"/>
  <c r="A1033" i="4"/>
  <c r="B1033" i="4"/>
  <c r="D1033" i="4"/>
  <c r="E1033" i="4"/>
  <c r="F1033" i="4"/>
  <c r="G1033" i="4"/>
  <c r="H1033" i="4"/>
  <c r="I1033" i="4"/>
  <c r="A1034" i="4"/>
  <c r="B1034" i="4"/>
  <c r="D1034" i="4"/>
  <c r="E1034" i="4"/>
  <c r="F1034" i="4"/>
  <c r="G1034" i="4"/>
  <c r="H1034" i="4"/>
  <c r="I1034" i="4"/>
  <c r="A1035" i="4"/>
  <c r="B1035" i="4"/>
  <c r="D1035" i="4"/>
  <c r="E1035" i="4"/>
  <c r="F1035" i="4"/>
  <c r="G1035" i="4"/>
  <c r="H1035" i="4"/>
  <c r="I1035" i="4"/>
  <c r="A1036" i="4"/>
  <c r="B1036" i="4"/>
  <c r="D1036" i="4"/>
  <c r="E1036" i="4"/>
  <c r="F1036" i="4"/>
  <c r="G1036" i="4"/>
  <c r="H1036" i="4"/>
  <c r="I1036" i="4"/>
  <c r="A1037" i="4"/>
  <c r="B1037" i="4"/>
  <c r="D1037" i="4"/>
  <c r="E1037" i="4"/>
  <c r="F1037" i="4"/>
  <c r="G1037" i="4"/>
  <c r="H1037" i="4"/>
  <c r="I1037" i="4"/>
  <c r="A1038" i="4"/>
  <c r="B1038" i="4"/>
  <c r="D1038" i="4"/>
  <c r="E1038" i="4"/>
  <c r="F1038" i="4"/>
  <c r="G1038" i="4"/>
  <c r="H1038" i="4"/>
  <c r="I1038" i="4"/>
  <c r="A1039" i="4"/>
  <c r="B1039" i="4"/>
  <c r="D1039" i="4"/>
  <c r="E1039" i="4"/>
  <c r="F1039" i="4"/>
  <c r="G1039" i="4"/>
  <c r="H1039" i="4"/>
  <c r="I1039" i="4"/>
  <c r="A1040" i="4"/>
  <c r="B1040" i="4"/>
  <c r="D1040" i="4"/>
  <c r="E1040" i="4"/>
  <c r="F1040" i="4"/>
  <c r="G1040" i="4"/>
  <c r="H1040" i="4"/>
  <c r="I1040" i="4"/>
  <c r="A1041" i="4"/>
  <c r="B1041" i="4"/>
  <c r="D1041" i="4"/>
  <c r="E1041" i="4"/>
  <c r="F1041" i="4"/>
  <c r="G1041" i="4"/>
  <c r="H1041" i="4"/>
  <c r="I1041" i="4"/>
  <c r="A1042" i="4"/>
  <c r="B1042" i="4"/>
  <c r="D1042" i="4"/>
  <c r="E1042" i="4"/>
  <c r="F1042" i="4"/>
  <c r="G1042" i="4"/>
  <c r="H1042" i="4"/>
  <c r="I1042" i="4"/>
  <c r="A1043" i="4"/>
  <c r="B1043" i="4"/>
  <c r="D1043" i="4"/>
  <c r="E1043" i="4"/>
  <c r="F1043" i="4"/>
  <c r="G1043" i="4"/>
  <c r="H1043" i="4"/>
  <c r="I1043" i="4"/>
  <c r="A1044" i="4"/>
  <c r="B1044" i="4"/>
  <c r="D1044" i="4"/>
  <c r="E1044" i="4"/>
  <c r="F1044" i="4"/>
  <c r="G1044" i="4"/>
  <c r="H1044" i="4"/>
  <c r="I1044" i="4"/>
  <c r="A1045" i="4"/>
  <c r="B1045" i="4"/>
  <c r="D1045" i="4"/>
  <c r="E1045" i="4"/>
  <c r="F1045" i="4"/>
  <c r="G1045" i="4"/>
  <c r="H1045" i="4"/>
  <c r="I1045" i="4"/>
  <c r="A1046" i="4"/>
  <c r="B1046" i="4"/>
  <c r="D1046" i="4"/>
  <c r="E1046" i="4"/>
  <c r="F1046" i="4"/>
  <c r="G1046" i="4"/>
  <c r="H1046" i="4"/>
  <c r="I1046" i="4"/>
  <c r="A1047" i="4"/>
  <c r="B1047" i="4"/>
  <c r="D1047" i="4"/>
  <c r="E1047" i="4"/>
  <c r="F1047" i="4"/>
  <c r="G1047" i="4"/>
  <c r="H1047" i="4"/>
  <c r="I1047" i="4"/>
  <c r="A1048" i="4"/>
  <c r="B1048" i="4"/>
  <c r="D1048" i="4"/>
  <c r="E1048" i="4"/>
  <c r="F1048" i="4"/>
  <c r="G1048" i="4"/>
  <c r="H1048" i="4"/>
  <c r="I1048" i="4"/>
  <c r="A1049" i="4"/>
  <c r="B1049" i="4"/>
  <c r="D1049" i="4"/>
  <c r="E1049" i="4"/>
  <c r="F1049" i="4"/>
  <c r="G1049" i="4"/>
  <c r="H1049" i="4"/>
  <c r="I1049" i="4"/>
  <c r="A1050" i="4"/>
  <c r="B1050" i="4"/>
  <c r="D1050" i="4"/>
  <c r="E1050" i="4"/>
  <c r="F1050" i="4"/>
  <c r="G1050" i="4"/>
  <c r="H1050" i="4"/>
  <c r="I1050" i="4"/>
  <c r="A1051" i="4"/>
  <c r="B1051" i="4"/>
  <c r="D1051" i="4"/>
  <c r="E1051" i="4"/>
  <c r="F1051" i="4"/>
  <c r="G1051" i="4"/>
  <c r="H1051" i="4"/>
  <c r="I1051" i="4"/>
  <c r="A1052" i="4"/>
  <c r="B1052" i="4"/>
  <c r="D1052" i="4"/>
  <c r="E1052" i="4"/>
  <c r="F1052" i="4"/>
  <c r="G1052" i="4"/>
  <c r="H1052" i="4"/>
  <c r="I1052" i="4"/>
  <c r="A1053" i="4"/>
  <c r="B1053" i="4"/>
  <c r="D1053" i="4"/>
  <c r="E1053" i="4"/>
  <c r="F1053" i="4"/>
  <c r="G1053" i="4"/>
  <c r="H1053" i="4"/>
  <c r="I1053" i="4"/>
  <c r="A1054" i="4"/>
  <c r="B1054" i="4"/>
  <c r="D1054" i="4"/>
  <c r="E1054" i="4"/>
  <c r="F1054" i="4"/>
  <c r="G1054" i="4"/>
  <c r="H1054" i="4"/>
  <c r="I1054" i="4"/>
  <c r="A1055" i="4"/>
  <c r="B1055" i="4"/>
  <c r="D1055" i="4"/>
  <c r="E1055" i="4"/>
  <c r="F1055" i="4"/>
  <c r="G1055" i="4"/>
  <c r="H1055" i="4"/>
  <c r="I1055" i="4"/>
  <c r="A1056" i="4"/>
  <c r="B1056" i="4"/>
  <c r="D1056" i="4"/>
  <c r="E1056" i="4"/>
  <c r="F1056" i="4"/>
  <c r="G1056" i="4"/>
  <c r="H1056" i="4"/>
  <c r="I1056" i="4"/>
  <c r="A1057" i="4"/>
  <c r="B1057" i="4"/>
  <c r="D1057" i="4"/>
  <c r="E1057" i="4"/>
  <c r="F1057" i="4"/>
  <c r="G1057" i="4"/>
  <c r="H1057" i="4"/>
  <c r="I1057" i="4"/>
  <c r="A1058" i="4"/>
  <c r="B1058" i="4"/>
  <c r="D1058" i="4"/>
  <c r="E1058" i="4"/>
  <c r="F1058" i="4"/>
  <c r="G1058" i="4"/>
  <c r="H1058" i="4"/>
  <c r="I1058" i="4"/>
  <c r="A1059" i="4"/>
  <c r="B1059" i="4"/>
  <c r="D1059" i="4"/>
  <c r="E1059" i="4"/>
  <c r="F1059" i="4"/>
  <c r="G1059" i="4"/>
  <c r="H1059" i="4"/>
  <c r="I1059" i="4"/>
  <c r="A1060" i="4"/>
  <c r="B1060" i="4"/>
  <c r="D1060" i="4"/>
  <c r="E1060" i="4"/>
  <c r="F1060" i="4"/>
  <c r="G1060" i="4"/>
  <c r="H1060" i="4"/>
  <c r="I1060" i="4"/>
  <c r="A1061" i="4"/>
  <c r="B1061" i="4"/>
  <c r="D1061" i="4"/>
  <c r="E1061" i="4"/>
  <c r="F1061" i="4"/>
  <c r="G1061" i="4"/>
  <c r="H1061" i="4"/>
  <c r="I1061" i="4"/>
  <c r="A1062" i="4"/>
  <c r="B1062" i="4"/>
  <c r="D1062" i="4"/>
  <c r="E1062" i="4"/>
  <c r="F1062" i="4"/>
  <c r="G1062" i="4"/>
  <c r="H1062" i="4"/>
  <c r="I1062" i="4"/>
  <c r="A1063" i="4"/>
  <c r="B1063" i="4"/>
  <c r="D1063" i="4"/>
  <c r="E1063" i="4"/>
  <c r="F1063" i="4"/>
  <c r="G1063" i="4"/>
  <c r="H1063" i="4"/>
  <c r="I1063" i="4"/>
  <c r="A1064" i="4"/>
  <c r="B1064" i="4"/>
  <c r="D1064" i="4"/>
  <c r="E1064" i="4"/>
  <c r="F1064" i="4"/>
  <c r="G1064" i="4"/>
  <c r="H1064" i="4"/>
  <c r="I1064" i="4"/>
  <c r="A1065" i="4"/>
  <c r="B1065" i="4"/>
  <c r="D1065" i="4"/>
  <c r="E1065" i="4"/>
  <c r="F1065" i="4"/>
  <c r="G1065" i="4"/>
  <c r="H1065" i="4"/>
  <c r="I1065" i="4"/>
  <c r="A1066" i="4"/>
  <c r="B1066" i="4"/>
  <c r="D1066" i="4"/>
  <c r="E1066" i="4"/>
  <c r="F1066" i="4"/>
  <c r="G1066" i="4"/>
  <c r="H1066" i="4"/>
  <c r="I1066" i="4"/>
  <c r="A1067" i="4"/>
  <c r="B1067" i="4"/>
  <c r="D1067" i="4"/>
  <c r="E1067" i="4"/>
  <c r="F1067" i="4"/>
  <c r="G1067" i="4"/>
  <c r="H1067" i="4"/>
  <c r="I1067" i="4"/>
  <c r="A1068" i="4"/>
  <c r="B1068" i="4"/>
  <c r="D1068" i="4"/>
  <c r="E1068" i="4"/>
  <c r="F1068" i="4"/>
  <c r="G1068" i="4"/>
  <c r="H1068" i="4"/>
  <c r="I1068" i="4"/>
  <c r="A1069" i="4"/>
  <c r="B1069" i="4"/>
  <c r="D1069" i="4"/>
  <c r="E1069" i="4"/>
  <c r="F1069" i="4"/>
  <c r="G1069" i="4"/>
  <c r="H1069" i="4"/>
  <c r="I1069" i="4"/>
  <c r="A1070" i="4"/>
  <c r="B1070" i="4"/>
  <c r="D1070" i="4"/>
  <c r="E1070" i="4"/>
  <c r="F1070" i="4"/>
  <c r="G1070" i="4"/>
  <c r="H1070" i="4"/>
  <c r="I1070" i="4"/>
  <c r="A1071" i="4"/>
  <c r="B1071" i="4"/>
  <c r="D1071" i="4"/>
  <c r="E1071" i="4"/>
  <c r="F1071" i="4"/>
  <c r="G1071" i="4"/>
  <c r="H1071" i="4"/>
  <c r="I1071" i="4"/>
  <c r="A1072" i="4"/>
  <c r="B1072" i="4"/>
  <c r="D1072" i="4"/>
  <c r="E1072" i="4"/>
  <c r="F1072" i="4"/>
  <c r="G1072" i="4"/>
  <c r="H1072" i="4"/>
  <c r="I1072" i="4"/>
  <c r="A1073" i="4"/>
  <c r="B1073" i="4"/>
  <c r="D1073" i="4"/>
  <c r="E1073" i="4"/>
  <c r="F1073" i="4"/>
  <c r="G1073" i="4"/>
  <c r="H1073" i="4"/>
  <c r="I1073" i="4"/>
  <c r="A1074" i="4"/>
  <c r="B1074" i="4"/>
  <c r="D1074" i="4"/>
  <c r="E1074" i="4"/>
  <c r="F1074" i="4"/>
  <c r="G1074" i="4"/>
  <c r="H1074" i="4"/>
  <c r="I1074" i="4"/>
  <c r="A1075" i="4"/>
  <c r="B1075" i="4"/>
  <c r="D1075" i="4"/>
  <c r="E1075" i="4"/>
  <c r="F1075" i="4"/>
  <c r="G1075" i="4"/>
  <c r="H1075" i="4"/>
  <c r="I1075" i="4"/>
  <c r="A1076" i="4"/>
  <c r="B1076" i="4"/>
  <c r="D1076" i="4"/>
  <c r="E1076" i="4"/>
  <c r="F1076" i="4"/>
  <c r="G1076" i="4"/>
  <c r="H1076" i="4"/>
  <c r="I1076" i="4"/>
  <c r="A1077" i="4"/>
  <c r="B1077" i="4"/>
  <c r="D1077" i="4"/>
  <c r="E1077" i="4"/>
  <c r="F1077" i="4"/>
  <c r="G1077" i="4"/>
  <c r="H1077" i="4"/>
  <c r="I1077" i="4"/>
  <c r="A1078" i="4"/>
  <c r="B1078" i="4"/>
  <c r="D1078" i="4"/>
  <c r="E1078" i="4"/>
  <c r="F1078" i="4"/>
  <c r="G1078" i="4"/>
  <c r="H1078" i="4"/>
  <c r="I1078" i="4"/>
  <c r="A1079" i="4"/>
  <c r="B1079" i="4"/>
  <c r="D1079" i="4"/>
  <c r="E1079" i="4"/>
  <c r="F1079" i="4"/>
  <c r="G1079" i="4"/>
  <c r="H1079" i="4"/>
  <c r="I1079" i="4"/>
  <c r="A1080" i="4"/>
  <c r="B1080" i="4"/>
  <c r="D1080" i="4"/>
  <c r="E1080" i="4"/>
  <c r="F1080" i="4"/>
  <c r="G1080" i="4"/>
  <c r="H1080" i="4"/>
  <c r="I1080" i="4"/>
  <c r="A1081" i="4"/>
  <c r="B1081" i="4"/>
  <c r="D1081" i="4"/>
  <c r="E1081" i="4"/>
  <c r="F1081" i="4"/>
  <c r="G1081" i="4"/>
  <c r="H1081" i="4"/>
  <c r="I1081" i="4"/>
  <c r="A1082" i="4"/>
  <c r="B1082" i="4"/>
  <c r="D1082" i="4"/>
  <c r="E1082" i="4"/>
  <c r="F1082" i="4"/>
  <c r="G1082" i="4"/>
  <c r="H1082" i="4"/>
  <c r="I1082" i="4"/>
  <c r="A1083" i="4"/>
  <c r="B1083" i="4"/>
  <c r="D1083" i="4"/>
  <c r="E1083" i="4"/>
  <c r="F1083" i="4"/>
  <c r="G1083" i="4"/>
  <c r="H1083" i="4"/>
  <c r="I1083" i="4"/>
  <c r="A1084" i="4"/>
  <c r="B1084" i="4"/>
  <c r="D1084" i="4"/>
  <c r="E1084" i="4"/>
  <c r="F1084" i="4"/>
  <c r="G1084" i="4"/>
  <c r="H1084" i="4"/>
  <c r="I1084" i="4"/>
  <c r="A1085" i="4"/>
  <c r="B1085" i="4"/>
  <c r="D1085" i="4"/>
  <c r="E1085" i="4"/>
  <c r="F1085" i="4"/>
  <c r="G1085" i="4"/>
  <c r="H1085" i="4"/>
  <c r="I1085" i="4"/>
  <c r="A1086" i="4"/>
  <c r="B1086" i="4"/>
  <c r="D1086" i="4"/>
  <c r="E1086" i="4"/>
  <c r="F1086" i="4"/>
  <c r="G1086" i="4"/>
  <c r="H1086" i="4"/>
  <c r="I1086" i="4"/>
  <c r="A1087" i="4"/>
  <c r="B1087" i="4"/>
  <c r="D1087" i="4"/>
  <c r="E1087" i="4"/>
  <c r="F1087" i="4"/>
  <c r="G1087" i="4"/>
  <c r="H1087" i="4"/>
  <c r="I1087" i="4"/>
  <c r="A1088" i="4"/>
  <c r="B1088" i="4"/>
  <c r="D1088" i="4"/>
  <c r="E1088" i="4"/>
  <c r="F1088" i="4"/>
  <c r="G1088" i="4"/>
  <c r="H1088" i="4"/>
  <c r="I1088" i="4"/>
  <c r="A1089" i="4"/>
  <c r="B1089" i="4"/>
  <c r="D1089" i="4"/>
  <c r="E1089" i="4"/>
  <c r="F1089" i="4"/>
  <c r="G1089" i="4"/>
  <c r="H1089" i="4"/>
  <c r="I1089" i="4"/>
  <c r="A1090" i="4"/>
  <c r="B1090" i="4"/>
  <c r="D1090" i="4"/>
  <c r="E1090" i="4"/>
  <c r="F1090" i="4"/>
  <c r="G1090" i="4"/>
  <c r="H1090" i="4"/>
  <c r="I1090" i="4"/>
  <c r="A1091" i="4"/>
  <c r="B1091" i="4"/>
  <c r="D1091" i="4"/>
  <c r="E1091" i="4"/>
  <c r="F1091" i="4"/>
  <c r="G1091" i="4"/>
  <c r="H1091" i="4"/>
  <c r="I1091" i="4"/>
  <c r="A1092" i="4"/>
  <c r="B1092" i="4"/>
  <c r="D1092" i="4"/>
  <c r="E1092" i="4"/>
  <c r="F1092" i="4"/>
  <c r="G1092" i="4"/>
  <c r="H1092" i="4"/>
  <c r="I1092" i="4"/>
  <c r="A1093" i="4"/>
  <c r="B1093" i="4"/>
  <c r="D1093" i="4"/>
  <c r="E1093" i="4"/>
  <c r="F1093" i="4"/>
  <c r="G1093" i="4"/>
  <c r="H1093" i="4"/>
  <c r="I1093" i="4"/>
  <c r="A1094" i="4"/>
  <c r="B1094" i="4"/>
  <c r="D1094" i="4"/>
  <c r="E1094" i="4"/>
  <c r="F1094" i="4"/>
  <c r="G1094" i="4"/>
  <c r="H1094" i="4"/>
  <c r="I1094" i="4"/>
  <c r="A1095" i="4"/>
  <c r="B1095" i="4"/>
  <c r="D1095" i="4"/>
  <c r="E1095" i="4"/>
  <c r="F1095" i="4"/>
  <c r="G1095" i="4"/>
  <c r="H1095" i="4"/>
  <c r="I1095" i="4"/>
  <c r="A1096" i="4"/>
  <c r="B1096" i="4"/>
  <c r="D1096" i="4"/>
  <c r="E1096" i="4"/>
  <c r="F1096" i="4"/>
  <c r="G1096" i="4"/>
  <c r="H1096" i="4"/>
  <c r="I1096" i="4"/>
  <c r="A1097" i="4"/>
  <c r="B1097" i="4"/>
  <c r="D1097" i="4"/>
  <c r="E1097" i="4"/>
  <c r="F1097" i="4"/>
  <c r="G1097" i="4"/>
  <c r="H1097" i="4"/>
  <c r="I1097" i="4"/>
  <c r="A1098" i="4"/>
  <c r="B1098" i="4"/>
  <c r="D1098" i="4"/>
  <c r="E1098" i="4"/>
  <c r="F1098" i="4"/>
  <c r="G1098" i="4"/>
  <c r="H1098" i="4"/>
  <c r="I1098" i="4"/>
  <c r="A1099" i="4"/>
  <c r="B1099" i="4"/>
  <c r="D1099" i="4"/>
  <c r="E1099" i="4"/>
  <c r="F1099" i="4"/>
  <c r="G1099" i="4"/>
  <c r="H1099" i="4"/>
  <c r="I1099" i="4"/>
  <c r="A1100" i="4"/>
  <c r="B1100" i="4"/>
  <c r="D1100" i="4"/>
  <c r="E1100" i="4"/>
  <c r="F1100" i="4"/>
  <c r="G1100" i="4"/>
  <c r="H1100" i="4"/>
  <c r="I1100" i="4"/>
  <c r="A1101" i="4"/>
  <c r="B1101" i="4"/>
  <c r="D1101" i="4"/>
  <c r="E1101" i="4"/>
  <c r="F1101" i="4"/>
  <c r="G1101" i="4"/>
  <c r="H1101" i="4"/>
  <c r="I1101" i="4"/>
  <c r="A1102" i="4"/>
  <c r="B1102" i="4"/>
  <c r="D1102" i="4"/>
  <c r="E1102" i="4"/>
  <c r="F1102" i="4"/>
  <c r="G1102" i="4"/>
  <c r="H1102" i="4"/>
  <c r="I1102" i="4"/>
  <c r="A1103" i="4"/>
  <c r="B1103" i="4"/>
  <c r="D1103" i="4"/>
  <c r="E1103" i="4"/>
  <c r="F1103" i="4"/>
  <c r="G1103" i="4"/>
  <c r="H1103" i="4"/>
  <c r="I1103" i="4"/>
  <c r="A1104" i="4"/>
  <c r="B1104" i="4"/>
  <c r="D1104" i="4"/>
  <c r="E1104" i="4"/>
  <c r="F1104" i="4"/>
  <c r="G1104" i="4"/>
  <c r="H1104" i="4"/>
  <c r="I1104" i="4"/>
  <c r="A1105" i="4"/>
  <c r="B1105" i="4"/>
  <c r="D1105" i="4"/>
  <c r="E1105" i="4"/>
  <c r="F1105" i="4"/>
  <c r="G1105" i="4"/>
  <c r="H1105" i="4"/>
  <c r="I1105" i="4"/>
  <c r="A1106" i="4"/>
  <c r="B1106" i="4"/>
  <c r="D1106" i="4"/>
  <c r="E1106" i="4"/>
  <c r="F1106" i="4"/>
  <c r="G1106" i="4"/>
  <c r="H1106" i="4"/>
  <c r="I1106" i="4"/>
  <c r="A1107" i="4"/>
  <c r="B1107" i="4"/>
  <c r="D1107" i="4"/>
  <c r="E1107" i="4"/>
  <c r="F1107" i="4"/>
  <c r="G1107" i="4"/>
  <c r="H1107" i="4"/>
  <c r="I1107" i="4"/>
  <c r="A1108" i="4"/>
  <c r="B1108" i="4"/>
  <c r="D1108" i="4"/>
  <c r="E1108" i="4"/>
  <c r="F1108" i="4"/>
  <c r="G1108" i="4"/>
  <c r="H1108" i="4"/>
  <c r="I1108" i="4"/>
  <c r="A1109" i="4"/>
  <c r="B1109" i="4"/>
  <c r="D1109" i="4"/>
  <c r="E1109" i="4"/>
  <c r="F1109" i="4"/>
  <c r="G1109" i="4"/>
  <c r="H1109" i="4"/>
  <c r="I1109" i="4"/>
  <c r="A1110" i="4"/>
  <c r="B1110" i="4"/>
  <c r="D1110" i="4"/>
  <c r="E1110" i="4"/>
  <c r="F1110" i="4"/>
  <c r="G1110" i="4"/>
  <c r="H1110" i="4"/>
  <c r="I1110" i="4"/>
  <c r="A1111" i="4"/>
  <c r="B1111" i="4"/>
  <c r="D1111" i="4"/>
  <c r="E1111" i="4"/>
  <c r="F1111" i="4"/>
  <c r="G1111" i="4"/>
  <c r="H1111" i="4"/>
  <c r="I1111" i="4"/>
  <c r="A1112" i="4"/>
  <c r="B1112" i="4"/>
  <c r="D1112" i="4"/>
  <c r="E1112" i="4"/>
  <c r="F1112" i="4"/>
  <c r="G1112" i="4"/>
  <c r="H1112" i="4"/>
  <c r="I1112" i="4"/>
  <c r="A1113" i="4"/>
  <c r="B1113" i="4"/>
  <c r="D1113" i="4"/>
  <c r="E1113" i="4"/>
  <c r="F1113" i="4"/>
  <c r="G1113" i="4"/>
  <c r="H1113" i="4"/>
  <c r="I1113" i="4"/>
  <c r="A1114" i="4"/>
  <c r="B1114" i="4"/>
  <c r="D1114" i="4"/>
  <c r="E1114" i="4"/>
  <c r="F1114" i="4"/>
  <c r="G1114" i="4"/>
  <c r="H1114" i="4"/>
  <c r="I1114" i="4"/>
  <c r="A1115" i="4"/>
  <c r="B1115" i="4"/>
  <c r="D1115" i="4"/>
  <c r="E1115" i="4"/>
  <c r="F1115" i="4"/>
  <c r="G1115" i="4"/>
  <c r="H1115" i="4"/>
  <c r="I1115" i="4"/>
  <c r="A1116" i="4"/>
  <c r="B1116" i="4"/>
  <c r="D1116" i="4"/>
  <c r="E1116" i="4"/>
  <c r="F1116" i="4"/>
  <c r="G1116" i="4"/>
  <c r="H1116" i="4"/>
  <c r="I1116" i="4"/>
  <c r="A1117" i="4"/>
  <c r="B1117" i="4"/>
  <c r="D1117" i="4"/>
  <c r="E1117" i="4"/>
  <c r="F1117" i="4"/>
  <c r="G1117" i="4"/>
  <c r="H1117" i="4"/>
  <c r="I1117" i="4"/>
  <c r="A1118" i="4"/>
  <c r="B1118" i="4"/>
  <c r="D1118" i="4"/>
  <c r="E1118" i="4"/>
  <c r="F1118" i="4"/>
  <c r="G1118" i="4"/>
  <c r="H1118" i="4"/>
  <c r="I1118" i="4"/>
  <c r="A1119" i="4"/>
  <c r="B1119" i="4"/>
  <c r="D1119" i="4"/>
  <c r="E1119" i="4"/>
  <c r="F1119" i="4"/>
  <c r="G1119" i="4"/>
  <c r="H1119" i="4"/>
  <c r="I1119" i="4"/>
  <c r="A1120" i="4"/>
  <c r="B1120" i="4"/>
  <c r="D1120" i="4"/>
  <c r="E1120" i="4"/>
  <c r="F1120" i="4"/>
  <c r="G1120" i="4"/>
  <c r="H1120" i="4"/>
  <c r="I1120" i="4"/>
  <c r="A1121" i="4"/>
  <c r="B1121" i="4"/>
  <c r="D1121" i="4"/>
  <c r="E1121" i="4"/>
  <c r="F1121" i="4"/>
  <c r="G1121" i="4"/>
  <c r="H1121" i="4"/>
  <c r="I1121" i="4"/>
  <c r="A1122" i="4"/>
  <c r="B1122" i="4"/>
  <c r="D1122" i="4"/>
  <c r="E1122" i="4"/>
  <c r="F1122" i="4"/>
  <c r="G1122" i="4"/>
  <c r="H1122" i="4"/>
  <c r="I1122" i="4"/>
  <c r="A1123" i="4"/>
  <c r="B1123" i="4"/>
  <c r="D1123" i="4"/>
  <c r="E1123" i="4"/>
  <c r="F1123" i="4"/>
  <c r="G1123" i="4"/>
  <c r="H1123" i="4"/>
  <c r="I1123" i="4"/>
  <c r="A1124" i="4"/>
  <c r="B1124" i="4"/>
  <c r="D1124" i="4"/>
  <c r="E1124" i="4"/>
  <c r="F1124" i="4"/>
  <c r="G1124" i="4"/>
  <c r="H1124" i="4"/>
  <c r="I1124" i="4"/>
  <c r="A1125" i="4"/>
  <c r="B1125" i="4"/>
  <c r="D1125" i="4"/>
  <c r="E1125" i="4"/>
  <c r="F1125" i="4"/>
  <c r="G1125" i="4"/>
  <c r="H1125" i="4"/>
  <c r="I1125" i="4"/>
  <c r="A1126" i="4"/>
  <c r="B1126" i="4"/>
  <c r="D1126" i="4"/>
  <c r="E1126" i="4"/>
  <c r="F1126" i="4"/>
  <c r="G1126" i="4"/>
  <c r="H1126" i="4"/>
  <c r="I1126" i="4"/>
  <c r="A1127" i="4"/>
  <c r="B1127" i="4"/>
  <c r="D1127" i="4"/>
  <c r="E1127" i="4"/>
  <c r="F1127" i="4"/>
  <c r="G1127" i="4"/>
  <c r="H1127" i="4"/>
  <c r="I1127" i="4"/>
  <c r="A1128" i="4"/>
  <c r="B1128" i="4"/>
  <c r="D1128" i="4"/>
  <c r="E1128" i="4"/>
  <c r="F1128" i="4"/>
  <c r="G1128" i="4"/>
  <c r="H1128" i="4"/>
  <c r="I1128" i="4"/>
  <c r="A1129" i="4"/>
  <c r="B1129" i="4"/>
  <c r="D1129" i="4"/>
  <c r="E1129" i="4"/>
  <c r="F1129" i="4"/>
  <c r="G1129" i="4"/>
  <c r="H1129" i="4"/>
  <c r="I1129" i="4"/>
  <c r="A1130" i="4"/>
  <c r="B1130" i="4"/>
  <c r="D1130" i="4"/>
  <c r="E1130" i="4"/>
  <c r="F1130" i="4"/>
  <c r="G1130" i="4"/>
  <c r="H1130" i="4"/>
  <c r="I1130" i="4"/>
  <c r="A1131" i="4"/>
  <c r="B1131" i="4"/>
  <c r="D1131" i="4"/>
  <c r="E1131" i="4"/>
  <c r="F1131" i="4"/>
  <c r="G1131" i="4"/>
  <c r="H1131" i="4"/>
  <c r="I1131" i="4"/>
  <c r="A1132" i="4"/>
  <c r="B1132" i="4"/>
  <c r="D1132" i="4"/>
  <c r="E1132" i="4"/>
  <c r="F1132" i="4"/>
  <c r="G1132" i="4"/>
  <c r="H1132" i="4"/>
  <c r="I1132" i="4"/>
  <c r="A1133" i="4"/>
  <c r="B1133" i="4"/>
  <c r="D1133" i="4"/>
  <c r="E1133" i="4"/>
  <c r="F1133" i="4"/>
  <c r="G1133" i="4"/>
  <c r="H1133" i="4"/>
  <c r="I1133" i="4"/>
  <c r="A1134" i="4"/>
  <c r="B1134" i="4"/>
  <c r="D1134" i="4"/>
  <c r="E1134" i="4"/>
  <c r="F1134" i="4"/>
  <c r="G1134" i="4"/>
  <c r="H1134" i="4"/>
  <c r="I1134" i="4"/>
  <c r="A1135" i="4"/>
  <c r="B1135" i="4"/>
  <c r="D1135" i="4"/>
  <c r="E1135" i="4"/>
  <c r="F1135" i="4"/>
  <c r="G1135" i="4"/>
  <c r="H1135" i="4"/>
  <c r="I1135" i="4"/>
  <c r="A1136" i="4"/>
  <c r="B1136" i="4"/>
  <c r="D1136" i="4"/>
  <c r="E1136" i="4"/>
  <c r="F1136" i="4"/>
  <c r="G1136" i="4"/>
  <c r="H1136" i="4"/>
  <c r="I1136" i="4"/>
  <c r="A1137" i="4"/>
  <c r="B1137" i="4"/>
  <c r="D1137" i="4"/>
  <c r="E1137" i="4"/>
  <c r="F1137" i="4"/>
  <c r="G1137" i="4"/>
  <c r="H1137" i="4"/>
  <c r="I1137" i="4"/>
  <c r="A1138" i="4"/>
  <c r="B1138" i="4"/>
  <c r="D1138" i="4"/>
  <c r="E1138" i="4"/>
  <c r="F1138" i="4"/>
  <c r="G1138" i="4"/>
  <c r="H1138" i="4"/>
  <c r="I1138" i="4"/>
  <c r="A1139" i="4"/>
  <c r="B1139" i="4"/>
  <c r="D1139" i="4"/>
  <c r="E1139" i="4"/>
  <c r="F1139" i="4"/>
  <c r="G1139" i="4"/>
  <c r="H1139" i="4"/>
  <c r="I1139" i="4"/>
  <c r="A1140" i="4"/>
  <c r="B1140" i="4"/>
  <c r="D1140" i="4"/>
  <c r="E1140" i="4"/>
  <c r="F1140" i="4"/>
  <c r="G1140" i="4"/>
  <c r="H1140" i="4"/>
  <c r="I1140" i="4"/>
  <c r="A1141" i="4"/>
  <c r="B1141" i="4"/>
  <c r="D1141" i="4"/>
  <c r="E1141" i="4"/>
  <c r="F1141" i="4"/>
  <c r="G1141" i="4"/>
  <c r="H1141" i="4"/>
  <c r="I1141" i="4"/>
  <c r="A1142" i="4"/>
  <c r="B1142" i="4"/>
  <c r="D1142" i="4"/>
  <c r="E1142" i="4"/>
  <c r="F1142" i="4"/>
  <c r="G1142" i="4"/>
  <c r="H1142" i="4"/>
  <c r="I1142" i="4"/>
  <c r="A1143" i="4"/>
  <c r="B1143" i="4"/>
  <c r="D1143" i="4"/>
  <c r="E1143" i="4"/>
  <c r="F1143" i="4"/>
  <c r="G1143" i="4"/>
  <c r="H1143" i="4"/>
  <c r="I1143" i="4"/>
  <c r="A1144" i="4"/>
  <c r="B1144" i="4"/>
  <c r="D1144" i="4"/>
  <c r="E1144" i="4"/>
  <c r="F1144" i="4"/>
  <c r="G1144" i="4"/>
  <c r="H1144" i="4"/>
  <c r="I1144" i="4"/>
  <c r="A1145" i="4"/>
  <c r="B1145" i="4"/>
  <c r="D1145" i="4"/>
  <c r="E1145" i="4"/>
  <c r="F1145" i="4"/>
  <c r="G1145" i="4"/>
  <c r="H1145" i="4"/>
  <c r="I1145" i="4"/>
  <c r="A1146" i="4"/>
  <c r="B1146" i="4"/>
  <c r="D1146" i="4"/>
  <c r="E1146" i="4"/>
  <c r="F1146" i="4"/>
  <c r="G1146" i="4"/>
  <c r="H1146" i="4"/>
  <c r="I1146" i="4"/>
  <c r="A1147" i="4"/>
  <c r="B1147" i="4"/>
  <c r="D1147" i="4"/>
  <c r="E1147" i="4"/>
  <c r="F1147" i="4"/>
  <c r="G1147" i="4"/>
  <c r="H1147" i="4"/>
  <c r="I1147" i="4"/>
  <c r="A1148" i="4"/>
  <c r="B1148" i="4"/>
  <c r="D1148" i="4"/>
  <c r="E1148" i="4"/>
  <c r="F1148" i="4"/>
  <c r="G1148" i="4"/>
  <c r="H1148" i="4"/>
  <c r="I1148" i="4"/>
  <c r="A1149" i="4"/>
  <c r="B1149" i="4"/>
  <c r="D1149" i="4"/>
  <c r="E1149" i="4"/>
  <c r="F1149" i="4"/>
  <c r="G1149" i="4"/>
  <c r="H1149" i="4"/>
  <c r="I1149" i="4"/>
  <c r="A1150" i="4"/>
  <c r="B1150" i="4"/>
  <c r="D1150" i="4"/>
  <c r="E1150" i="4"/>
  <c r="F1150" i="4"/>
  <c r="G1150" i="4"/>
  <c r="H1150" i="4"/>
  <c r="I1150" i="4"/>
  <c r="A1151" i="4"/>
  <c r="B1151" i="4"/>
  <c r="D1151" i="4"/>
  <c r="E1151" i="4"/>
  <c r="F1151" i="4"/>
  <c r="G1151" i="4"/>
  <c r="H1151" i="4"/>
  <c r="I1151" i="4"/>
  <c r="A1152" i="4"/>
  <c r="B1152" i="4"/>
  <c r="D1152" i="4"/>
  <c r="E1152" i="4"/>
  <c r="F1152" i="4"/>
  <c r="G1152" i="4"/>
  <c r="H1152" i="4"/>
  <c r="I1152" i="4"/>
  <c r="A1153" i="4"/>
  <c r="B1153" i="4"/>
  <c r="D1153" i="4"/>
  <c r="E1153" i="4"/>
  <c r="F1153" i="4"/>
  <c r="G1153" i="4"/>
  <c r="H1153" i="4"/>
  <c r="I1153" i="4"/>
  <c r="A1154" i="4"/>
  <c r="B1154" i="4"/>
  <c r="D1154" i="4"/>
  <c r="E1154" i="4"/>
  <c r="F1154" i="4"/>
  <c r="G1154" i="4"/>
  <c r="H1154" i="4"/>
  <c r="I1154" i="4"/>
  <c r="A1155" i="4"/>
  <c r="B1155" i="4"/>
  <c r="D1155" i="4"/>
  <c r="E1155" i="4"/>
  <c r="F1155" i="4"/>
  <c r="G1155" i="4"/>
  <c r="H1155" i="4"/>
  <c r="I1155" i="4"/>
  <c r="A1156" i="4"/>
  <c r="B1156" i="4"/>
  <c r="D1156" i="4"/>
  <c r="E1156" i="4"/>
  <c r="F1156" i="4"/>
  <c r="G1156" i="4"/>
  <c r="H1156" i="4"/>
  <c r="I1156" i="4"/>
  <c r="A1157" i="4"/>
  <c r="B1157" i="4"/>
  <c r="D1157" i="4"/>
  <c r="E1157" i="4"/>
  <c r="F1157" i="4"/>
  <c r="G1157" i="4"/>
  <c r="H1157" i="4"/>
  <c r="I1157" i="4"/>
  <c r="A1158" i="4"/>
  <c r="B1158" i="4"/>
  <c r="D1158" i="4"/>
  <c r="E1158" i="4"/>
  <c r="F1158" i="4"/>
  <c r="G1158" i="4"/>
  <c r="H1158" i="4"/>
  <c r="I1158" i="4"/>
  <c r="A1159" i="4"/>
  <c r="B1159" i="4"/>
  <c r="D1159" i="4"/>
  <c r="E1159" i="4"/>
  <c r="F1159" i="4"/>
  <c r="G1159" i="4"/>
  <c r="H1159" i="4"/>
  <c r="I1159" i="4"/>
  <c r="A1160" i="4"/>
  <c r="B1160" i="4"/>
  <c r="D1160" i="4"/>
  <c r="E1160" i="4"/>
  <c r="F1160" i="4"/>
  <c r="G1160" i="4"/>
  <c r="H1160" i="4"/>
  <c r="I1160" i="4"/>
  <c r="A1161" i="4"/>
  <c r="B1161" i="4"/>
  <c r="D1161" i="4"/>
  <c r="E1161" i="4"/>
  <c r="F1161" i="4"/>
  <c r="G1161" i="4"/>
  <c r="H1161" i="4"/>
  <c r="I1161" i="4"/>
  <c r="A1162" i="4"/>
  <c r="B1162" i="4"/>
  <c r="D1162" i="4"/>
  <c r="E1162" i="4"/>
  <c r="F1162" i="4"/>
  <c r="G1162" i="4"/>
  <c r="H1162" i="4"/>
  <c r="I1162" i="4"/>
  <c r="A1163" i="4"/>
  <c r="B1163" i="4"/>
  <c r="D1163" i="4"/>
  <c r="E1163" i="4"/>
  <c r="F1163" i="4"/>
  <c r="G1163" i="4"/>
  <c r="H1163" i="4"/>
  <c r="I1163" i="4"/>
  <c r="A1164" i="4"/>
  <c r="B1164" i="4"/>
  <c r="D1164" i="4"/>
  <c r="E1164" i="4"/>
  <c r="F1164" i="4"/>
  <c r="G1164" i="4"/>
  <c r="H1164" i="4"/>
  <c r="I1164" i="4"/>
  <c r="A1165" i="4"/>
  <c r="B1165" i="4"/>
  <c r="D1165" i="4"/>
  <c r="E1165" i="4"/>
  <c r="F1165" i="4"/>
  <c r="G1165" i="4"/>
  <c r="H1165" i="4"/>
  <c r="I1165" i="4"/>
  <c r="A1166" i="4"/>
  <c r="B1166" i="4"/>
  <c r="D1166" i="4"/>
  <c r="E1166" i="4"/>
  <c r="F1166" i="4"/>
  <c r="G1166" i="4"/>
  <c r="H1166" i="4"/>
  <c r="I1166" i="4"/>
  <c r="A1167" i="4"/>
  <c r="B1167" i="4"/>
  <c r="D1167" i="4"/>
  <c r="E1167" i="4"/>
  <c r="F1167" i="4"/>
  <c r="G1167" i="4"/>
  <c r="H1167" i="4"/>
  <c r="I1167" i="4"/>
  <c r="A1168" i="4"/>
  <c r="B1168" i="4"/>
  <c r="D1168" i="4"/>
  <c r="E1168" i="4"/>
  <c r="F1168" i="4"/>
  <c r="G1168" i="4"/>
  <c r="H1168" i="4"/>
  <c r="I1168" i="4"/>
  <c r="A1169" i="4"/>
  <c r="B1169" i="4"/>
  <c r="D1169" i="4"/>
  <c r="E1169" i="4"/>
  <c r="F1169" i="4"/>
  <c r="G1169" i="4"/>
  <c r="H1169" i="4"/>
  <c r="I1169" i="4"/>
  <c r="A1170" i="4"/>
  <c r="B1170" i="4"/>
  <c r="D1170" i="4"/>
  <c r="E1170" i="4"/>
  <c r="F1170" i="4"/>
  <c r="G1170" i="4"/>
  <c r="H1170" i="4"/>
  <c r="I1170" i="4"/>
  <c r="A1171" i="4"/>
  <c r="B1171" i="4"/>
  <c r="D1171" i="4"/>
  <c r="E1171" i="4"/>
  <c r="F1171" i="4"/>
  <c r="G1171" i="4"/>
  <c r="H1171" i="4"/>
  <c r="I1171" i="4"/>
  <c r="A1172" i="4"/>
  <c r="B1172" i="4"/>
  <c r="D1172" i="4"/>
  <c r="E1172" i="4"/>
  <c r="F1172" i="4"/>
  <c r="G1172" i="4"/>
  <c r="H1172" i="4"/>
  <c r="I1172" i="4"/>
  <c r="A1173" i="4"/>
  <c r="B1173" i="4"/>
  <c r="D1173" i="4"/>
  <c r="E1173" i="4"/>
  <c r="F1173" i="4"/>
  <c r="G1173" i="4"/>
  <c r="H1173" i="4"/>
  <c r="I1173" i="4"/>
  <c r="A1174" i="4"/>
  <c r="B1174" i="4"/>
  <c r="D1174" i="4"/>
  <c r="E1174" i="4"/>
  <c r="F1174" i="4"/>
  <c r="G1174" i="4"/>
  <c r="H1174" i="4"/>
  <c r="I1174" i="4"/>
  <c r="A1175" i="4"/>
  <c r="B1175" i="4"/>
  <c r="D1175" i="4"/>
  <c r="E1175" i="4"/>
  <c r="F1175" i="4"/>
  <c r="G1175" i="4"/>
  <c r="H1175" i="4"/>
  <c r="I1175" i="4"/>
  <c r="A1176" i="4"/>
  <c r="B1176" i="4"/>
  <c r="D1176" i="4"/>
  <c r="E1176" i="4"/>
  <c r="F1176" i="4"/>
  <c r="G1176" i="4"/>
  <c r="H1176" i="4"/>
  <c r="I1176" i="4"/>
  <c r="A1177" i="4"/>
  <c r="B1177" i="4"/>
  <c r="D1177" i="4"/>
  <c r="E1177" i="4"/>
  <c r="F1177" i="4"/>
  <c r="G1177" i="4"/>
  <c r="H1177" i="4"/>
  <c r="I1177" i="4"/>
  <c r="A1178" i="4"/>
  <c r="B1178" i="4"/>
  <c r="D1178" i="4"/>
  <c r="E1178" i="4"/>
  <c r="F1178" i="4"/>
  <c r="G1178" i="4"/>
  <c r="H1178" i="4"/>
  <c r="I1178" i="4"/>
  <c r="A1179" i="4"/>
  <c r="B1179" i="4"/>
  <c r="D1179" i="4"/>
  <c r="E1179" i="4"/>
  <c r="F1179" i="4"/>
  <c r="G1179" i="4"/>
  <c r="H1179" i="4"/>
  <c r="I1179" i="4"/>
  <c r="A1180" i="4"/>
  <c r="B1180" i="4"/>
  <c r="D1180" i="4"/>
  <c r="E1180" i="4"/>
  <c r="F1180" i="4"/>
  <c r="G1180" i="4"/>
  <c r="H1180" i="4"/>
  <c r="I1180" i="4"/>
  <c r="A1181" i="4"/>
  <c r="B1181" i="4"/>
  <c r="D1181" i="4"/>
  <c r="E1181" i="4"/>
  <c r="F1181" i="4"/>
  <c r="G1181" i="4"/>
  <c r="H1181" i="4"/>
  <c r="I1181" i="4"/>
  <c r="A1182" i="4"/>
  <c r="B1182" i="4"/>
  <c r="D1182" i="4"/>
  <c r="E1182" i="4"/>
  <c r="F1182" i="4"/>
  <c r="G1182" i="4"/>
  <c r="H1182" i="4"/>
  <c r="I1182" i="4"/>
  <c r="A1183" i="4"/>
  <c r="B1183" i="4"/>
  <c r="D1183" i="4"/>
  <c r="E1183" i="4"/>
  <c r="F1183" i="4"/>
  <c r="G1183" i="4"/>
  <c r="H1183" i="4"/>
  <c r="I1183" i="4"/>
  <c r="A1184" i="4"/>
  <c r="B1184" i="4"/>
  <c r="D1184" i="4"/>
  <c r="E1184" i="4"/>
  <c r="F1184" i="4"/>
  <c r="G1184" i="4"/>
  <c r="H1184" i="4"/>
  <c r="I1184" i="4"/>
  <c r="A1185" i="4"/>
  <c r="B1185" i="4"/>
  <c r="D1185" i="4"/>
  <c r="E1185" i="4"/>
  <c r="F1185" i="4"/>
  <c r="G1185" i="4"/>
  <c r="H1185" i="4"/>
  <c r="I1185" i="4"/>
  <c r="A1186" i="4"/>
  <c r="B1186" i="4"/>
  <c r="D1186" i="4"/>
  <c r="E1186" i="4"/>
  <c r="F1186" i="4"/>
  <c r="G1186" i="4"/>
  <c r="H1186" i="4"/>
  <c r="I1186" i="4"/>
  <c r="A1187" i="4"/>
  <c r="B1187" i="4"/>
  <c r="D1187" i="4"/>
  <c r="E1187" i="4"/>
  <c r="F1187" i="4"/>
  <c r="G1187" i="4"/>
  <c r="H1187" i="4"/>
  <c r="I1187" i="4"/>
  <c r="A1188" i="4"/>
  <c r="B1188" i="4"/>
  <c r="D1188" i="4"/>
  <c r="E1188" i="4"/>
  <c r="F1188" i="4"/>
  <c r="G1188" i="4"/>
  <c r="H1188" i="4"/>
  <c r="I1188" i="4"/>
  <c r="A1189" i="4"/>
  <c r="B1189" i="4"/>
  <c r="D1189" i="4"/>
  <c r="E1189" i="4"/>
  <c r="F1189" i="4"/>
  <c r="G1189" i="4"/>
  <c r="H1189" i="4"/>
  <c r="I1189" i="4"/>
  <c r="A1190" i="4"/>
  <c r="B1190" i="4"/>
  <c r="D1190" i="4"/>
  <c r="E1190" i="4"/>
  <c r="F1190" i="4"/>
  <c r="G1190" i="4"/>
  <c r="H1190" i="4"/>
  <c r="I1190" i="4"/>
  <c r="A1191" i="4"/>
  <c r="B1191" i="4"/>
  <c r="D1191" i="4"/>
  <c r="E1191" i="4"/>
  <c r="F1191" i="4"/>
  <c r="G1191" i="4"/>
  <c r="H1191" i="4"/>
  <c r="I1191" i="4"/>
  <c r="A1192" i="4"/>
  <c r="B1192" i="4"/>
  <c r="D1192" i="4"/>
  <c r="E1192" i="4"/>
  <c r="F1192" i="4"/>
  <c r="G1192" i="4"/>
  <c r="H1192" i="4"/>
  <c r="I1192" i="4"/>
  <c r="A1193" i="4"/>
  <c r="B1193" i="4"/>
  <c r="D1193" i="4"/>
  <c r="E1193" i="4"/>
  <c r="F1193" i="4"/>
  <c r="G1193" i="4"/>
  <c r="H1193" i="4"/>
  <c r="I1193" i="4"/>
  <c r="A1194" i="4"/>
  <c r="B1194" i="4"/>
  <c r="D1194" i="4"/>
  <c r="E1194" i="4"/>
  <c r="F1194" i="4"/>
  <c r="G1194" i="4"/>
  <c r="H1194" i="4"/>
  <c r="I1194" i="4"/>
  <c r="A1195" i="4"/>
  <c r="B1195" i="4"/>
  <c r="D1195" i="4"/>
  <c r="E1195" i="4"/>
  <c r="F1195" i="4"/>
  <c r="G1195" i="4"/>
  <c r="H1195" i="4"/>
  <c r="I1195" i="4"/>
  <c r="A1196" i="4"/>
  <c r="B1196" i="4"/>
  <c r="D1196" i="4"/>
  <c r="E1196" i="4"/>
  <c r="F1196" i="4"/>
  <c r="G1196" i="4"/>
  <c r="H1196" i="4"/>
  <c r="I1196" i="4"/>
  <c r="A1197" i="4"/>
  <c r="B1197" i="4"/>
  <c r="D1197" i="4"/>
  <c r="E1197" i="4"/>
  <c r="F1197" i="4"/>
  <c r="G1197" i="4"/>
  <c r="H1197" i="4"/>
  <c r="I1197" i="4"/>
  <c r="A1198" i="4"/>
  <c r="B1198" i="4"/>
  <c r="D1198" i="4"/>
  <c r="E1198" i="4"/>
  <c r="F1198" i="4"/>
  <c r="G1198" i="4"/>
  <c r="H1198" i="4"/>
  <c r="I1198" i="4"/>
  <c r="A1199" i="4"/>
  <c r="B1199" i="4"/>
  <c r="D1199" i="4"/>
  <c r="E1199" i="4"/>
  <c r="F1199" i="4"/>
  <c r="G1199" i="4"/>
  <c r="H1199" i="4"/>
  <c r="I1199" i="4"/>
  <c r="A1200" i="4"/>
  <c r="B1200" i="4"/>
  <c r="D1200" i="4"/>
  <c r="E1200" i="4"/>
  <c r="F1200" i="4"/>
  <c r="G1200" i="4"/>
  <c r="H1200" i="4"/>
  <c r="I1200" i="4"/>
  <c r="A1201" i="4"/>
  <c r="B1201" i="4"/>
  <c r="D1201" i="4"/>
  <c r="E1201" i="4"/>
  <c r="F1201" i="4"/>
  <c r="G1201" i="4"/>
  <c r="H1201" i="4"/>
  <c r="I1201" i="4"/>
  <c r="A1202" i="4"/>
  <c r="B1202" i="4"/>
  <c r="D1202" i="4"/>
  <c r="E1202" i="4"/>
  <c r="F1202" i="4"/>
  <c r="G1202" i="4"/>
  <c r="H1202" i="4"/>
  <c r="I1202" i="4"/>
  <c r="A1203" i="4"/>
  <c r="B1203" i="4"/>
  <c r="D1203" i="4"/>
  <c r="E1203" i="4"/>
  <c r="F1203" i="4"/>
  <c r="G1203" i="4"/>
  <c r="H1203" i="4"/>
  <c r="I1203" i="4"/>
  <c r="A1204" i="4"/>
  <c r="B1204" i="4"/>
  <c r="D1204" i="4"/>
  <c r="E1204" i="4"/>
  <c r="F1204" i="4"/>
  <c r="G1204" i="4"/>
  <c r="H1204" i="4"/>
  <c r="I1204" i="4"/>
  <c r="A1205" i="4"/>
  <c r="B1205" i="4"/>
  <c r="D1205" i="4"/>
  <c r="E1205" i="4"/>
  <c r="F1205" i="4"/>
  <c r="G1205" i="4"/>
  <c r="H1205" i="4"/>
  <c r="I1205" i="4"/>
  <c r="A1206" i="4"/>
  <c r="B1206" i="4"/>
  <c r="D1206" i="4"/>
  <c r="E1206" i="4"/>
  <c r="F1206" i="4"/>
  <c r="G1206" i="4"/>
  <c r="H1206" i="4"/>
  <c r="I1206" i="4"/>
  <c r="A1207" i="4"/>
  <c r="B1207" i="4"/>
  <c r="D1207" i="4"/>
  <c r="E1207" i="4"/>
  <c r="F1207" i="4"/>
  <c r="G1207" i="4"/>
  <c r="H1207" i="4"/>
  <c r="I1207" i="4"/>
  <c r="A1208" i="4"/>
  <c r="B1208" i="4"/>
  <c r="D1208" i="4"/>
  <c r="E1208" i="4"/>
  <c r="F1208" i="4"/>
  <c r="G1208" i="4"/>
  <c r="H1208" i="4"/>
  <c r="I1208" i="4"/>
  <c r="A1209" i="4"/>
  <c r="B1209" i="4"/>
  <c r="D1209" i="4"/>
  <c r="E1209" i="4"/>
  <c r="F1209" i="4"/>
  <c r="G1209" i="4"/>
  <c r="H1209" i="4"/>
  <c r="I1209" i="4"/>
  <c r="A1210" i="4"/>
  <c r="B1210" i="4"/>
  <c r="D1210" i="4"/>
  <c r="E1210" i="4"/>
  <c r="F1210" i="4"/>
  <c r="G1210" i="4"/>
  <c r="H1210" i="4"/>
  <c r="I1210" i="4"/>
  <c r="A1211" i="4"/>
  <c r="B1211" i="4"/>
  <c r="D1211" i="4"/>
  <c r="E1211" i="4"/>
  <c r="F1211" i="4"/>
  <c r="G1211" i="4"/>
  <c r="H1211" i="4"/>
  <c r="I1211" i="4"/>
  <c r="A1212" i="4"/>
  <c r="B1212" i="4"/>
  <c r="D1212" i="4"/>
  <c r="E1212" i="4"/>
  <c r="F1212" i="4"/>
  <c r="G1212" i="4"/>
  <c r="H1212" i="4"/>
  <c r="I1212" i="4"/>
  <c r="A1213" i="4"/>
  <c r="B1213" i="4"/>
  <c r="D1213" i="4"/>
  <c r="E1213" i="4"/>
  <c r="F1213" i="4"/>
  <c r="G1213" i="4"/>
  <c r="H1213" i="4"/>
  <c r="I1213" i="4"/>
  <c r="A1214" i="4"/>
  <c r="B1214" i="4"/>
  <c r="D1214" i="4"/>
  <c r="E1214" i="4"/>
  <c r="F1214" i="4"/>
  <c r="G1214" i="4"/>
  <c r="H1214" i="4"/>
  <c r="I1214" i="4"/>
  <c r="A1215" i="4"/>
  <c r="B1215" i="4"/>
  <c r="D1215" i="4"/>
  <c r="E1215" i="4"/>
  <c r="F1215" i="4"/>
  <c r="G1215" i="4"/>
  <c r="H1215" i="4"/>
  <c r="I1215" i="4"/>
  <c r="A1216" i="4"/>
  <c r="B1216" i="4"/>
  <c r="D1216" i="4"/>
  <c r="E1216" i="4"/>
  <c r="F1216" i="4"/>
  <c r="G1216" i="4"/>
  <c r="H1216" i="4"/>
  <c r="I1216" i="4"/>
  <c r="A1217" i="4"/>
  <c r="B1217" i="4"/>
  <c r="D1217" i="4"/>
  <c r="E1217" i="4"/>
  <c r="F1217" i="4"/>
  <c r="G1217" i="4"/>
  <c r="H1217" i="4"/>
  <c r="I1217" i="4"/>
  <c r="A1218" i="4"/>
  <c r="B1218" i="4"/>
  <c r="D1218" i="4"/>
  <c r="E1218" i="4"/>
  <c r="F1218" i="4"/>
  <c r="G1218" i="4"/>
  <c r="H1218" i="4"/>
  <c r="I1218" i="4"/>
  <c r="A1219" i="4"/>
  <c r="B1219" i="4"/>
  <c r="D1219" i="4"/>
  <c r="E1219" i="4"/>
  <c r="F1219" i="4"/>
  <c r="G1219" i="4"/>
  <c r="H1219" i="4"/>
  <c r="I1219" i="4"/>
  <c r="A1220" i="4"/>
  <c r="B1220" i="4"/>
  <c r="D1220" i="4"/>
  <c r="E1220" i="4"/>
  <c r="F1220" i="4"/>
  <c r="G1220" i="4"/>
  <c r="H1220" i="4"/>
  <c r="I1220" i="4"/>
  <c r="A1221" i="4"/>
  <c r="B1221" i="4"/>
  <c r="D1221" i="4"/>
  <c r="E1221" i="4"/>
  <c r="F1221" i="4"/>
  <c r="G1221" i="4"/>
  <c r="H1221" i="4"/>
  <c r="I1221" i="4"/>
  <c r="A1222" i="4"/>
  <c r="B1222" i="4"/>
  <c r="D1222" i="4"/>
  <c r="E1222" i="4"/>
  <c r="F1222" i="4"/>
  <c r="G1222" i="4"/>
  <c r="H1222" i="4"/>
  <c r="I1222" i="4"/>
  <c r="A1223" i="4"/>
  <c r="B1223" i="4"/>
  <c r="D1223" i="4"/>
  <c r="E1223" i="4"/>
  <c r="F1223" i="4"/>
  <c r="G1223" i="4"/>
  <c r="H1223" i="4"/>
  <c r="I1223" i="4"/>
  <c r="A1224" i="4"/>
  <c r="B1224" i="4"/>
  <c r="D1224" i="4"/>
  <c r="E1224" i="4"/>
  <c r="F1224" i="4"/>
  <c r="G1224" i="4"/>
  <c r="H1224" i="4"/>
  <c r="I1224" i="4"/>
  <c r="A1225" i="4"/>
  <c r="B1225" i="4"/>
  <c r="D1225" i="4"/>
  <c r="E1225" i="4"/>
  <c r="F1225" i="4"/>
  <c r="G1225" i="4"/>
  <c r="H1225" i="4"/>
  <c r="I1225" i="4"/>
  <c r="A1226" i="4"/>
  <c r="B1226" i="4"/>
  <c r="D1226" i="4"/>
  <c r="E1226" i="4"/>
  <c r="F1226" i="4"/>
  <c r="G1226" i="4"/>
  <c r="H1226" i="4"/>
  <c r="I1226" i="4"/>
  <c r="A1227" i="4"/>
  <c r="B1227" i="4"/>
  <c r="D1227" i="4"/>
  <c r="E1227" i="4"/>
  <c r="F1227" i="4"/>
  <c r="G1227" i="4"/>
  <c r="H1227" i="4"/>
  <c r="I1227" i="4"/>
  <c r="A1228" i="4"/>
  <c r="B1228" i="4"/>
  <c r="D1228" i="4"/>
  <c r="E1228" i="4"/>
  <c r="F1228" i="4"/>
  <c r="G1228" i="4"/>
  <c r="H1228" i="4"/>
  <c r="I1228" i="4"/>
  <c r="A1229" i="4"/>
  <c r="B1229" i="4"/>
  <c r="D1229" i="4"/>
  <c r="E1229" i="4"/>
  <c r="F1229" i="4"/>
  <c r="G1229" i="4"/>
  <c r="H1229" i="4"/>
  <c r="I1229" i="4"/>
  <c r="A1230" i="4"/>
  <c r="B1230" i="4"/>
  <c r="D1230" i="4"/>
  <c r="E1230" i="4"/>
  <c r="F1230" i="4"/>
  <c r="G1230" i="4"/>
  <c r="H1230" i="4"/>
  <c r="I1230" i="4"/>
  <c r="A1231" i="4"/>
  <c r="B1231" i="4"/>
  <c r="D1231" i="4"/>
  <c r="E1231" i="4"/>
  <c r="F1231" i="4"/>
  <c r="G1231" i="4"/>
  <c r="H1231" i="4"/>
  <c r="I1231" i="4"/>
  <c r="A1232" i="4"/>
  <c r="B1232" i="4"/>
  <c r="D1232" i="4"/>
  <c r="E1232" i="4"/>
  <c r="F1232" i="4"/>
  <c r="G1232" i="4"/>
  <c r="H1232" i="4"/>
  <c r="I1232" i="4"/>
  <c r="A1233" i="4"/>
  <c r="B1233" i="4"/>
  <c r="D1233" i="4"/>
  <c r="E1233" i="4"/>
  <c r="F1233" i="4"/>
  <c r="G1233" i="4"/>
  <c r="H1233" i="4"/>
  <c r="I1233" i="4"/>
  <c r="A1234" i="4"/>
  <c r="B1234" i="4"/>
  <c r="D1234" i="4"/>
  <c r="E1234" i="4"/>
  <c r="F1234" i="4"/>
  <c r="G1234" i="4"/>
  <c r="H1234" i="4"/>
  <c r="I1234" i="4"/>
  <c r="A1235" i="4"/>
  <c r="B1235" i="4"/>
  <c r="D1235" i="4"/>
  <c r="E1235" i="4"/>
  <c r="F1235" i="4"/>
  <c r="G1235" i="4"/>
  <c r="H1235" i="4"/>
  <c r="I1235" i="4"/>
  <c r="A1236" i="4"/>
  <c r="B1236" i="4"/>
  <c r="D1236" i="4"/>
  <c r="E1236" i="4"/>
  <c r="F1236" i="4"/>
  <c r="G1236" i="4"/>
  <c r="H1236" i="4"/>
  <c r="I1236" i="4"/>
  <c r="A1237" i="4"/>
  <c r="B1237" i="4"/>
  <c r="D1237" i="4"/>
  <c r="E1237" i="4"/>
  <c r="F1237" i="4"/>
  <c r="G1237" i="4"/>
  <c r="H1237" i="4"/>
  <c r="I1237" i="4"/>
  <c r="A1238" i="4"/>
  <c r="B1238" i="4"/>
  <c r="D1238" i="4"/>
  <c r="E1238" i="4"/>
  <c r="F1238" i="4"/>
  <c r="G1238" i="4"/>
  <c r="H1238" i="4"/>
  <c r="I1238" i="4"/>
  <c r="A1239" i="4"/>
  <c r="B1239" i="4"/>
  <c r="D1239" i="4"/>
  <c r="E1239" i="4"/>
  <c r="F1239" i="4"/>
  <c r="G1239" i="4"/>
  <c r="H1239" i="4"/>
  <c r="I1239" i="4"/>
  <c r="A1240" i="4"/>
  <c r="B1240" i="4"/>
  <c r="D1240" i="4"/>
  <c r="E1240" i="4"/>
  <c r="F1240" i="4"/>
  <c r="G1240" i="4"/>
  <c r="H1240" i="4"/>
  <c r="I1240" i="4"/>
  <c r="A1241" i="4"/>
  <c r="B1241" i="4"/>
  <c r="D1241" i="4"/>
  <c r="E1241" i="4"/>
  <c r="F1241" i="4"/>
  <c r="G1241" i="4"/>
  <c r="H1241" i="4"/>
  <c r="I1241" i="4"/>
  <c r="A1242" i="4"/>
  <c r="B1242" i="4"/>
  <c r="D1242" i="4"/>
  <c r="E1242" i="4"/>
  <c r="F1242" i="4"/>
  <c r="G1242" i="4"/>
  <c r="H1242" i="4"/>
  <c r="I1242" i="4"/>
  <c r="A1243" i="4"/>
  <c r="B1243" i="4"/>
  <c r="D1243" i="4"/>
  <c r="E1243" i="4"/>
  <c r="F1243" i="4"/>
  <c r="G1243" i="4"/>
  <c r="H1243" i="4"/>
  <c r="I1243" i="4"/>
  <c r="A1244" i="4"/>
  <c r="B1244" i="4"/>
  <c r="D1244" i="4"/>
  <c r="E1244" i="4"/>
  <c r="F1244" i="4"/>
  <c r="G1244" i="4"/>
  <c r="H1244" i="4"/>
  <c r="I1244" i="4"/>
  <c r="A1245" i="4"/>
  <c r="B1245" i="4"/>
  <c r="D1245" i="4"/>
  <c r="E1245" i="4"/>
  <c r="F1245" i="4"/>
  <c r="G1245" i="4"/>
  <c r="H1245" i="4"/>
  <c r="I1245" i="4"/>
  <c r="A1246" i="4"/>
  <c r="B1246" i="4"/>
  <c r="D1246" i="4"/>
  <c r="E1246" i="4"/>
  <c r="F1246" i="4"/>
  <c r="G1246" i="4"/>
  <c r="H1246" i="4"/>
  <c r="I1246" i="4"/>
  <c r="A1247" i="4"/>
  <c r="B1247" i="4"/>
  <c r="D1247" i="4"/>
  <c r="E1247" i="4"/>
  <c r="F1247" i="4"/>
  <c r="G1247" i="4"/>
  <c r="H1247" i="4"/>
  <c r="I1247" i="4"/>
  <c r="A1248" i="4"/>
  <c r="B1248" i="4"/>
  <c r="D1248" i="4"/>
  <c r="E1248" i="4"/>
  <c r="F1248" i="4"/>
  <c r="G1248" i="4"/>
  <c r="H1248" i="4"/>
  <c r="I1248" i="4"/>
  <c r="A1249" i="4"/>
  <c r="B1249" i="4"/>
  <c r="D1249" i="4"/>
  <c r="E1249" i="4"/>
  <c r="F1249" i="4"/>
  <c r="G1249" i="4"/>
  <c r="H1249" i="4"/>
  <c r="I1249" i="4"/>
  <c r="A1250" i="4"/>
  <c r="B1250" i="4"/>
  <c r="D1250" i="4"/>
  <c r="E1250" i="4"/>
  <c r="F1250" i="4"/>
  <c r="G1250" i="4"/>
  <c r="H1250" i="4"/>
  <c r="I1250" i="4"/>
  <c r="A1251" i="4"/>
  <c r="B1251" i="4"/>
  <c r="D1251" i="4"/>
  <c r="E1251" i="4"/>
  <c r="F1251" i="4"/>
  <c r="G1251" i="4"/>
  <c r="H1251" i="4"/>
  <c r="I1251" i="4"/>
  <c r="A1252" i="4"/>
  <c r="B1252" i="4"/>
  <c r="D1252" i="4"/>
  <c r="E1252" i="4"/>
  <c r="F1252" i="4"/>
  <c r="G1252" i="4"/>
  <c r="H1252" i="4"/>
  <c r="I1252" i="4"/>
  <c r="A1253" i="4"/>
  <c r="B1253" i="4"/>
  <c r="D1253" i="4"/>
  <c r="E1253" i="4"/>
  <c r="F1253" i="4"/>
  <c r="G1253" i="4"/>
  <c r="H1253" i="4"/>
  <c r="I1253" i="4"/>
  <c r="A1254" i="4"/>
  <c r="B1254" i="4"/>
  <c r="D1254" i="4"/>
  <c r="E1254" i="4"/>
  <c r="F1254" i="4"/>
  <c r="G1254" i="4"/>
  <c r="H1254" i="4"/>
  <c r="I1254" i="4"/>
  <c r="A1255" i="4"/>
  <c r="B1255" i="4"/>
  <c r="D1255" i="4"/>
  <c r="E1255" i="4"/>
  <c r="F1255" i="4"/>
  <c r="G1255" i="4"/>
  <c r="H1255" i="4"/>
  <c r="I1255" i="4"/>
  <c r="A1256" i="4"/>
  <c r="B1256" i="4"/>
  <c r="D1256" i="4"/>
  <c r="E1256" i="4"/>
  <c r="F1256" i="4"/>
  <c r="G1256" i="4"/>
  <c r="H1256" i="4"/>
  <c r="I1256" i="4"/>
  <c r="A1257" i="4"/>
  <c r="B1257" i="4"/>
  <c r="D1257" i="4"/>
  <c r="E1257" i="4"/>
  <c r="F1257" i="4"/>
  <c r="G1257" i="4"/>
  <c r="H1257" i="4"/>
  <c r="I1257" i="4"/>
  <c r="A1258" i="4"/>
  <c r="B1258" i="4"/>
  <c r="D1258" i="4"/>
  <c r="E1258" i="4"/>
  <c r="F1258" i="4"/>
  <c r="G1258" i="4"/>
  <c r="H1258" i="4"/>
  <c r="I1258" i="4"/>
  <c r="A1259" i="4"/>
  <c r="B1259" i="4"/>
  <c r="D1259" i="4"/>
  <c r="E1259" i="4"/>
  <c r="F1259" i="4"/>
  <c r="G1259" i="4"/>
  <c r="H1259" i="4"/>
  <c r="I1259" i="4"/>
  <c r="A1260" i="4"/>
  <c r="B1260" i="4"/>
  <c r="D1260" i="4"/>
  <c r="E1260" i="4"/>
  <c r="F1260" i="4"/>
  <c r="G1260" i="4"/>
  <c r="H1260" i="4"/>
  <c r="I1260" i="4"/>
  <c r="A1261" i="4"/>
  <c r="B1261" i="4"/>
  <c r="D1261" i="4"/>
  <c r="E1261" i="4"/>
  <c r="F1261" i="4"/>
  <c r="G1261" i="4"/>
  <c r="H1261" i="4"/>
  <c r="I1261" i="4"/>
  <c r="A1262" i="4"/>
  <c r="B1262" i="4"/>
  <c r="D1262" i="4"/>
  <c r="E1262" i="4"/>
  <c r="F1262" i="4"/>
  <c r="G1262" i="4"/>
  <c r="H1262" i="4"/>
  <c r="I1262" i="4"/>
  <c r="A1263" i="4"/>
  <c r="B1263" i="4"/>
  <c r="D1263" i="4"/>
  <c r="E1263" i="4"/>
  <c r="F1263" i="4"/>
  <c r="G1263" i="4"/>
  <c r="H1263" i="4"/>
  <c r="I1263" i="4"/>
  <c r="A1264" i="4"/>
  <c r="B1264" i="4"/>
  <c r="D1264" i="4"/>
  <c r="E1264" i="4"/>
  <c r="F1264" i="4"/>
  <c r="G1264" i="4"/>
  <c r="H1264" i="4"/>
  <c r="I1264" i="4"/>
  <c r="A1265" i="4"/>
  <c r="B1265" i="4"/>
  <c r="D1265" i="4"/>
  <c r="E1265" i="4"/>
  <c r="F1265" i="4"/>
  <c r="G1265" i="4"/>
  <c r="H1265" i="4"/>
  <c r="I1265" i="4"/>
  <c r="A1266" i="4"/>
  <c r="B1266" i="4"/>
  <c r="D1266" i="4"/>
  <c r="E1266" i="4"/>
  <c r="F1266" i="4"/>
  <c r="G1266" i="4"/>
  <c r="H1266" i="4"/>
  <c r="I1266" i="4"/>
  <c r="A1267" i="4"/>
  <c r="B1267" i="4"/>
  <c r="D1267" i="4"/>
  <c r="E1267" i="4"/>
  <c r="F1267" i="4"/>
  <c r="G1267" i="4"/>
  <c r="H1267" i="4"/>
  <c r="I1267" i="4"/>
  <c r="A1268" i="4"/>
  <c r="B1268" i="4"/>
  <c r="D1268" i="4"/>
  <c r="E1268" i="4"/>
  <c r="F1268" i="4"/>
  <c r="G1268" i="4"/>
  <c r="H1268" i="4"/>
  <c r="I1268" i="4"/>
  <c r="A1269" i="4"/>
  <c r="B1269" i="4"/>
  <c r="D1269" i="4"/>
  <c r="E1269" i="4"/>
  <c r="F1269" i="4"/>
  <c r="G1269" i="4"/>
  <c r="H1269" i="4"/>
  <c r="I1269" i="4"/>
  <c r="A1270" i="4"/>
  <c r="B1270" i="4"/>
  <c r="D1270" i="4"/>
  <c r="E1270" i="4"/>
  <c r="F1270" i="4"/>
  <c r="G1270" i="4"/>
  <c r="H1270" i="4"/>
  <c r="I1270" i="4"/>
  <c r="A1271" i="4"/>
  <c r="B1271" i="4"/>
  <c r="D1271" i="4"/>
  <c r="E1271" i="4"/>
  <c r="F1271" i="4"/>
  <c r="G1271" i="4"/>
  <c r="H1271" i="4"/>
  <c r="I1271" i="4"/>
  <c r="A1272" i="4"/>
  <c r="B1272" i="4"/>
  <c r="D1272" i="4"/>
  <c r="E1272" i="4"/>
  <c r="F1272" i="4"/>
  <c r="G1272" i="4"/>
  <c r="H1272" i="4"/>
  <c r="I1272" i="4"/>
  <c r="A1273" i="4"/>
  <c r="B1273" i="4"/>
  <c r="D1273" i="4"/>
  <c r="E1273" i="4"/>
  <c r="F1273" i="4"/>
  <c r="G1273" i="4"/>
  <c r="H1273" i="4"/>
  <c r="I1273" i="4"/>
  <c r="A1274" i="4"/>
  <c r="B1274" i="4"/>
  <c r="D1274" i="4"/>
  <c r="E1274" i="4"/>
  <c r="F1274" i="4"/>
  <c r="G1274" i="4"/>
  <c r="H1274" i="4"/>
  <c r="I1274" i="4"/>
  <c r="A1275" i="4"/>
  <c r="B1275" i="4"/>
  <c r="D1275" i="4"/>
  <c r="E1275" i="4"/>
  <c r="F1275" i="4"/>
  <c r="G1275" i="4"/>
  <c r="H1275" i="4"/>
  <c r="I1275" i="4"/>
  <c r="A1276" i="4"/>
  <c r="B1276" i="4"/>
  <c r="D1276" i="4"/>
  <c r="E1276" i="4"/>
  <c r="F1276" i="4"/>
  <c r="G1276" i="4"/>
  <c r="H1276" i="4"/>
  <c r="I1276" i="4"/>
  <c r="A1277" i="4"/>
  <c r="B1277" i="4"/>
  <c r="D1277" i="4"/>
  <c r="E1277" i="4"/>
  <c r="F1277" i="4"/>
  <c r="G1277" i="4"/>
  <c r="H1277" i="4"/>
  <c r="I1277" i="4"/>
  <c r="A1278" i="4"/>
  <c r="B1278" i="4"/>
  <c r="D1278" i="4"/>
  <c r="E1278" i="4"/>
  <c r="F1278" i="4"/>
  <c r="G1278" i="4"/>
  <c r="H1278" i="4"/>
  <c r="I1278" i="4"/>
  <c r="A1279" i="4"/>
  <c r="B1279" i="4"/>
  <c r="D1279" i="4"/>
  <c r="E1279" i="4"/>
  <c r="F1279" i="4"/>
  <c r="G1279" i="4"/>
  <c r="H1279" i="4"/>
  <c r="I1279" i="4"/>
  <c r="A1280" i="4"/>
  <c r="B1280" i="4"/>
  <c r="D1280" i="4"/>
  <c r="E1280" i="4"/>
  <c r="F1280" i="4"/>
  <c r="G1280" i="4"/>
  <c r="H1280" i="4"/>
  <c r="I1280" i="4"/>
  <c r="A1281" i="4"/>
  <c r="B1281" i="4"/>
  <c r="D1281" i="4"/>
  <c r="E1281" i="4"/>
  <c r="F1281" i="4"/>
  <c r="G1281" i="4"/>
  <c r="H1281" i="4"/>
  <c r="I1281" i="4"/>
  <c r="A1282" i="4"/>
  <c r="B1282" i="4"/>
  <c r="D1282" i="4"/>
  <c r="E1282" i="4"/>
  <c r="F1282" i="4"/>
  <c r="G1282" i="4"/>
  <c r="H1282" i="4"/>
  <c r="I1282" i="4"/>
  <c r="A1283" i="4"/>
  <c r="B1283" i="4"/>
  <c r="D1283" i="4"/>
  <c r="E1283" i="4"/>
  <c r="F1283" i="4"/>
  <c r="G1283" i="4"/>
  <c r="H1283" i="4"/>
  <c r="I1283" i="4"/>
  <c r="A1284" i="4"/>
  <c r="B1284" i="4"/>
  <c r="D1284" i="4"/>
  <c r="E1284" i="4"/>
  <c r="F1284" i="4"/>
  <c r="G1284" i="4"/>
  <c r="H1284" i="4"/>
  <c r="I1284" i="4"/>
  <c r="A1285" i="4"/>
  <c r="B1285" i="4"/>
  <c r="D1285" i="4"/>
  <c r="E1285" i="4"/>
  <c r="F1285" i="4"/>
  <c r="G1285" i="4"/>
  <c r="H1285" i="4"/>
  <c r="I1285" i="4"/>
  <c r="A1286" i="4"/>
  <c r="B1286" i="4"/>
  <c r="D1286" i="4"/>
  <c r="E1286" i="4"/>
  <c r="F1286" i="4"/>
  <c r="G1286" i="4"/>
  <c r="H1286" i="4"/>
  <c r="I1286" i="4"/>
  <c r="A1287" i="4"/>
  <c r="B1287" i="4"/>
  <c r="D1287" i="4"/>
  <c r="E1287" i="4"/>
  <c r="F1287" i="4"/>
  <c r="G1287" i="4"/>
  <c r="H1287" i="4"/>
  <c r="I1287" i="4"/>
  <c r="A1288" i="4"/>
  <c r="B1288" i="4"/>
  <c r="D1288" i="4"/>
  <c r="E1288" i="4"/>
  <c r="F1288" i="4"/>
  <c r="G1288" i="4"/>
  <c r="H1288" i="4"/>
  <c r="I1288" i="4"/>
  <c r="A1289" i="4"/>
  <c r="B1289" i="4"/>
  <c r="D1289" i="4"/>
  <c r="E1289" i="4"/>
  <c r="F1289" i="4"/>
  <c r="G1289" i="4"/>
  <c r="H1289" i="4"/>
  <c r="I1289" i="4"/>
  <c r="A1290" i="4"/>
  <c r="B1290" i="4"/>
  <c r="D1290" i="4"/>
  <c r="E1290" i="4"/>
  <c r="F1290" i="4"/>
  <c r="G1290" i="4"/>
  <c r="H1290" i="4"/>
  <c r="I1290" i="4"/>
  <c r="A1291" i="4"/>
  <c r="B1291" i="4"/>
  <c r="D1291" i="4"/>
  <c r="E1291" i="4"/>
  <c r="F1291" i="4"/>
  <c r="G1291" i="4"/>
  <c r="H1291" i="4"/>
  <c r="I1291" i="4"/>
  <c r="A1292" i="4"/>
  <c r="B1292" i="4"/>
  <c r="D1292" i="4"/>
  <c r="E1292" i="4"/>
  <c r="F1292" i="4"/>
  <c r="G1292" i="4"/>
  <c r="H1292" i="4"/>
  <c r="I1292" i="4"/>
  <c r="A1293" i="4"/>
  <c r="B1293" i="4"/>
  <c r="D1293" i="4"/>
  <c r="E1293" i="4"/>
  <c r="F1293" i="4"/>
  <c r="G1293" i="4"/>
  <c r="H1293" i="4"/>
  <c r="I1293" i="4"/>
  <c r="A1294" i="4"/>
  <c r="B1294" i="4"/>
  <c r="D1294" i="4"/>
  <c r="E1294" i="4"/>
  <c r="F1294" i="4"/>
  <c r="G1294" i="4"/>
  <c r="H1294" i="4"/>
  <c r="I1294" i="4"/>
  <c r="A1295" i="4"/>
  <c r="B1295" i="4"/>
  <c r="D1295" i="4"/>
  <c r="E1295" i="4"/>
  <c r="F1295" i="4"/>
  <c r="G1295" i="4"/>
  <c r="H1295" i="4"/>
  <c r="I1295" i="4"/>
  <c r="A1296" i="4"/>
  <c r="B1296" i="4"/>
  <c r="D1296" i="4"/>
  <c r="E1296" i="4"/>
  <c r="F1296" i="4"/>
  <c r="G1296" i="4"/>
  <c r="H1296" i="4"/>
  <c r="I1296" i="4"/>
  <c r="A1297" i="4"/>
  <c r="B1297" i="4"/>
  <c r="D1297" i="4"/>
  <c r="E1297" i="4"/>
  <c r="F1297" i="4"/>
  <c r="G1297" i="4"/>
  <c r="H1297" i="4"/>
  <c r="I1297" i="4"/>
  <c r="A1298" i="4"/>
  <c r="B1298" i="4"/>
  <c r="D1298" i="4"/>
  <c r="E1298" i="4"/>
  <c r="F1298" i="4"/>
  <c r="G1298" i="4"/>
  <c r="H1298" i="4"/>
  <c r="I1298" i="4"/>
  <c r="A1299" i="4"/>
  <c r="B1299" i="4"/>
  <c r="D1299" i="4"/>
  <c r="E1299" i="4"/>
  <c r="F1299" i="4"/>
  <c r="G1299" i="4"/>
  <c r="H1299" i="4"/>
  <c r="I1299" i="4"/>
  <c r="A1300" i="4"/>
  <c r="B1300" i="4"/>
  <c r="D1300" i="4"/>
  <c r="E1300" i="4"/>
  <c r="F1300" i="4"/>
  <c r="G1300" i="4"/>
  <c r="H1300" i="4"/>
  <c r="I1300" i="4"/>
  <c r="A1301" i="4"/>
  <c r="B1301" i="4"/>
  <c r="D1301" i="4"/>
  <c r="E1301" i="4"/>
  <c r="F1301" i="4"/>
  <c r="G1301" i="4"/>
  <c r="H1301" i="4"/>
  <c r="I1301" i="4"/>
  <c r="A1302" i="4"/>
  <c r="B1302" i="4"/>
  <c r="D1302" i="4"/>
  <c r="E1302" i="4"/>
  <c r="F1302" i="4"/>
  <c r="G1302" i="4"/>
  <c r="H1302" i="4"/>
  <c r="I1302" i="4"/>
  <c r="A1303" i="4"/>
  <c r="B1303" i="4"/>
  <c r="D1303" i="4"/>
  <c r="E1303" i="4"/>
  <c r="F1303" i="4"/>
  <c r="G1303" i="4"/>
  <c r="H1303" i="4"/>
  <c r="I1303" i="4"/>
  <c r="A1304" i="4"/>
  <c r="B1304" i="4"/>
  <c r="D1304" i="4"/>
  <c r="E1304" i="4"/>
  <c r="F1304" i="4"/>
  <c r="G1304" i="4"/>
  <c r="H1304" i="4"/>
  <c r="I1304" i="4"/>
  <c r="A1305" i="4"/>
  <c r="B1305" i="4"/>
  <c r="D1305" i="4"/>
  <c r="E1305" i="4"/>
  <c r="F1305" i="4"/>
  <c r="G1305" i="4"/>
  <c r="H1305" i="4"/>
  <c r="I1305" i="4"/>
  <c r="A1306" i="4"/>
  <c r="B1306" i="4"/>
  <c r="D1306" i="4"/>
  <c r="E1306" i="4"/>
  <c r="F1306" i="4"/>
  <c r="G1306" i="4"/>
  <c r="H1306" i="4"/>
  <c r="I1306" i="4"/>
  <c r="A1307" i="4"/>
  <c r="B1307" i="4"/>
  <c r="D1307" i="4"/>
  <c r="E1307" i="4"/>
  <c r="F1307" i="4"/>
  <c r="G1307" i="4"/>
  <c r="H1307" i="4"/>
  <c r="I1307" i="4"/>
  <c r="A1308" i="4"/>
  <c r="B1308" i="4"/>
  <c r="D1308" i="4"/>
  <c r="E1308" i="4"/>
  <c r="F1308" i="4"/>
  <c r="G1308" i="4"/>
  <c r="H1308" i="4"/>
  <c r="I1308" i="4"/>
  <c r="A1309" i="4"/>
  <c r="B1309" i="4"/>
  <c r="D1309" i="4"/>
  <c r="E1309" i="4"/>
  <c r="F1309" i="4"/>
  <c r="G1309" i="4"/>
  <c r="H1309" i="4"/>
  <c r="I1309" i="4"/>
  <c r="A1310" i="4"/>
  <c r="B1310" i="4"/>
  <c r="D1310" i="4"/>
  <c r="E1310" i="4"/>
  <c r="F1310" i="4"/>
  <c r="G1310" i="4"/>
  <c r="H1310" i="4"/>
  <c r="I1310" i="4"/>
  <c r="A1311" i="4"/>
  <c r="B1311" i="4"/>
  <c r="D1311" i="4"/>
  <c r="E1311" i="4"/>
  <c r="F1311" i="4"/>
  <c r="G1311" i="4"/>
  <c r="H1311" i="4"/>
  <c r="I1311" i="4"/>
  <c r="A1312" i="4"/>
  <c r="B1312" i="4"/>
  <c r="D1312" i="4"/>
  <c r="E1312" i="4"/>
  <c r="F1312" i="4"/>
  <c r="G1312" i="4"/>
  <c r="H1312" i="4"/>
  <c r="I1312" i="4"/>
  <c r="A1313" i="4"/>
  <c r="B1313" i="4"/>
  <c r="D1313" i="4"/>
  <c r="E1313" i="4"/>
  <c r="F1313" i="4"/>
  <c r="G1313" i="4"/>
  <c r="H1313" i="4"/>
  <c r="I1313" i="4"/>
  <c r="A1314" i="4"/>
  <c r="B1314" i="4"/>
  <c r="D1314" i="4"/>
  <c r="E1314" i="4"/>
  <c r="F1314" i="4"/>
  <c r="G1314" i="4"/>
  <c r="H1314" i="4"/>
  <c r="I1314" i="4"/>
  <c r="A1315" i="4"/>
  <c r="B1315" i="4"/>
  <c r="D1315" i="4"/>
  <c r="E1315" i="4"/>
  <c r="F1315" i="4"/>
  <c r="G1315" i="4"/>
  <c r="H1315" i="4"/>
  <c r="I1315" i="4"/>
  <c r="A1316" i="4"/>
  <c r="B1316" i="4"/>
  <c r="D1316" i="4"/>
  <c r="E1316" i="4"/>
  <c r="F1316" i="4"/>
  <c r="G1316" i="4"/>
  <c r="H1316" i="4"/>
  <c r="I1316" i="4"/>
  <c r="A1317" i="4"/>
  <c r="B1317" i="4"/>
  <c r="D1317" i="4"/>
  <c r="E1317" i="4"/>
  <c r="F1317" i="4"/>
  <c r="G1317" i="4"/>
  <c r="H1317" i="4"/>
  <c r="I1317" i="4"/>
  <c r="A1318" i="4"/>
  <c r="B1318" i="4"/>
  <c r="D1318" i="4"/>
  <c r="E1318" i="4"/>
  <c r="F1318" i="4"/>
  <c r="G1318" i="4"/>
  <c r="H1318" i="4"/>
  <c r="I1318" i="4"/>
  <c r="A1319" i="4"/>
  <c r="B1319" i="4"/>
  <c r="D1319" i="4"/>
  <c r="E1319" i="4"/>
  <c r="F1319" i="4"/>
  <c r="G1319" i="4"/>
  <c r="H1319" i="4"/>
  <c r="I1319" i="4"/>
  <c r="A1320" i="4"/>
  <c r="B1320" i="4"/>
  <c r="D1320" i="4"/>
  <c r="E1320" i="4"/>
  <c r="F1320" i="4"/>
  <c r="G1320" i="4"/>
  <c r="H1320" i="4"/>
  <c r="I1320" i="4"/>
  <c r="A1321" i="4"/>
  <c r="B1321" i="4"/>
  <c r="D1321" i="4"/>
  <c r="E1321" i="4"/>
  <c r="F1321" i="4"/>
  <c r="G1321" i="4"/>
  <c r="H1321" i="4"/>
  <c r="I1321" i="4"/>
  <c r="A1322" i="4"/>
  <c r="B1322" i="4"/>
  <c r="D1322" i="4"/>
  <c r="E1322" i="4"/>
  <c r="F1322" i="4"/>
  <c r="G1322" i="4"/>
  <c r="H1322" i="4"/>
  <c r="I1322" i="4"/>
  <c r="A1323" i="4"/>
  <c r="B1323" i="4"/>
  <c r="D1323" i="4"/>
  <c r="E1323" i="4"/>
  <c r="F1323" i="4"/>
  <c r="G1323" i="4"/>
  <c r="H1323" i="4"/>
  <c r="I1323" i="4"/>
  <c r="A1324" i="4"/>
  <c r="B1324" i="4"/>
  <c r="D1324" i="4"/>
  <c r="E1324" i="4"/>
  <c r="F1324" i="4"/>
  <c r="G1324" i="4"/>
  <c r="H1324" i="4"/>
  <c r="I1324" i="4"/>
  <c r="A1325" i="4"/>
  <c r="B1325" i="4"/>
  <c r="D1325" i="4"/>
  <c r="E1325" i="4"/>
  <c r="F1325" i="4"/>
  <c r="G1325" i="4"/>
  <c r="H1325" i="4"/>
  <c r="I1325" i="4"/>
  <c r="A1326" i="4"/>
  <c r="B1326" i="4"/>
  <c r="D1326" i="4"/>
  <c r="E1326" i="4"/>
  <c r="F1326" i="4"/>
  <c r="G1326" i="4"/>
  <c r="H1326" i="4"/>
  <c r="I1326" i="4"/>
  <c r="A1327" i="4"/>
  <c r="B1327" i="4"/>
  <c r="D1327" i="4"/>
  <c r="E1327" i="4"/>
  <c r="F1327" i="4"/>
  <c r="G1327" i="4"/>
  <c r="H1327" i="4"/>
  <c r="I1327" i="4"/>
  <c r="A1328" i="4"/>
  <c r="B1328" i="4"/>
  <c r="D1328" i="4"/>
  <c r="E1328" i="4"/>
  <c r="F1328" i="4"/>
  <c r="G1328" i="4"/>
  <c r="H1328" i="4"/>
  <c r="I1328" i="4"/>
  <c r="A1329" i="4"/>
  <c r="B1329" i="4"/>
  <c r="D1329" i="4"/>
  <c r="E1329" i="4"/>
  <c r="F1329" i="4"/>
  <c r="G1329" i="4"/>
  <c r="H1329" i="4"/>
  <c r="I1329" i="4"/>
  <c r="A1330" i="4"/>
  <c r="B1330" i="4"/>
  <c r="D1330" i="4"/>
  <c r="E1330" i="4"/>
  <c r="F1330" i="4"/>
  <c r="G1330" i="4"/>
  <c r="H1330" i="4"/>
  <c r="I1330" i="4"/>
  <c r="A1331" i="4"/>
  <c r="B1331" i="4"/>
  <c r="D1331" i="4"/>
  <c r="E1331" i="4"/>
  <c r="F1331" i="4"/>
  <c r="G1331" i="4"/>
  <c r="H1331" i="4"/>
  <c r="I1331" i="4"/>
  <c r="A1332" i="4"/>
  <c r="B1332" i="4"/>
  <c r="D1332" i="4"/>
  <c r="E1332" i="4"/>
  <c r="F1332" i="4"/>
  <c r="G1332" i="4"/>
  <c r="H1332" i="4"/>
  <c r="I1332" i="4"/>
  <c r="A1333" i="4"/>
  <c r="B1333" i="4"/>
  <c r="D1333" i="4"/>
  <c r="E1333" i="4"/>
  <c r="F1333" i="4"/>
  <c r="G1333" i="4"/>
  <c r="H1333" i="4"/>
  <c r="I1333" i="4"/>
  <c r="A1334" i="4"/>
  <c r="B1334" i="4"/>
  <c r="D1334" i="4"/>
  <c r="E1334" i="4"/>
  <c r="F1334" i="4"/>
  <c r="G1334" i="4"/>
  <c r="H1334" i="4"/>
  <c r="I1334" i="4"/>
  <c r="A1335" i="4"/>
  <c r="B1335" i="4"/>
  <c r="D1335" i="4"/>
  <c r="E1335" i="4"/>
  <c r="F1335" i="4"/>
  <c r="G1335" i="4"/>
  <c r="H1335" i="4"/>
  <c r="I1335" i="4"/>
  <c r="A1336" i="4"/>
  <c r="B1336" i="4"/>
  <c r="D1336" i="4"/>
  <c r="E1336" i="4"/>
  <c r="F1336" i="4"/>
  <c r="G1336" i="4"/>
  <c r="H1336" i="4"/>
  <c r="I1336" i="4"/>
  <c r="A1337" i="4"/>
  <c r="B1337" i="4"/>
  <c r="D1337" i="4"/>
  <c r="E1337" i="4"/>
  <c r="F1337" i="4"/>
  <c r="G1337" i="4"/>
  <c r="H1337" i="4"/>
  <c r="I1337" i="4"/>
  <c r="A1338" i="4"/>
  <c r="B1338" i="4"/>
  <c r="D1338" i="4"/>
  <c r="E1338" i="4"/>
  <c r="F1338" i="4"/>
  <c r="G1338" i="4"/>
  <c r="H1338" i="4"/>
  <c r="I1338" i="4"/>
  <c r="A1339" i="4"/>
  <c r="B1339" i="4"/>
  <c r="D1339" i="4"/>
  <c r="E1339" i="4"/>
  <c r="F1339" i="4"/>
  <c r="G1339" i="4"/>
  <c r="H1339" i="4"/>
  <c r="I1339" i="4"/>
  <c r="A1340" i="4"/>
  <c r="B1340" i="4"/>
  <c r="D1340" i="4"/>
  <c r="E1340" i="4"/>
  <c r="F1340" i="4"/>
  <c r="G1340" i="4"/>
  <c r="H1340" i="4"/>
  <c r="I1340" i="4"/>
  <c r="A1341" i="4"/>
  <c r="B1341" i="4"/>
  <c r="D1341" i="4"/>
  <c r="E1341" i="4"/>
  <c r="F1341" i="4"/>
  <c r="G1341" i="4"/>
  <c r="H1341" i="4"/>
  <c r="I1341" i="4"/>
  <c r="A1342" i="4"/>
  <c r="B1342" i="4"/>
  <c r="D1342" i="4"/>
  <c r="E1342" i="4"/>
  <c r="F1342" i="4"/>
  <c r="G1342" i="4"/>
  <c r="H1342" i="4"/>
  <c r="I1342" i="4"/>
  <c r="A1343" i="4"/>
  <c r="B1343" i="4"/>
  <c r="D1343" i="4"/>
  <c r="E1343" i="4"/>
  <c r="F1343" i="4"/>
  <c r="G1343" i="4"/>
  <c r="H1343" i="4"/>
  <c r="I1343" i="4"/>
  <c r="A1344" i="4"/>
  <c r="B1344" i="4"/>
  <c r="D1344" i="4"/>
  <c r="E1344" i="4"/>
  <c r="F1344" i="4"/>
  <c r="G1344" i="4"/>
  <c r="H1344" i="4"/>
  <c r="I1344" i="4"/>
  <c r="A1345" i="4"/>
  <c r="B1345" i="4"/>
  <c r="D1345" i="4"/>
  <c r="E1345" i="4"/>
  <c r="F1345" i="4"/>
  <c r="G1345" i="4"/>
  <c r="H1345" i="4"/>
  <c r="I1345" i="4"/>
  <c r="A1346" i="4"/>
  <c r="B1346" i="4"/>
  <c r="D1346" i="4"/>
  <c r="E1346" i="4"/>
  <c r="F1346" i="4"/>
  <c r="G1346" i="4"/>
  <c r="H1346" i="4"/>
  <c r="I1346" i="4"/>
  <c r="A1347" i="4"/>
  <c r="B1347" i="4"/>
  <c r="D1347" i="4"/>
  <c r="E1347" i="4"/>
  <c r="F1347" i="4"/>
  <c r="G1347" i="4"/>
  <c r="H1347" i="4"/>
  <c r="I1347" i="4"/>
  <c r="A1348" i="4"/>
  <c r="B1348" i="4"/>
  <c r="D1348" i="4"/>
  <c r="E1348" i="4"/>
  <c r="F1348" i="4"/>
  <c r="G1348" i="4"/>
  <c r="H1348" i="4"/>
  <c r="I1348" i="4"/>
  <c r="A1349" i="4"/>
  <c r="B1349" i="4"/>
  <c r="D1349" i="4"/>
  <c r="E1349" i="4"/>
  <c r="F1349" i="4"/>
  <c r="G1349" i="4"/>
  <c r="H1349" i="4"/>
  <c r="I1349" i="4"/>
  <c r="A1350" i="4"/>
  <c r="B1350" i="4"/>
  <c r="D1350" i="4"/>
  <c r="E1350" i="4"/>
  <c r="F1350" i="4"/>
  <c r="G1350" i="4"/>
  <c r="H1350" i="4"/>
  <c r="I1350" i="4"/>
  <c r="A1351" i="4"/>
  <c r="B1351" i="4"/>
  <c r="D1351" i="4"/>
  <c r="E1351" i="4"/>
  <c r="F1351" i="4"/>
  <c r="G1351" i="4"/>
  <c r="H1351" i="4"/>
  <c r="I1351" i="4"/>
  <c r="A1352" i="4"/>
  <c r="B1352" i="4"/>
  <c r="D1352" i="4"/>
  <c r="E1352" i="4"/>
  <c r="F1352" i="4"/>
  <c r="G1352" i="4"/>
  <c r="H1352" i="4"/>
  <c r="I1352" i="4"/>
  <c r="A1353" i="4"/>
  <c r="B1353" i="4"/>
  <c r="D1353" i="4"/>
  <c r="E1353" i="4"/>
  <c r="F1353" i="4"/>
  <c r="G1353" i="4"/>
  <c r="H1353" i="4"/>
  <c r="I1353" i="4"/>
  <c r="A1354" i="4"/>
  <c r="B1354" i="4"/>
  <c r="D1354" i="4"/>
  <c r="E1354" i="4"/>
  <c r="F1354" i="4"/>
  <c r="G1354" i="4"/>
  <c r="H1354" i="4"/>
  <c r="I1354" i="4"/>
  <c r="A1355" i="4"/>
  <c r="B1355" i="4"/>
  <c r="D1355" i="4"/>
  <c r="E1355" i="4"/>
  <c r="F1355" i="4"/>
  <c r="G1355" i="4"/>
  <c r="H1355" i="4"/>
  <c r="I1355" i="4"/>
  <c r="A1356" i="4"/>
  <c r="B1356" i="4"/>
  <c r="D1356" i="4"/>
  <c r="E1356" i="4"/>
  <c r="F1356" i="4"/>
  <c r="G1356" i="4"/>
  <c r="H1356" i="4"/>
  <c r="I1356" i="4"/>
  <c r="A1357" i="4"/>
  <c r="B1357" i="4"/>
  <c r="D1357" i="4"/>
  <c r="E1357" i="4"/>
  <c r="F1357" i="4"/>
  <c r="G1357" i="4"/>
  <c r="H1357" i="4"/>
  <c r="I1357" i="4"/>
  <c r="A1358" i="4"/>
  <c r="B1358" i="4"/>
  <c r="D1358" i="4"/>
  <c r="E1358" i="4"/>
  <c r="F1358" i="4"/>
  <c r="G1358" i="4"/>
  <c r="H1358" i="4"/>
  <c r="I1358" i="4"/>
  <c r="A1359" i="4"/>
  <c r="B1359" i="4"/>
  <c r="D1359" i="4"/>
  <c r="E1359" i="4"/>
  <c r="F1359" i="4"/>
  <c r="G1359" i="4"/>
  <c r="H1359" i="4"/>
  <c r="I1359" i="4"/>
  <c r="A1360" i="4"/>
  <c r="B1360" i="4"/>
  <c r="D1360" i="4"/>
  <c r="E1360" i="4"/>
  <c r="F1360" i="4"/>
  <c r="G1360" i="4"/>
  <c r="H1360" i="4"/>
  <c r="I1360" i="4"/>
  <c r="A1361" i="4"/>
  <c r="B1361" i="4"/>
  <c r="D1361" i="4"/>
  <c r="E1361" i="4"/>
  <c r="F1361" i="4"/>
  <c r="G1361" i="4"/>
  <c r="H1361" i="4"/>
  <c r="I1361" i="4"/>
  <c r="A1362" i="4"/>
  <c r="B1362" i="4"/>
  <c r="D1362" i="4"/>
  <c r="E1362" i="4"/>
  <c r="F1362" i="4"/>
  <c r="G1362" i="4"/>
  <c r="H1362" i="4"/>
  <c r="I1362" i="4"/>
  <c r="A1363" i="4"/>
  <c r="B1363" i="4"/>
  <c r="D1363" i="4"/>
  <c r="E1363" i="4"/>
  <c r="F1363" i="4"/>
  <c r="G1363" i="4"/>
  <c r="H1363" i="4"/>
  <c r="I1363" i="4"/>
  <c r="A1364" i="4"/>
  <c r="B1364" i="4"/>
  <c r="D1364" i="4"/>
  <c r="E1364" i="4"/>
  <c r="F1364" i="4"/>
  <c r="G1364" i="4"/>
  <c r="H1364" i="4"/>
  <c r="I1364" i="4"/>
  <c r="A1365" i="4"/>
  <c r="B1365" i="4"/>
  <c r="D1365" i="4"/>
  <c r="E1365" i="4"/>
  <c r="F1365" i="4"/>
  <c r="G1365" i="4"/>
  <c r="H1365" i="4"/>
  <c r="I1365" i="4"/>
  <c r="A1366" i="4"/>
  <c r="B1366" i="4"/>
  <c r="D1366" i="4"/>
  <c r="E1366" i="4"/>
  <c r="F1366" i="4"/>
  <c r="G1366" i="4"/>
  <c r="H1366" i="4"/>
  <c r="I1366" i="4"/>
  <c r="A1367" i="4"/>
  <c r="B1367" i="4"/>
  <c r="D1367" i="4"/>
  <c r="E1367" i="4"/>
  <c r="F1367" i="4"/>
  <c r="G1367" i="4"/>
  <c r="H1367" i="4"/>
  <c r="I1367" i="4"/>
  <c r="A1368" i="4"/>
  <c r="B1368" i="4"/>
  <c r="D1368" i="4"/>
  <c r="E1368" i="4"/>
  <c r="F1368" i="4"/>
  <c r="G1368" i="4"/>
  <c r="H1368" i="4"/>
  <c r="I1368" i="4"/>
  <c r="A1369" i="4"/>
  <c r="B1369" i="4"/>
  <c r="D1369" i="4"/>
  <c r="E1369" i="4"/>
  <c r="F1369" i="4"/>
  <c r="G1369" i="4"/>
  <c r="H1369" i="4"/>
  <c r="I1369" i="4"/>
  <c r="A1370" i="4"/>
  <c r="B1370" i="4"/>
  <c r="D1370" i="4"/>
  <c r="E1370" i="4"/>
  <c r="F1370" i="4"/>
  <c r="G1370" i="4"/>
  <c r="H1370" i="4"/>
  <c r="I1370" i="4"/>
  <c r="A1371" i="4"/>
  <c r="B1371" i="4"/>
  <c r="D1371" i="4"/>
  <c r="E1371" i="4"/>
  <c r="F1371" i="4"/>
  <c r="G1371" i="4"/>
  <c r="H1371" i="4"/>
  <c r="I1371" i="4"/>
  <c r="A1372" i="4"/>
  <c r="B1372" i="4"/>
  <c r="D1372" i="4"/>
  <c r="E1372" i="4"/>
  <c r="F1372" i="4"/>
  <c r="G1372" i="4"/>
  <c r="H1372" i="4"/>
  <c r="I1372" i="4"/>
  <c r="A1373" i="4"/>
  <c r="B1373" i="4"/>
  <c r="D1373" i="4"/>
  <c r="E1373" i="4"/>
  <c r="F1373" i="4"/>
  <c r="G1373" i="4"/>
  <c r="H1373" i="4"/>
  <c r="I1373" i="4"/>
  <c r="A1374" i="4"/>
  <c r="B1374" i="4"/>
  <c r="D1374" i="4"/>
  <c r="E1374" i="4"/>
  <c r="F1374" i="4"/>
  <c r="G1374" i="4"/>
  <c r="H1374" i="4"/>
  <c r="I1374" i="4"/>
  <c r="A1375" i="4"/>
  <c r="B1375" i="4"/>
  <c r="D1375" i="4"/>
  <c r="E1375" i="4"/>
  <c r="F1375" i="4"/>
  <c r="G1375" i="4"/>
  <c r="H1375" i="4"/>
  <c r="I1375" i="4"/>
  <c r="A1376" i="4"/>
  <c r="B1376" i="4"/>
  <c r="D1376" i="4"/>
  <c r="E1376" i="4"/>
  <c r="F1376" i="4"/>
  <c r="G1376" i="4"/>
  <c r="H1376" i="4"/>
  <c r="I1376" i="4"/>
  <c r="A1377" i="4"/>
  <c r="B1377" i="4"/>
  <c r="D1377" i="4"/>
  <c r="E1377" i="4"/>
  <c r="F1377" i="4"/>
  <c r="G1377" i="4"/>
  <c r="H1377" i="4"/>
  <c r="I1377" i="4"/>
  <c r="A1378" i="4"/>
  <c r="B1378" i="4"/>
  <c r="D1378" i="4"/>
  <c r="E1378" i="4"/>
  <c r="F1378" i="4"/>
  <c r="G1378" i="4"/>
  <c r="H1378" i="4"/>
  <c r="I1378" i="4"/>
  <c r="A1379" i="4"/>
  <c r="B1379" i="4"/>
  <c r="D1379" i="4"/>
  <c r="E1379" i="4"/>
  <c r="F1379" i="4"/>
  <c r="G1379" i="4"/>
  <c r="H1379" i="4"/>
  <c r="I1379" i="4"/>
  <c r="A1380" i="4"/>
  <c r="B1380" i="4"/>
  <c r="D1380" i="4"/>
  <c r="E1380" i="4"/>
  <c r="F1380" i="4"/>
  <c r="G1380" i="4"/>
  <c r="H1380" i="4"/>
  <c r="I1380" i="4"/>
  <c r="A1381" i="4"/>
  <c r="B1381" i="4"/>
  <c r="D1381" i="4"/>
  <c r="E1381" i="4"/>
  <c r="F1381" i="4"/>
  <c r="G1381" i="4"/>
  <c r="H1381" i="4"/>
  <c r="I1381" i="4"/>
  <c r="A1382" i="4"/>
  <c r="B1382" i="4"/>
  <c r="D1382" i="4"/>
  <c r="E1382" i="4"/>
  <c r="F1382" i="4"/>
  <c r="G1382" i="4"/>
  <c r="H1382" i="4"/>
  <c r="I1382" i="4"/>
  <c r="A1383" i="4"/>
  <c r="B1383" i="4"/>
  <c r="D1383" i="4"/>
  <c r="E1383" i="4"/>
  <c r="F1383" i="4"/>
  <c r="G1383" i="4"/>
  <c r="H1383" i="4"/>
  <c r="I1383" i="4"/>
  <c r="A1384" i="4"/>
  <c r="B1384" i="4"/>
  <c r="D1384" i="4"/>
  <c r="E1384" i="4"/>
  <c r="F1384" i="4"/>
  <c r="G1384" i="4"/>
  <c r="H1384" i="4"/>
  <c r="I1384" i="4"/>
  <c r="A1385" i="4"/>
  <c r="B1385" i="4"/>
  <c r="D1385" i="4"/>
  <c r="E1385" i="4"/>
  <c r="F1385" i="4"/>
  <c r="G1385" i="4"/>
  <c r="H1385" i="4"/>
  <c r="I1385" i="4"/>
  <c r="A1386" i="4"/>
  <c r="B1386" i="4"/>
  <c r="D1386" i="4"/>
  <c r="E1386" i="4"/>
  <c r="F1386" i="4"/>
  <c r="G1386" i="4"/>
  <c r="H1386" i="4"/>
  <c r="I1386" i="4"/>
  <c r="A1387" i="4"/>
  <c r="B1387" i="4"/>
  <c r="D1387" i="4"/>
  <c r="E1387" i="4"/>
  <c r="F1387" i="4"/>
  <c r="G1387" i="4"/>
  <c r="H1387" i="4"/>
  <c r="I1387" i="4"/>
  <c r="A1388" i="4"/>
  <c r="B1388" i="4"/>
  <c r="D1388" i="4"/>
  <c r="E1388" i="4"/>
  <c r="F1388" i="4"/>
  <c r="G1388" i="4"/>
  <c r="H1388" i="4"/>
  <c r="I1388" i="4"/>
  <c r="A1389" i="4"/>
  <c r="B1389" i="4"/>
  <c r="D1389" i="4"/>
  <c r="E1389" i="4"/>
  <c r="F1389" i="4"/>
  <c r="G1389" i="4"/>
  <c r="H1389" i="4"/>
  <c r="I1389" i="4"/>
  <c r="A1390" i="4"/>
  <c r="B1390" i="4"/>
  <c r="D1390" i="4"/>
  <c r="E1390" i="4"/>
  <c r="F1390" i="4"/>
  <c r="G1390" i="4"/>
  <c r="H1390" i="4"/>
  <c r="I1390" i="4"/>
  <c r="A1391" i="4"/>
  <c r="B1391" i="4"/>
  <c r="D1391" i="4"/>
  <c r="E1391" i="4"/>
  <c r="F1391" i="4"/>
  <c r="G1391" i="4"/>
  <c r="H1391" i="4"/>
  <c r="I1391" i="4"/>
  <c r="A1392" i="4"/>
  <c r="B1392" i="4"/>
  <c r="D1392" i="4"/>
  <c r="E1392" i="4"/>
  <c r="F1392" i="4"/>
  <c r="G1392" i="4"/>
  <c r="H1392" i="4"/>
  <c r="I1392" i="4"/>
  <c r="A1393" i="4"/>
  <c r="B1393" i="4"/>
  <c r="D1393" i="4"/>
  <c r="E1393" i="4"/>
  <c r="F1393" i="4"/>
  <c r="G1393" i="4"/>
  <c r="H1393" i="4"/>
  <c r="I1393" i="4"/>
  <c r="A1394" i="4"/>
  <c r="B1394" i="4"/>
  <c r="D1394" i="4"/>
  <c r="E1394" i="4"/>
  <c r="F1394" i="4"/>
  <c r="G1394" i="4"/>
  <c r="H1394" i="4"/>
  <c r="I1394" i="4"/>
  <c r="A1395" i="4"/>
  <c r="B1395" i="4"/>
  <c r="D1395" i="4"/>
  <c r="E1395" i="4"/>
  <c r="F1395" i="4"/>
  <c r="G1395" i="4"/>
  <c r="H1395" i="4"/>
  <c r="I1395" i="4"/>
  <c r="A1396" i="4"/>
  <c r="B1396" i="4"/>
  <c r="D1396" i="4"/>
  <c r="E1396" i="4"/>
  <c r="F1396" i="4"/>
  <c r="G1396" i="4"/>
  <c r="H1396" i="4"/>
  <c r="I1396" i="4"/>
  <c r="A1397" i="4"/>
  <c r="B1397" i="4"/>
  <c r="D1397" i="4"/>
  <c r="E1397" i="4"/>
  <c r="F1397" i="4"/>
  <c r="G1397" i="4"/>
  <c r="H1397" i="4"/>
  <c r="I1397" i="4"/>
  <c r="A1398" i="4"/>
  <c r="B1398" i="4"/>
  <c r="D1398" i="4"/>
  <c r="E1398" i="4"/>
  <c r="F1398" i="4"/>
  <c r="G1398" i="4"/>
  <c r="H1398" i="4"/>
  <c r="I1398" i="4"/>
  <c r="A1399" i="4"/>
  <c r="B1399" i="4"/>
  <c r="D1399" i="4"/>
  <c r="E1399" i="4"/>
  <c r="F1399" i="4"/>
  <c r="G1399" i="4"/>
  <c r="H1399" i="4"/>
  <c r="I1399" i="4"/>
  <c r="A1400" i="4"/>
  <c r="B1400" i="4"/>
  <c r="D1400" i="4"/>
  <c r="E1400" i="4"/>
  <c r="F1400" i="4"/>
  <c r="G1400" i="4"/>
  <c r="H1400" i="4"/>
  <c r="I1400" i="4"/>
  <c r="A1401" i="4"/>
  <c r="B1401" i="4"/>
  <c r="D1401" i="4"/>
  <c r="E1401" i="4"/>
  <c r="F1401" i="4"/>
  <c r="G1401" i="4"/>
  <c r="H1401" i="4"/>
  <c r="I1401" i="4"/>
  <c r="A1402" i="4"/>
  <c r="B1402" i="4"/>
  <c r="D1402" i="4"/>
  <c r="E1402" i="4"/>
  <c r="F1402" i="4"/>
  <c r="G1402" i="4"/>
  <c r="H1402" i="4"/>
  <c r="I1402" i="4"/>
  <c r="A1403" i="4"/>
  <c r="B1403" i="4"/>
  <c r="D1403" i="4"/>
  <c r="E1403" i="4"/>
  <c r="F1403" i="4"/>
  <c r="G1403" i="4"/>
  <c r="H1403" i="4"/>
  <c r="I1403" i="4"/>
  <c r="A1404" i="4"/>
  <c r="B1404" i="4"/>
  <c r="D1404" i="4"/>
  <c r="E1404" i="4"/>
  <c r="F1404" i="4"/>
  <c r="G1404" i="4"/>
  <c r="H1404" i="4"/>
  <c r="I1404" i="4"/>
  <c r="A1405" i="4"/>
  <c r="B1405" i="4"/>
  <c r="D1405" i="4"/>
  <c r="E1405" i="4"/>
  <c r="F1405" i="4"/>
  <c r="G1405" i="4"/>
  <c r="H1405" i="4"/>
  <c r="I1405" i="4"/>
  <c r="A1406" i="4"/>
  <c r="B1406" i="4"/>
  <c r="D1406" i="4"/>
  <c r="E1406" i="4"/>
  <c r="F1406" i="4"/>
  <c r="G1406" i="4"/>
  <c r="H1406" i="4"/>
  <c r="I1406" i="4"/>
  <c r="A1407" i="4"/>
  <c r="B1407" i="4"/>
  <c r="D1407" i="4"/>
  <c r="E1407" i="4"/>
  <c r="F1407" i="4"/>
  <c r="G1407" i="4"/>
  <c r="H1407" i="4"/>
  <c r="I1407" i="4"/>
  <c r="A1408" i="4"/>
  <c r="B1408" i="4"/>
  <c r="D1408" i="4"/>
  <c r="E1408" i="4"/>
  <c r="F1408" i="4"/>
  <c r="G1408" i="4"/>
  <c r="H1408" i="4"/>
  <c r="I1408" i="4"/>
  <c r="A1409" i="4"/>
  <c r="B1409" i="4"/>
  <c r="D1409" i="4"/>
  <c r="E1409" i="4"/>
  <c r="F1409" i="4"/>
  <c r="G1409" i="4"/>
  <c r="H1409" i="4"/>
  <c r="I1409" i="4"/>
  <c r="A1410" i="4"/>
  <c r="B1410" i="4"/>
  <c r="D1410" i="4"/>
  <c r="E1410" i="4"/>
  <c r="F1410" i="4"/>
  <c r="G1410" i="4"/>
  <c r="H1410" i="4"/>
  <c r="I1410" i="4"/>
  <c r="A1411" i="4"/>
  <c r="B1411" i="4"/>
  <c r="D1411" i="4"/>
  <c r="E1411" i="4"/>
  <c r="F1411" i="4"/>
  <c r="G1411" i="4"/>
  <c r="H1411" i="4"/>
  <c r="I1411" i="4"/>
  <c r="A1412" i="4"/>
  <c r="B1412" i="4"/>
  <c r="D1412" i="4"/>
  <c r="E1412" i="4"/>
  <c r="F1412" i="4"/>
  <c r="G1412" i="4"/>
  <c r="H1412" i="4"/>
  <c r="I1412" i="4"/>
  <c r="A1413" i="4"/>
  <c r="B1413" i="4"/>
  <c r="D1413" i="4"/>
  <c r="E1413" i="4"/>
  <c r="F1413" i="4"/>
  <c r="G1413" i="4"/>
  <c r="H1413" i="4"/>
  <c r="I1413" i="4"/>
  <c r="A1414" i="4"/>
  <c r="B1414" i="4"/>
  <c r="D1414" i="4"/>
  <c r="E1414" i="4"/>
  <c r="F1414" i="4"/>
  <c r="G1414" i="4"/>
  <c r="H1414" i="4"/>
  <c r="I1414" i="4"/>
  <c r="A1415" i="4"/>
  <c r="B1415" i="4"/>
  <c r="D1415" i="4"/>
  <c r="E1415" i="4"/>
  <c r="F1415" i="4"/>
  <c r="G1415" i="4"/>
  <c r="H1415" i="4"/>
  <c r="I1415" i="4"/>
  <c r="A1416" i="4"/>
  <c r="B1416" i="4"/>
  <c r="D1416" i="4"/>
  <c r="E1416" i="4"/>
  <c r="F1416" i="4"/>
  <c r="G1416" i="4"/>
  <c r="H1416" i="4"/>
  <c r="I1416" i="4"/>
  <c r="A1417" i="4"/>
  <c r="B1417" i="4"/>
  <c r="D1417" i="4"/>
  <c r="E1417" i="4"/>
  <c r="F1417" i="4"/>
  <c r="G1417" i="4"/>
  <c r="H1417" i="4"/>
  <c r="I1417" i="4"/>
  <c r="A1418" i="4"/>
  <c r="B1418" i="4"/>
  <c r="D1418" i="4"/>
  <c r="E1418" i="4"/>
  <c r="F1418" i="4"/>
  <c r="G1418" i="4"/>
  <c r="H1418" i="4"/>
  <c r="I1418" i="4"/>
  <c r="A1419" i="4"/>
  <c r="B1419" i="4"/>
  <c r="D1419" i="4"/>
  <c r="E1419" i="4"/>
  <c r="F1419" i="4"/>
  <c r="G1419" i="4"/>
  <c r="H1419" i="4"/>
  <c r="I1419" i="4"/>
  <c r="A1420" i="4"/>
  <c r="B1420" i="4"/>
  <c r="D1420" i="4"/>
  <c r="E1420" i="4"/>
  <c r="F1420" i="4"/>
  <c r="G1420" i="4"/>
  <c r="H1420" i="4"/>
  <c r="I1420" i="4"/>
  <c r="A1421" i="4"/>
  <c r="B1421" i="4"/>
  <c r="D1421" i="4"/>
  <c r="E1421" i="4"/>
  <c r="F1421" i="4"/>
  <c r="G1421" i="4"/>
  <c r="H1421" i="4"/>
  <c r="I1421" i="4"/>
  <c r="A1422" i="4"/>
  <c r="B1422" i="4"/>
  <c r="D1422" i="4"/>
  <c r="E1422" i="4"/>
  <c r="F1422" i="4"/>
  <c r="G1422" i="4"/>
  <c r="H1422" i="4"/>
  <c r="I1422" i="4"/>
  <c r="A1423" i="4"/>
  <c r="B1423" i="4"/>
  <c r="D1423" i="4"/>
  <c r="E1423" i="4"/>
  <c r="F1423" i="4"/>
  <c r="G1423" i="4"/>
  <c r="H1423" i="4"/>
  <c r="I1423" i="4"/>
  <c r="A1424" i="4"/>
  <c r="B1424" i="4"/>
  <c r="D1424" i="4"/>
  <c r="E1424" i="4"/>
  <c r="F1424" i="4"/>
  <c r="G1424" i="4"/>
  <c r="H1424" i="4"/>
  <c r="I1424" i="4"/>
  <c r="A1425" i="4"/>
  <c r="B1425" i="4"/>
  <c r="D1425" i="4"/>
  <c r="E1425" i="4"/>
  <c r="F1425" i="4"/>
  <c r="G1425" i="4"/>
  <c r="H1425" i="4"/>
  <c r="I1425" i="4"/>
  <c r="A1426" i="4"/>
  <c r="B1426" i="4"/>
  <c r="D1426" i="4"/>
  <c r="E1426" i="4"/>
  <c r="F1426" i="4"/>
  <c r="G1426" i="4"/>
  <c r="H1426" i="4"/>
  <c r="I1426" i="4"/>
  <c r="A1427" i="4"/>
  <c r="B1427" i="4"/>
  <c r="D1427" i="4"/>
  <c r="E1427" i="4"/>
  <c r="F1427" i="4"/>
  <c r="G1427" i="4"/>
  <c r="H1427" i="4"/>
  <c r="I1427" i="4"/>
  <c r="A1428" i="4"/>
  <c r="B1428" i="4"/>
  <c r="D1428" i="4"/>
  <c r="E1428" i="4"/>
  <c r="F1428" i="4"/>
  <c r="G1428" i="4"/>
  <c r="H1428" i="4"/>
  <c r="I1428" i="4"/>
  <c r="A1429" i="4"/>
  <c r="B1429" i="4"/>
  <c r="D1429" i="4"/>
  <c r="E1429" i="4"/>
  <c r="F1429" i="4"/>
  <c r="G1429" i="4"/>
  <c r="H1429" i="4"/>
  <c r="I1429" i="4"/>
  <c r="A1430" i="4"/>
  <c r="B1430" i="4"/>
  <c r="D1430" i="4"/>
  <c r="E1430" i="4"/>
  <c r="F1430" i="4"/>
  <c r="G1430" i="4"/>
  <c r="H1430" i="4"/>
  <c r="I1430" i="4"/>
  <c r="A1431" i="4"/>
  <c r="B1431" i="4"/>
  <c r="D1431" i="4"/>
  <c r="E1431" i="4"/>
  <c r="F1431" i="4"/>
  <c r="G1431" i="4"/>
  <c r="H1431" i="4"/>
  <c r="I1431" i="4"/>
  <c r="A1432" i="4"/>
  <c r="B1432" i="4"/>
  <c r="D1432" i="4"/>
  <c r="E1432" i="4"/>
  <c r="F1432" i="4"/>
  <c r="G1432" i="4"/>
  <c r="H1432" i="4"/>
  <c r="I1432" i="4"/>
  <c r="A1433" i="4"/>
  <c r="B1433" i="4"/>
  <c r="D1433" i="4"/>
  <c r="E1433" i="4"/>
  <c r="F1433" i="4"/>
  <c r="G1433" i="4"/>
  <c r="H1433" i="4"/>
  <c r="I1433" i="4"/>
  <c r="A1434" i="4"/>
  <c r="B1434" i="4"/>
  <c r="D1434" i="4"/>
  <c r="E1434" i="4"/>
  <c r="F1434" i="4"/>
  <c r="G1434" i="4"/>
  <c r="H1434" i="4"/>
  <c r="I1434" i="4"/>
  <c r="A1435" i="4"/>
  <c r="B1435" i="4"/>
  <c r="D1435" i="4"/>
  <c r="E1435" i="4"/>
  <c r="F1435" i="4"/>
  <c r="G1435" i="4"/>
  <c r="H1435" i="4"/>
  <c r="I1435" i="4"/>
  <c r="A1436" i="4"/>
  <c r="B1436" i="4"/>
  <c r="D1436" i="4"/>
  <c r="E1436" i="4"/>
  <c r="F1436" i="4"/>
  <c r="G1436" i="4"/>
  <c r="H1436" i="4"/>
  <c r="I1436" i="4"/>
  <c r="A1437" i="4"/>
  <c r="B1437" i="4"/>
  <c r="D1437" i="4"/>
  <c r="E1437" i="4"/>
  <c r="F1437" i="4"/>
  <c r="G1437" i="4"/>
  <c r="H1437" i="4"/>
  <c r="I1437" i="4"/>
  <c r="A1438" i="4"/>
  <c r="B1438" i="4"/>
  <c r="D1438" i="4"/>
  <c r="E1438" i="4"/>
  <c r="F1438" i="4"/>
  <c r="G1438" i="4"/>
  <c r="H1438" i="4"/>
  <c r="I1438" i="4"/>
  <c r="A1439" i="4"/>
  <c r="B1439" i="4"/>
  <c r="D1439" i="4"/>
  <c r="E1439" i="4"/>
  <c r="F1439" i="4"/>
  <c r="G1439" i="4"/>
  <c r="H1439" i="4"/>
  <c r="I1439" i="4"/>
  <c r="A1440" i="4"/>
  <c r="B1440" i="4"/>
  <c r="D1440" i="4"/>
  <c r="E1440" i="4"/>
  <c r="F1440" i="4"/>
  <c r="G1440" i="4"/>
  <c r="H1440" i="4"/>
  <c r="I1440" i="4"/>
  <c r="A1441" i="4"/>
  <c r="B1441" i="4"/>
  <c r="D1441" i="4"/>
  <c r="E1441" i="4"/>
  <c r="F1441" i="4"/>
  <c r="G1441" i="4"/>
  <c r="H1441" i="4"/>
  <c r="I1441" i="4"/>
  <c r="A1442" i="4"/>
  <c r="B1442" i="4"/>
  <c r="D1442" i="4"/>
  <c r="E1442" i="4"/>
  <c r="F1442" i="4"/>
  <c r="G1442" i="4"/>
  <c r="H1442" i="4"/>
  <c r="I1442" i="4"/>
  <c r="A1443" i="4"/>
  <c r="B1443" i="4"/>
  <c r="D1443" i="4"/>
  <c r="E1443" i="4"/>
  <c r="F1443" i="4"/>
  <c r="G1443" i="4"/>
  <c r="H1443" i="4"/>
  <c r="I1443" i="4"/>
  <c r="A1444" i="4"/>
  <c r="B1444" i="4"/>
  <c r="D1444" i="4"/>
  <c r="E1444" i="4"/>
  <c r="F1444" i="4"/>
  <c r="G1444" i="4"/>
  <c r="H1444" i="4"/>
  <c r="I1444" i="4"/>
  <c r="A1445" i="4"/>
  <c r="B1445" i="4"/>
  <c r="D1445" i="4"/>
  <c r="E1445" i="4"/>
  <c r="F1445" i="4"/>
  <c r="G1445" i="4"/>
  <c r="H1445" i="4"/>
  <c r="I1445" i="4"/>
  <c r="A1446" i="4"/>
  <c r="B1446" i="4"/>
  <c r="D1446" i="4"/>
  <c r="E1446" i="4"/>
  <c r="F1446" i="4"/>
  <c r="G1446" i="4"/>
  <c r="H1446" i="4"/>
  <c r="I1446" i="4"/>
  <c r="A1447" i="4"/>
  <c r="B1447" i="4"/>
  <c r="D1447" i="4"/>
  <c r="E1447" i="4"/>
  <c r="F1447" i="4"/>
  <c r="G1447" i="4"/>
  <c r="H1447" i="4"/>
  <c r="I1447" i="4"/>
  <c r="A1448" i="4"/>
  <c r="B1448" i="4"/>
  <c r="D1448" i="4"/>
  <c r="E1448" i="4"/>
  <c r="F1448" i="4"/>
  <c r="G1448" i="4"/>
  <c r="H1448" i="4"/>
  <c r="I1448" i="4"/>
  <c r="A1449" i="4"/>
  <c r="B1449" i="4"/>
  <c r="D1449" i="4"/>
  <c r="E1449" i="4"/>
  <c r="F1449" i="4"/>
  <c r="G1449" i="4"/>
  <c r="H1449" i="4"/>
  <c r="I1449" i="4"/>
  <c r="A1450" i="4"/>
  <c r="B1450" i="4"/>
  <c r="D1450" i="4"/>
  <c r="E1450" i="4"/>
  <c r="F1450" i="4"/>
  <c r="G1450" i="4"/>
  <c r="H1450" i="4"/>
  <c r="I1450" i="4"/>
  <c r="A1451" i="4"/>
  <c r="B1451" i="4"/>
  <c r="D1451" i="4"/>
  <c r="E1451" i="4"/>
  <c r="F1451" i="4"/>
  <c r="G1451" i="4"/>
  <c r="H1451" i="4"/>
  <c r="I1451" i="4"/>
  <c r="A1452" i="4"/>
  <c r="B1452" i="4"/>
  <c r="D1452" i="4"/>
  <c r="E1452" i="4"/>
  <c r="F1452" i="4"/>
  <c r="G1452" i="4"/>
  <c r="H1452" i="4"/>
  <c r="I1452" i="4"/>
  <c r="A1453" i="4"/>
  <c r="B1453" i="4"/>
  <c r="D1453" i="4"/>
  <c r="E1453" i="4"/>
  <c r="F1453" i="4"/>
  <c r="G1453" i="4"/>
  <c r="H1453" i="4"/>
  <c r="I1453" i="4"/>
  <c r="A1454" i="4"/>
  <c r="B1454" i="4"/>
  <c r="D1454" i="4"/>
  <c r="E1454" i="4"/>
  <c r="F1454" i="4"/>
  <c r="G1454" i="4"/>
  <c r="H1454" i="4"/>
  <c r="I1454" i="4"/>
  <c r="A1455" i="4"/>
  <c r="B1455" i="4"/>
  <c r="D1455" i="4"/>
  <c r="E1455" i="4"/>
  <c r="F1455" i="4"/>
  <c r="G1455" i="4"/>
  <c r="H1455" i="4"/>
  <c r="I1455" i="4"/>
  <c r="A1456" i="4"/>
  <c r="B1456" i="4"/>
  <c r="D1456" i="4"/>
  <c r="E1456" i="4"/>
  <c r="F1456" i="4"/>
  <c r="G1456" i="4"/>
  <c r="H1456" i="4"/>
  <c r="I1456" i="4"/>
  <c r="A1457" i="4"/>
  <c r="B1457" i="4"/>
  <c r="D1457" i="4"/>
  <c r="E1457" i="4"/>
  <c r="F1457" i="4"/>
  <c r="G1457" i="4"/>
  <c r="H1457" i="4"/>
  <c r="I1457" i="4"/>
  <c r="A1458" i="4"/>
  <c r="B1458" i="4"/>
  <c r="D1458" i="4"/>
  <c r="E1458" i="4"/>
  <c r="F1458" i="4"/>
  <c r="G1458" i="4"/>
  <c r="H1458" i="4"/>
  <c r="I1458" i="4"/>
  <c r="A1459" i="4"/>
  <c r="B1459" i="4"/>
  <c r="D1459" i="4"/>
  <c r="E1459" i="4"/>
  <c r="F1459" i="4"/>
  <c r="G1459" i="4"/>
  <c r="H1459" i="4"/>
  <c r="I1459" i="4"/>
  <c r="A1460" i="4"/>
  <c r="B1460" i="4"/>
  <c r="D1460" i="4"/>
  <c r="E1460" i="4"/>
  <c r="F1460" i="4"/>
  <c r="G1460" i="4"/>
  <c r="H1460" i="4"/>
  <c r="I1460" i="4"/>
  <c r="A1461" i="4"/>
  <c r="B1461" i="4"/>
  <c r="D1461" i="4"/>
  <c r="E1461" i="4"/>
  <c r="F1461" i="4"/>
  <c r="G1461" i="4"/>
  <c r="H1461" i="4"/>
  <c r="I1461" i="4"/>
  <c r="A1462" i="4"/>
  <c r="B1462" i="4"/>
  <c r="D1462" i="4"/>
  <c r="E1462" i="4"/>
  <c r="F1462" i="4"/>
  <c r="G1462" i="4"/>
  <c r="H1462" i="4"/>
  <c r="I1462" i="4"/>
  <c r="A1463" i="4"/>
  <c r="B1463" i="4"/>
  <c r="D1463" i="4"/>
  <c r="E1463" i="4"/>
  <c r="F1463" i="4"/>
  <c r="G1463" i="4"/>
  <c r="H1463" i="4"/>
  <c r="I1463" i="4"/>
  <c r="A1464" i="4"/>
  <c r="B1464" i="4"/>
  <c r="D1464" i="4"/>
  <c r="E1464" i="4"/>
  <c r="F1464" i="4"/>
  <c r="G1464" i="4"/>
  <c r="H1464" i="4"/>
  <c r="I1464" i="4"/>
  <c r="A1465" i="4"/>
  <c r="B1465" i="4"/>
  <c r="D1465" i="4"/>
  <c r="E1465" i="4"/>
  <c r="F1465" i="4"/>
  <c r="G1465" i="4"/>
  <c r="H1465" i="4"/>
  <c r="I1465" i="4"/>
  <c r="A1466" i="4"/>
  <c r="B1466" i="4"/>
  <c r="D1466" i="4"/>
  <c r="E1466" i="4"/>
  <c r="F1466" i="4"/>
  <c r="G1466" i="4"/>
  <c r="H1466" i="4"/>
  <c r="I1466" i="4"/>
  <c r="A1467" i="4"/>
  <c r="B1467" i="4"/>
  <c r="D1467" i="4"/>
  <c r="E1467" i="4"/>
  <c r="F1467" i="4"/>
  <c r="G1467" i="4"/>
  <c r="H1467" i="4"/>
  <c r="I1467" i="4"/>
  <c r="A1468" i="4"/>
  <c r="B1468" i="4"/>
  <c r="D1468" i="4"/>
  <c r="E1468" i="4"/>
  <c r="F1468" i="4"/>
  <c r="G1468" i="4"/>
  <c r="H1468" i="4"/>
  <c r="I1468" i="4"/>
  <c r="A1469" i="4"/>
  <c r="B1469" i="4"/>
  <c r="D1469" i="4"/>
  <c r="E1469" i="4"/>
  <c r="F1469" i="4"/>
  <c r="G1469" i="4"/>
  <c r="H1469" i="4"/>
  <c r="I1469" i="4"/>
  <c r="A1470" i="4"/>
  <c r="B1470" i="4"/>
  <c r="D1470" i="4"/>
  <c r="E1470" i="4"/>
  <c r="F1470" i="4"/>
  <c r="G1470" i="4"/>
  <c r="H1470" i="4"/>
  <c r="I1470" i="4"/>
  <c r="A1471" i="4"/>
  <c r="B1471" i="4"/>
  <c r="D1471" i="4"/>
  <c r="E1471" i="4"/>
  <c r="F1471" i="4"/>
  <c r="G1471" i="4"/>
  <c r="H1471" i="4"/>
  <c r="I1471" i="4"/>
  <c r="A1472" i="4"/>
  <c r="B1472" i="4"/>
  <c r="D1472" i="4"/>
  <c r="E1472" i="4"/>
  <c r="F1472" i="4"/>
  <c r="G1472" i="4"/>
  <c r="H1472" i="4"/>
  <c r="I1472" i="4"/>
  <c r="A1473" i="4"/>
  <c r="B1473" i="4"/>
  <c r="D1473" i="4"/>
  <c r="E1473" i="4"/>
  <c r="F1473" i="4"/>
  <c r="G1473" i="4"/>
  <c r="H1473" i="4"/>
  <c r="I1473" i="4"/>
  <c r="A1474" i="4"/>
  <c r="B1474" i="4"/>
  <c r="D1474" i="4"/>
  <c r="E1474" i="4"/>
  <c r="F1474" i="4"/>
  <c r="G1474" i="4"/>
  <c r="H1474" i="4"/>
  <c r="I1474" i="4"/>
  <c r="A1475" i="4"/>
  <c r="B1475" i="4"/>
  <c r="D1475" i="4"/>
  <c r="E1475" i="4"/>
  <c r="F1475" i="4"/>
  <c r="G1475" i="4"/>
  <c r="H1475" i="4"/>
  <c r="I1475" i="4"/>
  <c r="A1476" i="4"/>
  <c r="B1476" i="4"/>
  <c r="D1476" i="4"/>
  <c r="E1476" i="4"/>
  <c r="F1476" i="4"/>
  <c r="G1476" i="4"/>
  <c r="H1476" i="4"/>
  <c r="I1476" i="4"/>
  <c r="A1477" i="4"/>
  <c r="B1477" i="4"/>
  <c r="D1477" i="4"/>
  <c r="E1477" i="4"/>
  <c r="F1477" i="4"/>
  <c r="G1477" i="4"/>
  <c r="H1477" i="4"/>
  <c r="I1477" i="4"/>
  <c r="A1478" i="4"/>
  <c r="B1478" i="4"/>
  <c r="D1478" i="4"/>
  <c r="E1478" i="4"/>
  <c r="F1478" i="4"/>
  <c r="G1478" i="4"/>
  <c r="H1478" i="4"/>
  <c r="I1478" i="4"/>
  <c r="A1479" i="4"/>
  <c r="B1479" i="4"/>
  <c r="D1479" i="4"/>
  <c r="E1479" i="4"/>
  <c r="F1479" i="4"/>
  <c r="G1479" i="4"/>
  <c r="H1479" i="4"/>
  <c r="I1479" i="4"/>
  <c r="A1480" i="4"/>
  <c r="B1480" i="4"/>
  <c r="D1480" i="4"/>
  <c r="E1480" i="4"/>
  <c r="F1480" i="4"/>
  <c r="G1480" i="4"/>
  <c r="H1480" i="4"/>
  <c r="I1480" i="4"/>
  <c r="A1481" i="4"/>
  <c r="B1481" i="4"/>
  <c r="D1481" i="4"/>
  <c r="E1481" i="4"/>
  <c r="F1481" i="4"/>
  <c r="G1481" i="4"/>
  <c r="H1481" i="4"/>
  <c r="I1481" i="4"/>
  <c r="A1482" i="4"/>
  <c r="B1482" i="4"/>
  <c r="D1482" i="4"/>
  <c r="E1482" i="4"/>
  <c r="F1482" i="4"/>
  <c r="G1482" i="4"/>
  <c r="H1482" i="4"/>
  <c r="I1482" i="4"/>
  <c r="A1483" i="4"/>
  <c r="B1483" i="4"/>
  <c r="D1483" i="4"/>
  <c r="E1483" i="4"/>
  <c r="F1483" i="4"/>
  <c r="G1483" i="4"/>
  <c r="H1483" i="4"/>
  <c r="I1483" i="4"/>
  <c r="A1484" i="4"/>
  <c r="B1484" i="4"/>
  <c r="D1484" i="4"/>
  <c r="E1484" i="4"/>
  <c r="F1484" i="4"/>
  <c r="G1484" i="4"/>
  <c r="H1484" i="4"/>
  <c r="I1484" i="4"/>
  <c r="A1485" i="4"/>
  <c r="B1485" i="4"/>
  <c r="D1485" i="4"/>
  <c r="E1485" i="4"/>
  <c r="F1485" i="4"/>
  <c r="G1485" i="4"/>
  <c r="H1485" i="4"/>
  <c r="I1485" i="4"/>
  <c r="A1486" i="4"/>
  <c r="B1486" i="4"/>
  <c r="D1486" i="4"/>
  <c r="E1486" i="4"/>
  <c r="F1486" i="4"/>
  <c r="G1486" i="4"/>
  <c r="H1486" i="4"/>
  <c r="I1486" i="4"/>
  <c r="A1487" i="4"/>
  <c r="B1487" i="4"/>
  <c r="D1487" i="4"/>
  <c r="E1487" i="4"/>
  <c r="F1487" i="4"/>
  <c r="G1487" i="4"/>
  <c r="H1487" i="4"/>
  <c r="I1487" i="4"/>
  <c r="A1488" i="4"/>
  <c r="B1488" i="4"/>
  <c r="D1488" i="4"/>
  <c r="E1488" i="4"/>
  <c r="F1488" i="4"/>
  <c r="G1488" i="4"/>
  <c r="H1488" i="4"/>
  <c r="I1488" i="4"/>
  <c r="A1489" i="4"/>
  <c r="B1489" i="4"/>
  <c r="D1489" i="4"/>
  <c r="E1489" i="4"/>
  <c r="F1489" i="4"/>
  <c r="G1489" i="4"/>
  <c r="H1489" i="4"/>
  <c r="I1489" i="4"/>
  <c r="A1490" i="4"/>
  <c r="B1490" i="4"/>
  <c r="D1490" i="4"/>
  <c r="E1490" i="4"/>
  <c r="F1490" i="4"/>
  <c r="G1490" i="4"/>
  <c r="H1490" i="4"/>
  <c r="I1490" i="4"/>
  <c r="A1491" i="4"/>
  <c r="B1491" i="4"/>
  <c r="D1491" i="4"/>
  <c r="E1491" i="4"/>
  <c r="F1491" i="4"/>
  <c r="G1491" i="4"/>
  <c r="H1491" i="4"/>
  <c r="I1491" i="4"/>
  <c r="A1492" i="4"/>
  <c r="B1492" i="4"/>
  <c r="D1492" i="4"/>
  <c r="E1492" i="4"/>
  <c r="F1492" i="4"/>
  <c r="G1492" i="4"/>
  <c r="H1492" i="4"/>
  <c r="I1492" i="4"/>
  <c r="A1493" i="4"/>
  <c r="B1493" i="4"/>
  <c r="D1493" i="4"/>
  <c r="E1493" i="4"/>
  <c r="F1493" i="4"/>
  <c r="G1493" i="4"/>
  <c r="H1493" i="4"/>
  <c r="I1493" i="4"/>
  <c r="A1494" i="4"/>
  <c r="B1494" i="4"/>
  <c r="D1494" i="4"/>
  <c r="E1494" i="4"/>
  <c r="F1494" i="4"/>
  <c r="G1494" i="4"/>
  <c r="H1494" i="4"/>
  <c r="I1494" i="4"/>
  <c r="A1495" i="4"/>
  <c r="B1495" i="4"/>
  <c r="D1495" i="4"/>
  <c r="E1495" i="4"/>
  <c r="F1495" i="4"/>
  <c r="G1495" i="4"/>
  <c r="H1495" i="4"/>
  <c r="I1495" i="4"/>
  <c r="A1496" i="4"/>
  <c r="B1496" i="4"/>
  <c r="D1496" i="4"/>
  <c r="E1496" i="4"/>
  <c r="F1496" i="4"/>
  <c r="G1496" i="4"/>
  <c r="H1496" i="4"/>
  <c r="I1496" i="4"/>
  <c r="A1497" i="4"/>
  <c r="B1497" i="4"/>
  <c r="D1497" i="4"/>
  <c r="E1497" i="4"/>
  <c r="F1497" i="4"/>
  <c r="G1497" i="4"/>
  <c r="H1497" i="4"/>
  <c r="I1497" i="4"/>
  <c r="A1498" i="4"/>
  <c r="B1498" i="4"/>
  <c r="D1498" i="4"/>
  <c r="E1498" i="4"/>
  <c r="F1498" i="4"/>
  <c r="G1498" i="4"/>
  <c r="H1498" i="4"/>
  <c r="I1498" i="4"/>
  <c r="A1499" i="4"/>
  <c r="B1499" i="4"/>
  <c r="D1499" i="4"/>
  <c r="E1499" i="4"/>
  <c r="F1499" i="4"/>
  <c r="G1499" i="4"/>
  <c r="H1499" i="4"/>
  <c r="I1499" i="4"/>
  <c r="A1500" i="4"/>
  <c r="B1500" i="4"/>
  <c r="D1500" i="4"/>
  <c r="E1500" i="4"/>
  <c r="F1500" i="4"/>
  <c r="G1500" i="4"/>
  <c r="H1500" i="4"/>
  <c r="I1500" i="4"/>
  <c r="A1501" i="4"/>
  <c r="B1501" i="4"/>
  <c r="D1501" i="4"/>
  <c r="E1501" i="4"/>
  <c r="F1501" i="4"/>
  <c r="G1501" i="4"/>
  <c r="H1501" i="4"/>
  <c r="I1501" i="4"/>
  <c r="A1502" i="4"/>
  <c r="B1502" i="4"/>
  <c r="D1502" i="4"/>
  <c r="E1502" i="4"/>
  <c r="F1502" i="4"/>
  <c r="G1502" i="4"/>
  <c r="H1502" i="4"/>
  <c r="I1502" i="4"/>
  <c r="A1503" i="4"/>
  <c r="B1503" i="4"/>
  <c r="D1503" i="4"/>
  <c r="E1503" i="4"/>
  <c r="F1503" i="4"/>
  <c r="G1503" i="4"/>
  <c r="H1503" i="4"/>
  <c r="I1503" i="4"/>
  <c r="A1504" i="4"/>
  <c r="B1504" i="4"/>
  <c r="D1504" i="4"/>
  <c r="E1504" i="4"/>
  <c r="F1504" i="4"/>
  <c r="G1504" i="4"/>
  <c r="H1504" i="4"/>
  <c r="I1504" i="4"/>
  <c r="A1505" i="4"/>
  <c r="B1505" i="4"/>
  <c r="D1505" i="4"/>
  <c r="E1505" i="4"/>
  <c r="F1505" i="4"/>
  <c r="G1505" i="4"/>
  <c r="H1505" i="4"/>
  <c r="I1505" i="4"/>
  <c r="A1506" i="4"/>
  <c r="B1506" i="4"/>
  <c r="D1506" i="4"/>
  <c r="E1506" i="4"/>
  <c r="F1506" i="4"/>
  <c r="G1506" i="4"/>
  <c r="H1506" i="4"/>
  <c r="I1506" i="4"/>
  <c r="A1507" i="4"/>
  <c r="B1507" i="4"/>
  <c r="D1507" i="4"/>
  <c r="E1507" i="4"/>
  <c r="F1507" i="4"/>
  <c r="G1507" i="4"/>
  <c r="H1507" i="4"/>
  <c r="I1507" i="4"/>
  <c r="A1508" i="4"/>
  <c r="B1508" i="4"/>
  <c r="D1508" i="4"/>
  <c r="E1508" i="4"/>
  <c r="F1508" i="4"/>
  <c r="G1508" i="4"/>
  <c r="H1508" i="4"/>
  <c r="I1508" i="4"/>
  <c r="A1509" i="4"/>
  <c r="B1509" i="4"/>
  <c r="D1509" i="4"/>
  <c r="E1509" i="4"/>
  <c r="F1509" i="4"/>
  <c r="G1509" i="4"/>
  <c r="H1509" i="4"/>
  <c r="I1509" i="4"/>
  <c r="A1510" i="4"/>
  <c r="B1510" i="4"/>
  <c r="D1510" i="4"/>
  <c r="E1510" i="4"/>
  <c r="F1510" i="4"/>
  <c r="G1510" i="4"/>
  <c r="H1510" i="4"/>
  <c r="I1510" i="4"/>
  <c r="A1511" i="4"/>
  <c r="B1511" i="4"/>
  <c r="D1511" i="4"/>
  <c r="E1511" i="4"/>
  <c r="F1511" i="4"/>
  <c r="G1511" i="4"/>
  <c r="H1511" i="4"/>
  <c r="I1511" i="4"/>
  <c r="A1512" i="4"/>
  <c r="B1512" i="4"/>
  <c r="D1512" i="4"/>
  <c r="E1512" i="4"/>
  <c r="F1512" i="4"/>
  <c r="G1512" i="4"/>
  <c r="H1512" i="4"/>
  <c r="I1512" i="4"/>
  <c r="A1513" i="4"/>
  <c r="B1513" i="4"/>
  <c r="D1513" i="4"/>
  <c r="E1513" i="4"/>
  <c r="F1513" i="4"/>
  <c r="G1513" i="4"/>
  <c r="H1513" i="4"/>
  <c r="I1513" i="4"/>
  <c r="A1514" i="4"/>
  <c r="B1514" i="4"/>
  <c r="D1514" i="4"/>
  <c r="E1514" i="4"/>
  <c r="F1514" i="4"/>
  <c r="G1514" i="4"/>
  <c r="H1514" i="4"/>
  <c r="I1514" i="4"/>
  <c r="A1515" i="4"/>
  <c r="B1515" i="4"/>
  <c r="D1515" i="4"/>
  <c r="E1515" i="4"/>
  <c r="F1515" i="4"/>
  <c r="G1515" i="4"/>
  <c r="H1515" i="4"/>
  <c r="I1515" i="4"/>
  <c r="A1516" i="4"/>
  <c r="B1516" i="4"/>
  <c r="D1516" i="4"/>
  <c r="E1516" i="4"/>
  <c r="F1516" i="4"/>
  <c r="G1516" i="4"/>
  <c r="H1516" i="4"/>
  <c r="I1516" i="4"/>
  <c r="A1517" i="4"/>
  <c r="B1517" i="4"/>
  <c r="D1517" i="4"/>
  <c r="E1517" i="4"/>
  <c r="F1517" i="4"/>
  <c r="G1517" i="4"/>
  <c r="H1517" i="4"/>
  <c r="I1517" i="4"/>
  <c r="A1518" i="4"/>
  <c r="B1518" i="4"/>
  <c r="D1518" i="4"/>
  <c r="E1518" i="4"/>
  <c r="F1518" i="4"/>
  <c r="G1518" i="4"/>
  <c r="H1518" i="4"/>
  <c r="I1518" i="4"/>
  <c r="A1519" i="4"/>
  <c r="B1519" i="4"/>
  <c r="D1519" i="4"/>
  <c r="E1519" i="4"/>
  <c r="F1519" i="4"/>
  <c r="G1519" i="4"/>
  <c r="H1519" i="4"/>
  <c r="I1519" i="4"/>
  <c r="A1520" i="4"/>
  <c r="B1520" i="4"/>
  <c r="D1520" i="4"/>
  <c r="E1520" i="4"/>
  <c r="F1520" i="4"/>
  <c r="G1520" i="4"/>
  <c r="H1520" i="4"/>
  <c r="I1520" i="4"/>
  <c r="A1521" i="4"/>
  <c r="B1521" i="4"/>
  <c r="D1521" i="4"/>
  <c r="E1521" i="4"/>
  <c r="F1521" i="4"/>
  <c r="G1521" i="4"/>
  <c r="H1521" i="4"/>
  <c r="I1521" i="4"/>
  <c r="A1522" i="4"/>
  <c r="B1522" i="4"/>
  <c r="D1522" i="4"/>
  <c r="E1522" i="4"/>
  <c r="F1522" i="4"/>
  <c r="G1522" i="4"/>
  <c r="H1522" i="4"/>
  <c r="I1522" i="4"/>
  <c r="A1523" i="4"/>
  <c r="B1523" i="4"/>
  <c r="D1523" i="4"/>
  <c r="E1523" i="4"/>
  <c r="F1523" i="4"/>
  <c r="G1523" i="4"/>
  <c r="H1523" i="4"/>
  <c r="I1523" i="4"/>
  <c r="A1524" i="4"/>
  <c r="B1524" i="4"/>
  <c r="D1524" i="4"/>
  <c r="E1524" i="4"/>
  <c r="F1524" i="4"/>
  <c r="G1524" i="4"/>
  <c r="H1524" i="4"/>
  <c r="I1524" i="4"/>
  <c r="A1525" i="4"/>
  <c r="B1525" i="4"/>
  <c r="D1525" i="4"/>
  <c r="E1525" i="4"/>
  <c r="F1525" i="4"/>
  <c r="G1525" i="4"/>
  <c r="H1525" i="4"/>
  <c r="I1525" i="4"/>
  <c r="A1526" i="4"/>
  <c r="B1526" i="4"/>
  <c r="D1526" i="4"/>
  <c r="E1526" i="4"/>
  <c r="F1526" i="4"/>
  <c r="G1526" i="4"/>
  <c r="H1526" i="4"/>
  <c r="I1526" i="4"/>
  <c r="A1527" i="4"/>
  <c r="B1527" i="4"/>
  <c r="D1527" i="4"/>
  <c r="E1527" i="4"/>
  <c r="F1527" i="4"/>
  <c r="G1527" i="4"/>
  <c r="H1527" i="4"/>
  <c r="I1527" i="4"/>
  <c r="A1528" i="4"/>
  <c r="B1528" i="4"/>
  <c r="D1528" i="4"/>
  <c r="E1528" i="4"/>
  <c r="F1528" i="4"/>
  <c r="G1528" i="4"/>
  <c r="H1528" i="4"/>
  <c r="I1528" i="4"/>
  <c r="A1529" i="4"/>
  <c r="B1529" i="4"/>
  <c r="D1529" i="4"/>
  <c r="E1529" i="4"/>
  <c r="F1529" i="4"/>
  <c r="G1529" i="4"/>
  <c r="H1529" i="4"/>
  <c r="I1529" i="4"/>
  <c r="A1530" i="4"/>
  <c r="B1530" i="4"/>
  <c r="D1530" i="4"/>
  <c r="E1530" i="4"/>
  <c r="F1530" i="4"/>
  <c r="G1530" i="4"/>
  <c r="H1530" i="4"/>
  <c r="I1530" i="4"/>
  <c r="A1531" i="4"/>
  <c r="B1531" i="4"/>
  <c r="D1531" i="4"/>
  <c r="E1531" i="4"/>
  <c r="F1531" i="4"/>
  <c r="G1531" i="4"/>
  <c r="H1531" i="4"/>
  <c r="I1531" i="4"/>
  <c r="A1532" i="4"/>
  <c r="B1532" i="4"/>
  <c r="D1532" i="4"/>
  <c r="E1532" i="4"/>
  <c r="F1532" i="4"/>
  <c r="G1532" i="4"/>
  <c r="H1532" i="4"/>
  <c r="I1532" i="4"/>
  <c r="A1533" i="4"/>
  <c r="B1533" i="4"/>
  <c r="D1533" i="4"/>
  <c r="E1533" i="4"/>
  <c r="F1533" i="4"/>
  <c r="G1533" i="4"/>
  <c r="H1533" i="4"/>
  <c r="I1533" i="4"/>
  <c r="A1534" i="4"/>
  <c r="B1534" i="4"/>
  <c r="D1534" i="4"/>
  <c r="E1534" i="4"/>
  <c r="F1534" i="4"/>
  <c r="G1534" i="4"/>
  <c r="H1534" i="4"/>
  <c r="I1534" i="4"/>
  <c r="A1535" i="4"/>
  <c r="B1535" i="4"/>
  <c r="D1535" i="4"/>
  <c r="E1535" i="4"/>
  <c r="F1535" i="4"/>
  <c r="G1535" i="4"/>
  <c r="H1535" i="4"/>
  <c r="I1535" i="4"/>
  <c r="A1536" i="4"/>
  <c r="B1536" i="4"/>
  <c r="D1536" i="4"/>
  <c r="E1536" i="4"/>
  <c r="F1536" i="4"/>
  <c r="G1536" i="4"/>
  <c r="H1536" i="4"/>
  <c r="I1536" i="4"/>
  <c r="A1537" i="4"/>
  <c r="B1537" i="4"/>
  <c r="D1537" i="4"/>
  <c r="E1537" i="4"/>
  <c r="F1537" i="4"/>
  <c r="G1537" i="4"/>
  <c r="H1537" i="4"/>
  <c r="I1537" i="4"/>
  <c r="A1538" i="4"/>
  <c r="B1538" i="4"/>
  <c r="D1538" i="4"/>
  <c r="E1538" i="4"/>
  <c r="F1538" i="4"/>
  <c r="G1538" i="4"/>
  <c r="H1538" i="4"/>
  <c r="I1538" i="4"/>
  <c r="A1539" i="4"/>
  <c r="B1539" i="4"/>
  <c r="D1539" i="4"/>
  <c r="E1539" i="4"/>
  <c r="F1539" i="4"/>
  <c r="G1539" i="4"/>
  <c r="H1539" i="4"/>
  <c r="I1539" i="4"/>
  <c r="A1540" i="4"/>
  <c r="B1540" i="4"/>
  <c r="D1540" i="4"/>
  <c r="E1540" i="4"/>
  <c r="F1540" i="4"/>
  <c r="G1540" i="4"/>
  <c r="H1540" i="4"/>
  <c r="I1540" i="4"/>
  <c r="A1541" i="4"/>
  <c r="B1541" i="4"/>
  <c r="D1541" i="4"/>
  <c r="E1541" i="4"/>
  <c r="F1541" i="4"/>
  <c r="G1541" i="4"/>
  <c r="H1541" i="4"/>
  <c r="I1541" i="4"/>
  <c r="A1542" i="4"/>
  <c r="B1542" i="4"/>
  <c r="D1542" i="4"/>
  <c r="E1542" i="4"/>
  <c r="F1542" i="4"/>
  <c r="G1542" i="4"/>
  <c r="H1542" i="4"/>
  <c r="I1542" i="4"/>
  <c r="A1543" i="4"/>
  <c r="B1543" i="4"/>
  <c r="D1543" i="4"/>
  <c r="E1543" i="4"/>
  <c r="F1543" i="4"/>
  <c r="G1543" i="4"/>
  <c r="H1543" i="4"/>
  <c r="I1543" i="4"/>
  <c r="A1544" i="4"/>
  <c r="B1544" i="4"/>
  <c r="D1544" i="4"/>
  <c r="E1544" i="4"/>
  <c r="F1544" i="4"/>
  <c r="G1544" i="4"/>
  <c r="H1544" i="4"/>
  <c r="I1544" i="4"/>
  <c r="A1545" i="4"/>
  <c r="B1545" i="4"/>
  <c r="D1545" i="4"/>
  <c r="E1545" i="4"/>
  <c r="F1545" i="4"/>
  <c r="G1545" i="4"/>
  <c r="H1545" i="4"/>
  <c r="I1545" i="4"/>
  <c r="A1546" i="4"/>
  <c r="B1546" i="4"/>
  <c r="D1546" i="4"/>
  <c r="E1546" i="4"/>
  <c r="F1546" i="4"/>
  <c r="G1546" i="4"/>
  <c r="H1546" i="4"/>
  <c r="I1546" i="4"/>
  <c r="A1547" i="4"/>
  <c r="B1547" i="4"/>
  <c r="D1547" i="4"/>
  <c r="E1547" i="4"/>
  <c r="F1547" i="4"/>
  <c r="G1547" i="4"/>
  <c r="H1547" i="4"/>
  <c r="I1547" i="4"/>
  <c r="A1548" i="4"/>
  <c r="B1548" i="4"/>
  <c r="D1548" i="4"/>
  <c r="E1548" i="4"/>
  <c r="F1548" i="4"/>
  <c r="G1548" i="4"/>
  <c r="H1548" i="4"/>
  <c r="I1548" i="4"/>
  <c r="A1549" i="4"/>
  <c r="B1549" i="4"/>
  <c r="D1549" i="4"/>
  <c r="E1549" i="4"/>
  <c r="F1549" i="4"/>
  <c r="G1549" i="4"/>
  <c r="H1549" i="4"/>
  <c r="I1549" i="4"/>
  <c r="A1550" i="4"/>
  <c r="B1550" i="4"/>
  <c r="D1550" i="4"/>
  <c r="E1550" i="4"/>
  <c r="F1550" i="4"/>
  <c r="G1550" i="4"/>
  <c r="H1550" i="4"/>
  <c r="I1550" i="4"/>
  <c r="A1551" i="4"/>
  <c r="B1551" i="4"/>
  <c r="D1551" i="4"/>
  <c r="E1551" i="4"/>
  <c r="F1551" i="4"/>
  <c r="G1551" i="4"/>
  <c r="H1551" i="4"/>
  <c r="I1551" i="4"/>
  <c r="A1552" i="4"/>
  <c r="B1552" i="4"/>
  <c r="D1552" i="4"/>
  <c r="E1552" i="4"/>
  <c r="F1552" i="4"/>
  <c r="G1552" i="4"/>
  <c r="H1552" i="4"/>
  <c r="I1552" i="4"/>
  <c r="A1553" i="4"/>
  <c r="B1553" i="4"/>
  <c r="D1553" i="4"/>
  <c r="E1553" i="4"/>
  <c r="F1553" i="4"/>
  <c r="G1553" i="4"/>
  <c r="H1553" i="4"/>
  <c r="I1553" i="4"/>
  <c r="A1554" i="4"/>
  <c r="B1554" i="4"/>
  <c r="D1554" i="4"/>
  <c r="E1554" i="4"/>
  <c r="F1554" i="4"/>
  <c r="G1554" i="4"/>
  <c r="H1554" i="4"/>
  <c r="I1554" i="4"/>
  <c r="A1555" i="4"/>
  <c r="B1555" i="4"/>
  <c r="D1555" i="4"/>
  <c r="E1555" i="4"/>
  <c r="F1555" i="4"/>
  <c r="G1555" i="4"/>
  <c r="H1555" i="4"/>
  <c r="I1555" i="4"/>
  <c r="A1556" i="4"/>
  <c r="B1556" i="4"/>
  <c r="D1556" i="4"/>
  <c r="E1556" i="4"/>
  <c r="F1556" i="4"/>
  <c r="G1556" i="4"/>
  <c r="H1556" i="4"/>
  <c r="I1556" i="4"/>
  <c r="A1557" i="4"/>
  <c r="B1557" i="4"/>
  <c r="D1557" i="4"/>
  <c r="E1557" i="4"/>
  <c r="F1557" i="4"/>
  <c r="G1557" i="4"/>
  <c r="H1557" i="4"/>
  <c r="I1557" i="4"/>
  <c r="A1558" i="4"/>
  <c r="B1558" i="4"/>
  <c r="D1558" i="4"/>
  <c r="E1558" i="4"/>
  <c r="F1558" i="4"/>
  <c r="G1558" i="4"/>
  <c r="H1558" i="4"/>
  <c r="I1558" i="4"/>
  <c r="A1559" i="4"/>
  <c r="B1559" i="4"/>
  <c r="D1559" i="4"/>
  <c r="E1559" i="4"/>
  <c r="F1559" i="4"/>
  <c r="G1559" i="4"/>
  <c r="H1559" i="4"/>
  <c r="I1559" i="4"/>
  <c r="A1560" i="4"/>
  <c r="B1560" i="4"/>
  <c r="D1560" i="4"/>
  <c r="E1560" i="4"/>
  <c r="F1560" i="4"/>
  <c r="G1560" i="4"/>
  <c r="H1560" i="4"/>
  <c r="I1560" i="4"/>
  <c r="A1561" i="4"/>
  <c r="B1561" i="4"/>
  <c r="D1561" i="4"/>
  <c r="E1561" i="4"/>
  <c r="F1561" i="4"/>
  <c r="G1561" i="4"/>
  <c r="H1561" i="4"/>
  <c r="I1561" i="4"/>
  <c r="A1562" i="4"/>
  <c r="B1562" i="4"/>
  <c r="D1562" i="4"/>
  <c r="E1562" i="4"/>
  <c r="F1562" i="4"/>
  <c r="G1562" i="4"/>
  <c r="H1562" i="4"/>
  <c r="I1562" i="4"/>
  <c r="A1563" i="4"/>
  <c r="B1563" i="4"/>
  <c r="D1563" i="4"/>
  <c r="E1563" i="4"/>
  <c r="F1563" i="4"/>
  <c r="G1563" i="4"/>
  <c r="H1563" i="4"/>
  <c r="I1563" i="4"/>
  <c r="A1564" i="4"/>
  <c r="B1564" i="4"/>
  <c r="D1564" i="4"/>
  <c r="E1564" i="4"/>
  <c r="F1564" i="4"/>
  <c r="G1564" i="4"/>
  <c r="H1564" i="4"/>
  <c r="I1564" i="4"/>
  <c r="A1565" i="4"/>
  <c r="B1565" i="4"/>
  <c r="D1565" i="4"/>
  <c r="E1565" i="4"/>
  <c r="F1565" i="4"/>
  <c r="G1565" i="4"/>
  <c r="H1565" i="4"/>
  <c r="I1565" i="4"/>
  <c r="A1566" i="4"/>
  <c r="B1566" i="4"/>
  <c r="D1566" i="4"/>
  <c r="E1566" i="4"/>
  <c r="F1566" i="4"/>
  <c r="G1566" i="4"/>
  <c r="H1566" i="4"/>
  <c r="I1566" i="4"/>
  <c r="A1567" i="4"/>
  <c r="B1567" i="4"/>
  <c r="D1567" i="4"/>
  <c r="E1567" i="4"/>
  <c r="F1567" i="4"/>
  <c r="G1567" i="4"/>
  <c r="H1567" i="4"/>
  <c r="I1567" i="4"/>
  <c r="A1568" i="4"/>
  <c r="B1568" i="4"/>
  <c r="D1568" i="4"/>
  <c r="E1568" i="4"/>
  <c r="F1568" i="4"/>
  <c r="G1568" i="4"/>
  <c r="H1568" i="4"/>
  <c r="I1568" i="4"/>
  <c r="A1569" i="4"/>
  <c r="B1569" i="4"/>
  <c r="D1569" i="4"/>
  <c r="E1569" i="4"/>
  <c r="F1569" i="4"/>
  <c r="G1569" i="4"/>
  <c r="H1569" i="4"/>
  <c r="I1569" i="4"/>
  <c r="A1570" i="4"/>
  <c r="B1570" i="4"/>
  <c r="D1570" i="4"/>
  <c r="E1570" i="4"/>
  <c r="F1570" i="4"/>
  <c r="G1570" i="4"/>
  <c r="H1570" i="4"/>
  <c r="I1570" i="4"/>
  <c r="A1571" i="4"/>
  <c r="B1571" i="4"/>
  <c r="D1571" i="4"/>
  <c r="E1571" i="4"/>
  <c r="F1571" i="4"/>
  <c r="G1571" i="4"/>
  <c r="H1571" i="4"/>
  <c r="I1571" i="4"/>
  <c r="A1572" i="4"/>
  <c r="B1572" i="4"/>
  <c r="D1572" i="4"/>
  <c r="E1572" i="4"/>
  <c r="F1572" i="4"/>
  <c r="G1572" i="4"/>
  <c r="H1572" i="4"/>
  <c r="I1572" i="4"/>
  <c r="A1573" i="4"/>
  <c r="B1573" i="4"/>
  <c r="D1573" i="4"/>
  <c r="E1573" i="4"/>
  <c r="F1573" i="4"/>
  <c r="G1573" i="4"/>
  <c r="H1573" i="4"/>
  <c r="I1573" i="4"/>
  <c r="A1574" i="4"/>
  <c r="B1574" i="4"/>
  <c r="D1574" i="4"/>
  <c r="E1574" i="4"/>
  <c r="F1574" i="4"/>
  <c r="G1574" i="4"/>
  <c r="H1574" i="4"/>
  <c r="I1574" i="4"/>
  <c r="A1575" i="4"/>
  <c r="B1575" i="4"/>
  <c r="D1575" i="4"/>
  <c r="E1575" i="4"/>
  <c r="F1575" i="4"/>
  <c r="G1575" i="4"/>
  <c r="H1575" i="4"/>
  <c r="I1575" i="4"/>
  <c r="I4" i="4"/>
  <c r="H4" i="4"/>
  <c r="G4" i="4"/>
  <c r="F4" i="4"/>
  <c r="E4" i="4"/>
  <c r="D4" i="4"/>
  <c r="B4" i="4"/>
  <c r="A4" i="4"/>
  <c r="Z1" i="8" l="1"/>
  <c r="Z1" i="9" l="1"/>
  <c r="Z1" i="7"/>
  <c r="D7" i="7" l="1"/>
  <c r="AA33" i="9"/>
  <c r="Q22" i="9"/>
  <c r="B21" i="9"/>
  <c r="X9" i="9" s="1"/>
  <c r="G20" i="9"/>
  <c r="X8" i="9" s="1"/>
  <c r="B20" i="9"/>
  <c r="E18" i="9"/>
  <c r="Q16" i="9"/>
  <c r="B16" i="9"/>
  <c r="D7" i="9"/>
  <c r="L6" i="9"/>
  <c r="B6" i="9"/>
  <c r="L5" i="9"/>
  <c r="B5" i="9"/>
  <c r="G4" i="9"/>
  <c r="B4" i="9"/>
  <c r="M3" i="9"/>
  <c r="G3" i="9"/>
  <c r="B3" i="9"/>
  <c r="B2" i="9"/>
  <c r="E19" i="7"/>
  <c r="B16" i="8"/>
  <c r="Q22" i="8"/>
  <c r="Q16" i="8"/>
  <c r="D7" i="8"/>
  <c r="AA33" i="8"/>
  <c r="L6" i="8"/>
  <c r="B6" i="8"/>
  <c r="L5" i="8"/>
  <c r="B5" i="8"/>
  <c r="G4" i="8"/>
  <c r="B4" i="8"/>
  <c r="M3" i="8"/>
  <c r="G3" i="8"/>
  <c r="B3" i="8"/>
  <c r="B2" i="8"/>
  <c r="P13" i="7"/>
  <c r="G19" i="7"/>
  <c r="P21" i="7"/>
  <c r="C16" i="7"/>
  <c r="C14" i="7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31" i="9" l="1"/>
  <c r="X27" i="9"/>
  <c r="X23" i="9"/>
  <c r="X19" i="9"/>
  <c r="X16" i="9"/>
  <c r="X14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22" i="9"/>
  <c r="X20" i="9"/>
  <c r="X18" i="9"/>
  <c r="X13" i="9"/>
  <c r="X32" i="8"/>
  <c r="X28" i="8"/>
  <c r="X24" i="8"/>
  <c r="X20" i="8"/>
  <c r="X12" i="8"/>
  <c r="X24" i="7"/>
  <c r="X15" i="7"/>
  <c r="X23" i="8"/>
  <c r="X19" i="8"/>
  <c r="X14" i="7"/>
  <c r="X29" i="9"/>
  <c r="X25" i="9"/>
  <c r="X12" i="9"/>
  <c r="X32" i="9"/>
  <c r="X28" i="9"/>
  <c r="X24" i="9"/>
  <c r="X21" i="9"/>
  <c r="X17" i="9"/>
  <c r="X15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B20" i="8" l="1"/>
  <c r="B21" i="8"/>
  <c r="E18" i="8"/>
</calcChain>
</file>

<file path=xl/sharedStrings.xml><?xml version="1.0" encoding="utf-8"?>
<sst xmlns="http://schemas.openxmlformats.org/spreadsheetml/2006/main" count="13243" uniqueCount="9855">
  <si>
    <t>CHUBUT</t>
  </si>
  <si>
    <t>TRELEW</t>
  </si>
  <si>
    <t>U0116</t>
  </si>
  <si>
    <t>TIERRA DEL FUEGO</t>
  </si>
  <si>
    <t>CORRIENTES</t>
  </si>
  <si>
    <t>SAN LUIS</t>
  </si>
  <si>
    <t>LA RIOJA</t>
  </si>
  <si>
    <t>MISIONES</t>
  </si>
  <si>
    <t>ELENA</t>
  </si>
  <si>
    <t>POSTE</t>
  </si>
  <si>
    <t>RESTANTE</t>
  </si>
  <si>
    <t>SANTA CRUZ</t>
  </si>
  <si>
    <t>CATAMARCA</t>
  </si>
  <si>
    <t>CP</t>
  </si>
  <si>
    <t>SANTA FE</t>
  </si>
  <si>
    <t>Remitente</t>
  </si>
  <si>
    <t>MENDOZA</t>
  </si>
  <si>
    <t>Encomienda A SUCURSAL con PAGO EN DESTINO</t>
  </si>
  <si>
    <t>SE RETIRA Y ABONA EN SUCURSAL</t>
  </si>
  <si>
    <t>DESTINATARIO</t>
  </si>
  <si>
    <t>BUENOS AIRES</t>
  </si>
  <si>
    <t>Encomienda con entrega A DOMICILIO</t>
  </si>
  <si>
    <t>SE RETIRA EN SUCURSAL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</si>
  <si>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</si>
  <si>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</si>
  <si>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</si>
  <si>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</si>
  <si>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</si>
  <si>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</si>
  <si>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</si>
  <si>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</si>
  <si>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</si>
  <si>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SALTA</t>
  </si>
  <si>
    <t>M</t>
  </si>
  <si>
    <t>CODIGO POSTAL</t>
  </si>
  <si>
    <t>CUIT</t>
  </si>
  <si>
    <t>CODIGO</t>
  </si>
  <si>
    <t>SUC</t>
  </si>
  <si>
    <t>T0062</t>
  </si>
  <si>
    <t>CHACO</t>
  </si>
  <si>
    <t>JUJUY</t>
  </si>
  <si>
    <t>SAN JUAN</t>
  </si>
  <si>
    <t>SANTIAGO DEL ESTERO</t>
  </si>
  <si>
    <t>LA PAMPA</t>
  </si>
  <si>
    <t>FORMOSA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</si>
  <si>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</si>
  <si>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</si>
  <si>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</si>
  <si>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</si>
  <si>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</si>
  <si>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</si>
  <si>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</si>
  <si>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</si>
  <si>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</si>
  <si>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</si>
  <si>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</si>
  <si>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</si>
  <si>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</si>
  <si>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</si>
  <si>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</si>
  <si>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</si>
  <si>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</si>
  <si>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</si>
  <si>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</si>
  <si>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</si>
  <si>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</si>
  <si>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</si>
  <si>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</si>
  <si>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</si>
  <si>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</si>
  <si>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</si>
  <si>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</si>
  <si>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</si>
  <si>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</si>
  <si>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</si>
  <si>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</si>
  <si>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</si>
  <si>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</si>
  <si>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</si>
  <si>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</si>
  <si>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</si>
  <si>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</si>
  <si>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</si>
  <si>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</si>
  <si>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</si>
  <si>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</si>
  <si>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</si>
  <si>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</si>
  <si>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</si>
  <si>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</si>
  <si>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</si>
  <si>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</si>
  <si>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</si>
  <si>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</si>
  <si>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</si>
  <si>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</si>
  <si>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</si>
  <si>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</si>
  <si>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</si>
  <si>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</si>
  <si>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</si>
  <si>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</si>
  <si>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</si>
  <si>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</si>
  <si>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</si>
  <si>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</si>
  <si>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</si>
  <si>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</si>
  <si>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</si>
  <si>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</si>
  <si>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</si>
  <si>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</si>
  <si>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</si>
  <si>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</si>
  <si>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</si>
  <si>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</si>
  <si>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</si>
  <si>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</si>
  <si>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</si>
  <si>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</si>
  <si>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</si>
  <si>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</si>
  <si>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</si>
  <si>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</si>
  <si>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</si>
  <si>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</si>
  <si>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</si>
  <si>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</si>
  <si>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</si>
  <si>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</si>
  <si>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</si>
  <si>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</si>
  <si>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</si>
  <si>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</si>
  <si>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</si>
  <si>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</si>
  <si>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</si>
  <si>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</si>
  <si>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</si>
  <si>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</si>
  <si>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</si>
  <si>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</si>
  <si>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</si>
  <si>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</si>
  <si>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</si>
  <si>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</si>
  <si>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</si>
  <si>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</si>
  <si>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</si>
  <si>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</si>
  <si>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</si>
  <si>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</si>
  <si>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</si>
  <si>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</si>
  <si>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</si>
  <si>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</si>
  <si>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</si>
  <si>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</si>
  <si>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</si>
  <si>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</si>
  <si>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</si>
  <si>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</si>
  <si>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</si>
  <si>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</si>
  <si>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</si>
  <si>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</si>
  <si>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</si>
  <si>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</si>
  <si>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</si>
  <si>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</si>
  <si>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</si>
  <si>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</si>
  <si>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</si>
  <si>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</si>
  <si>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</si>
  <si>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</si>
  <si>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</si>
  <si>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</si>
  <si>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</si>
  <si>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</si>
  <si>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</si>
  <si>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</si>
  <si>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</si>
  <si>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</si>
  <si>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</si>
  <si>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</si>
  <si>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</si>
  <si>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</si>
  <si>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</si>
  <si>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</si>
  <si>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</si>
  <si>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</si>
  <si>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</si>
  <si>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</si>
  <si>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</si>
  <si>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</si>
  <si>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</si>
  <si>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</si>
  <si>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</si>
  <si>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</si>
  <si>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</si>
  <si>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</si>
  <si>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</si>
  <si>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</si>
  <si>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</si>
  <si>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</si>
  <si>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</si>
  <si>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</si>
  <si>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</si>
  <si>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</si>
  <si>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</si>
  <si>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</si>
  <si>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</si>
  <si>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</si>
  <si>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</si>
  <si>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</si>
  <si>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</si>
  <si>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</si>
  <si>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</si>
  <si>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</si>
  <si>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</si>
  <si>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</si>
  <si>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</si>
  <si>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</si>
  <si>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</si>
  <si>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</si>
  <si>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</si>
  <si>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</si>
  <si>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</si>
  <si>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</si>
  <si>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</si>
  <si>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</si>
  <si>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</si>
  <si>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</si>
  <si>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</si>
  <si>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</si>
  <si>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</si>
  <si>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</si>
  <si>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</si>
  <si>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</si>
  <si>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</si>
  <si>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</si>
  <si>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</si>
  <si>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</si>
  <si>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</si>
  <si>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</si>
  <si>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</si>
  <si>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</si>
  <si>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</si>
  <si>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</si>
  <si>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</si>
  <si>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</si>
  <si>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</si>
  <si>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</si>
  <si>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</si>
  <si>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</si>
  <si>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</si>
  <si>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</si>
  <si>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</si>
  <si>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</si>
  <si>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</si>
  <si>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</si>
  <si>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</si>
  <si>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</si>
  <si>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</si>
  <si>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</si>
  <si>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</si>
  <si>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</si>
  <si>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</si>
  <si>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</si>
  <si>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</si>
  <si>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</si>
  <si>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</si>
  <si>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</si>
  <si>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</si>
  <si>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</si>
  <si>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</si>
  <si>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</si>
  <si>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</si>
  <si>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</si>
  <si>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</si>
  <si>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</si>
  <si>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</si>
  <si>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</si>
  <si>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</si>
  <si>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</si>
  <si>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</si>
  <si>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</si>
  <si>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</si>
  <si>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</si>
  <si>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</si>
  <si>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</si>
  <si>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</si>
  <si>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</si>
  <si>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</si>
  <si>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</si>
  <si>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</si>
  <si>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</si>
  <si>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</si>
  <si>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</si>
  <si>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</si>
  <si>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</si>
  <si>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</si>
  <si>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</si>
  <si>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</si>
  <si>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</si>
  <si>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</si>
  <si>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</si>
  <si>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</si>
  <si>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</si>
  <si>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</si>
  <si>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</si>
  <si>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</si>
  <si>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</si>
  <si>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</si>
  <si>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</si>
  <si>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</si>
  <si>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</si>
  <si>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</si>
  <si>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</si>
  <si>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</si>
  <si>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</si>
  <si>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</si>
  <si>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</si>
  <si>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</si>
  <si>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</si>
  <si>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</si>
  <si>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</si>
  <si>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</si>
  <si>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</si>
  <si>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</si>
  <si>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</si>
  <si>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</si>
  <si>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</si>
  <si>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</si>
  <si>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</si>
  <si>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</si>
  <si>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</si>
  <si>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</si>
  <si>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</si>
  <si>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</si>
  <si>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</si>
  <si>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</si>
  <si>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</si>
  <si>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</si>
  <si>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</si>
  <si>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</si>
  <si>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</si>
  <si>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</si>
  <si>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</si>
  <si>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</si>
  <si>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</si>
  <si>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</si>
  <si>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</si>
  <si>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</si>
  <si>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</si>
  <si>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</si>
  <si>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</si>
  <si>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</si>
  <si>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</si>
  <si>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</si>
  <si>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</si>
  <si>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</si>
  <si>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</si>
  <si>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</si>
  <si>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</si>
  <si>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</si>
  <si>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</si>
  <si>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</si>
  <si>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</si>
  <si>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</si>
  <si>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</si>
  <si>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</si>
  <si>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</si>
  <si>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</si>
  <si>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</si>
  <si>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</si>
  <si>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</si>
  <si>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</si>
  <si>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</si>
  <si>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</si>
  <si>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</si>
  <si>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</si>
  <si>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</si>
  <si>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</si>
  <si>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</si>
  <si>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</si>
  <si>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</si>
  <si>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</si>
  <si>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</si>
  <si>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</si>
  <si>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</si>
  <si>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</si>
  <si>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</si>
  <si>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</si>
  <si>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</si>
  <si>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</si>
  <si>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</si>
  <si>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</si>
  <si>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</si>
  <si>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</si>
  <si>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</si>
  <si>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</si>
  <si>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</si>
  <si>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</si>
  <si>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</si>
  <si>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</si>
  <si>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</si>
  <si>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</si>
  <si>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</si>
  <si>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</si>
  <si>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</si>
  <si>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</si>
  <si>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</si>
  <si>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</si>
  <si>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</si>
  <si>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</si>
  <si>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</si>
  <si>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</si>
  <si>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</si>
  <si>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</si>
  <si>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</si>
  <si>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</si>
  <si>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</si>
  <si>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</si>
  <si>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</si>
  <si>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</si>
  <si>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</si>
  <si>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</si>
  <si>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</si>
  <si>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</si>
  <si>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</si>
  <si>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</si>
  <si>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</si>
  <si>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</si>
  <si>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</si>
  <si>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</si>
  <si>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</si>
  <si>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</si>
  <si>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</si>
  <si>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</si>
  <si>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</si>
  <si>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</si>
  <si>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</si>
  <si>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</si>
  <si>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</si>
  <si>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</si>
  <si>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</si>
  <si>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</si>
  <si>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</si>
  <si>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</si>
  <si>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</si>
  <si>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</si>
  <si>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</si>
  <si>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</si>
  <si>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</si>
  <si>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</si>
  <si>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</si>
  <si>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</si>
  <si>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</si>
  <si>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</si>
  <si>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</si>
  <si>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</si>
  <si>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</si>
  <si>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</si>
  <si>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</si>
  <si>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</si>
  <si>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</si>
  <si>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</si>
  <si>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</si>
  <si>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</si>
  <si>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</si>
  <si>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</si>
  <si>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</si>
  <si>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</si>
  <si>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</si>
  <si>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</si>
  <si>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</si>
  <si>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</si>
  <si>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</si>
  <si>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</si>
  <si>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</si>
  <si>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</si>
  <si>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</si>
  <si>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</si>
  <si>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</si>
  <si>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</si>
  <si>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</si>
  <si>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</si>
  <si>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</si>
  <si>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</si>
  <si>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</si>
  <si>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</si>
  <si>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</si>
  <si>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</si>
  <si>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</si>
  <si>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</si>
  <si>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</si>
  <si>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</si>
  <si>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</si>
  <si>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</si>
  <si>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</si>
  <si>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</si>
  <si>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</si>
  <si>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</si>
  <si>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</si>
  <si>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</si>
  <si>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</si>
  <si>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</si>
  <si>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</si>
  <si>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</si>
  <si>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</si>
  <si>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</si>
  <si>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</si>
  <si>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</si>
  <si>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</si>
  <si>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</si>
  <si>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</si>
  <si>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</si>
  <si>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</si>
  <si>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</si>
  <si>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</si>
  <si>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</si>
  <si>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</si>
  <si>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</si>
  <si>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</si>
  <si>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</si>
  <si>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</si>
  <si>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</si>
  <si>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</si>
  <si>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</si>
  <si>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</si>
  <si>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</si>
  <si>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</si>
  <si>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</si>
  <si>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</si>
  <si>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</si>
  <si>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</si>
  <si>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</si>
  <si>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</si>
  <si>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</si>
  <si>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</si>
  <si>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</si>
  <si>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</si>
  <si>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</si>
  <si>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</si>
  <si>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</si>
  <si>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</si>
  <si>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</si>
  <si>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</si>
  <si>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</si>
  <si>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</si>
  <si>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</si>
  <si>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</si>
  <si>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</si>
  <si>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</si>
  <si>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</si>
  <si>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</si>
  <si>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</si>
  <si>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</si>
  <si>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</si>
  <si>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</si>
  <si>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</si>
  <si>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</si>
  <si>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</si>
  <si>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</si>
  <si>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</si>
  <si>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</si>
  <si>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</si>
  <si>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</si>
  <si>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</si>
  <si>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</si>
  <si>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</si>
  <si>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</si>
  <si>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</si>
  <si>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</si>
  <si>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</si>
  <si>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</si>
  <si>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</si>
  <si>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</si>
  <si>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</si>
  <si>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</si>
  <si>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</si>
  <si>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</si>
  <si>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</si>
  <si>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</si>
  <si>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</si>
  <si>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</si>
  <si>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</si>
  <si>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</si>
  <si>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</si>
  <si>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</si>
  <si>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</si>
  <si>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</si>
  <si>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</si>
  <si>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</si>
  <si>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</si>
  <si>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</si>
  <si>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</si>
  <si>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</si>
  <si>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</si>
  <si>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</si>
  <si>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</si>
  <si>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</si>
  <si>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</si>
  <si>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</si>
  <si>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</si>
  <si>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</si>
  <si>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</si>
  <si>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</si>
  <si>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</si>
  <si>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</si>
  <si>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</si>
  <si>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</si>
  <si>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</si>
  <si>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</si>
  <si>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</si>
  <si>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</si>
  <si>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</si>
  <si>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</si>
  <si>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</si>
  <si>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</si>
  <si>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</si>
  <si>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</si>
  <si>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</si>
  <si>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</si>
  <si>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</si>
  <si>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</si>
  <si>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</si>
  <si>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</si>
  <si>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</si>
  <si>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</si>
  <si>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</si>
  <si>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</si>
  <si>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</si>
  <si>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</si>
  <si>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</si>
  <si>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</si>
  <si>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</si>
  <si>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</si>
  <si>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</si>
  <si>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</si>
  <si>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</si>
  <si>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</si>
  <si>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</si>
  <si>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</si>
  <si>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</si>
  <si>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</si>
  <si>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</si>
  <si>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</si>
  <si>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</si>
  <si>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</si>
  <si>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</si>
  <si>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</si>
  <si>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</si>
  <si>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</si>
  <si>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</si>
  <si>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</si>
  <si>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</si>
  <si>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</si>
  <si>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</si>
  <si>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</si>
  <si>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</si>
  <si>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</si>
  <si>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</si>
  <si>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</si>
  <si>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</si>
  <si>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</si>
  <si>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</si>
  <si>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</si>
  <si>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</si>
  <si>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</si>
  <si>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</si>
  <si>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</si>
  <si>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</si>
  <si>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</si>
  <si>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</si>
  <si>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</si>
  <si>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</si>
  <si>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</si>
  <si>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</si>
  <si>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</si>
  <si>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</si>
  <si>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</si>
  <si>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</si>
  <si>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</si>
  <si>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</si>
  <si>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</si>
  <si>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</si>
  <si>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</si>
  <si>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</si>
  <si>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</si>
  <si>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</si>
  <si>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</si>
  <si>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</si>
  <si>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</si>
  <si>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</si>
  <si>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</si>
  <si>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</si>
  <si>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</si>
  <si>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</si>
  <si>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</si>
  <si>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</si>
  <si>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</si>
  <si>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</si>
  <si>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</si>
  <si>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</si>
  <si>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</si>
  <si>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</si>
  <si>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</si>
  <si>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</si>
  <si>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</si>
  <si>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</si>
  <si>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</si>
  <si>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</si>
  <si>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</si>
  <si>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</si>
  <si>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</si>
  <si>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</si>
  <si>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</si>
  <si>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</si>
  <si>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</si>
  <si>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</si>
  <si>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</si>
  <si>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</si>
  <si>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</si>
  <si>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</si>
  <si>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</si>
  <si>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</si>
  <si>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</si>
  <si>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</si>
  <si>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</si>
  <si>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</si>
  <si>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</si>
  <si>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</si>
  <si>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</si>
  <si>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</si>
  <si>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</si>
  <si>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</si>
  <si>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</si>
  <si>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</si>
  <si>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</si>
  <si>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</si>
  <si>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</si>
  <si>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</si>
  <si>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</si>
  <si>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</si>
  <si>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</si>
  <si>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</si>
  <si>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</si>
  <si>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</si>
  <si>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</si>
  <si>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</si>
  <si>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</si>
  <si>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</si>
  <si>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</si>
  <si>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</si>
  <si>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</si>
  <si>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</si>
  <si>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</si>
  <si>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</si>
  <si>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</si>
  <si>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</si>
  <si>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</si>
  <si>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</si>
  <si>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</si>
  <si>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</si>
  <si>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</si>
  <si>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</si>
  <si>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</si>
  <si>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</si>
  <si>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</si>
  <si>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</si>
  <si>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</si>
  <si>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</si>
  <si>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</si>
  <si>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</si>
  <si>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</si>
  <si>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</si>
  <si>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</si>
  <si>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</si>
  <si>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</si>
  <si>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</si>
  <si>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</si>
  <si>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</si>
  <si>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</si>
  <si>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</si>
  <si>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</si>
  <si>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</si>
  <si>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</si>
  <si>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</si>
  <si>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</si>
  <si>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</si>
  <si>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</si>
  <si>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</si>
  <si>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</si>
  <si>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</si>
  <si>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</si>
  <si>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</si>
  <si>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</si>
  <si>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</si>
  <si>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</si>
  <si>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</si>
  <si>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</si>
  <si>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</si>
  <si>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</si>
  <si>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</si>
  <si>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</si>
  <si>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</si>
  <si>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</si>
  <si>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</si>
  <si>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</si>
  <si>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</si>
  <si>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</si>
  <si>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</si>
  <si>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</si>
  <si>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</si>
  <si>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</si>
  <si>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</si>
  <si>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</si>
  <si>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</si>
  <si>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</si>
  <si>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</si>
  <si>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</si>
  <si>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</si>
  <si>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</si>
  <si>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</si>
  <si>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</si>
  <si>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</si>
  <si>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</si>
  <si>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</si>
  <si>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</si>
  <si>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</si>
  <si>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</si>
  <si>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</si>
  <si>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</si>
  <si>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</si>
  <si>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</si>
  <si>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</si>
  <si>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</si>
  <si>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</si>
  <si>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</si>
  <si>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</si>
  <si>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</si>
  <si>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</si>
  <si>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</si>
  <si>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</si>
  <si>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</si>
  <si>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</si>
  <si>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</si>
  <si>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</si>
  <si>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</si>
  <si>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</si>
  <si>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</si>
  <si>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</si>
  <si>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</si>
  <si>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</si>
  <si>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</si>
  <si>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</si>
  <si>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</si>
  <si>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</si>
  <si>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</si>
  <si>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</si>
  <si>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</si>
  <si>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</si>
  <si>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</si>
  <si>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</si>
  <si>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</si>
  <si>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</si>
  <si>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</si>
  <si>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</si>
  <si>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</si>
  <si>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</si>
  <si>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</si>
  <si>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</si>
  <si>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</si>
  <si>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</si>
  <si>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</si>
  <si>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</si>
  <si>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</si>
  <si>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</si>
  <si>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</si>
  <si>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</si>
  <si>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</si>
  <si>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</si>
  <si>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</si>
  <si>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</si>
  <si>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</si>
  <si>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</si>
  <si>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</si>
  <si>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</si>
  <si>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</si>
  <si>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</si>
  <si>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</si>
  <si>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</si>
  <si>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</si>
  <si>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</si>
  <si>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</si>
  <si>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</si>
  <si>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</si>
  <si>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</si>
  <si>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</si>
  <si>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</si>
  <si>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</si>
  <si>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</si>
  <si>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</si>
  <si>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</si>
  <si>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</si>
  <si>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</si>
  <si>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</si>
  <si>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</si>
  <si>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</si>
  <si>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</si>
  <si>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</si>
  <si>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</si>
  <si>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</si>
  <si>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</si>
  <si>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</si>
  <si>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</si>
  <si>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</si>
  <si>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</si>
  <si>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</si>
  <si>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</si>
  <si>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</si>
  <si>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</si>
  <si>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</si>
  <si>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</si>
  <si>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</si>
  <si>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</si>
  <si>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</si>
  <si>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</si>
  <si>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</si>
  <si>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</si>
  <si>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</si>
  <si>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</si>
  <si>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</si>
  <si>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</si>
  <si>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</si>
  <si>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</si>
  <si>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</si>
  <si>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</si>
  <si>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</si>
  <si>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</si>
  <si>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</si>
  <si>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</si>
  <si>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</si>
  <si>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</si>
  <si>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</si>
  <si>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</si>
  <si>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</si>
  <si>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</si>
  <si>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</si>
  <si>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</si>
  <si>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</si>
  <si>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</si>
  <si>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</si>
  <si>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</si>
  <si>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</si>
  <si>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</si>
  <si>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</si>
  <si>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</si>
  <si>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</si>
  <si>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</si>
  <si>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</si>
  <si>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</si>
  <si>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</si>
  <si>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</si>
  <si>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</si>
  <si>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</si>
  <si>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</si>
  <si>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</si>
  <si>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</si>
  <si>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</si>
  <si>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</si>
  <si>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</si>
  <si>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</si>
  <si>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</si>
  <si>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</si>
  <si>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</si>
  <si>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</si>
  <si>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</si>
  <si>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</si>
  <si>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</si>
  <si>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</si>
  <si>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</si>
  <si>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</si>
  <si>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</si>
  <si>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</si>
  <si>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</si>
  <si>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</si>
  <si>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</si>
  <si>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</si>
  <si>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</si>
  <si>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</si>
  <si>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</si>
  <si>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</si>
  <si>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</si>
  <si>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</si>
  <si>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</si>
  <si>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</si>
  <si>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</si>
  <si>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</si>
  <si>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</si>
  <si>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</si>
  <si>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</si>
  <si>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</si>
  <si>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</si>
  <si>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</si>
  <si>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</si>
  <si>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</si>
  <si>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</si>
  <si>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</si>
  <si>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</si>
  <si>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</si>
  <si>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</si>
  <si>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</si>
  <si>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</si>
  <si>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</si>
  <si>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</si>
  <si>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</si>
  <si>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</si>
  <si>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</si>
  <si>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</si>
  <si>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</si>
  <si>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</si>
  <si>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</si>
  <si>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</si>
  <si>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</si>
  <si>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</si>
  <si>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</si>
  <si>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</si>
  <si>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</si>
  <si>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</si>
  <si>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</si>
  <si>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</si>
  <si>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</si>
  <si>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</si>
  <si>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</si>
  <si>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</si>
  <si>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</si>
  <si>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</si>
  <si>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</si>
  <si>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</si>
  <si>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</si>
  <si>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</si>
  <si>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</si>
  <si>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</si>
  <si>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</si>
  <si>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</si>
  <si>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</si>
  <si>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</si>
  <si>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</si>
  <si>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</si>
  <si>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</si>
  <si>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</si>
  <si>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</si>
  <si>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</si>
  <si>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</si>
  <si>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</si>
  <si>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</si>
  <si>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</si>
  <si>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</si>
  <si>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</si>
  <si>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</si>
  <si>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</si>
  <si>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</si>
  <si>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</si>
  <si>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</si>
  <si>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</si>
  <si>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</si>
  <si>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</si>
  <si>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</si>
  <si>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</si>
  <si>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</si>
  <si>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</si>
  <si>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</si>
  <si>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</si>
  <si>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</si>
  <si>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</si>
  <si>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</si>
  <si>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</si>
  <si>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</si>
  <si>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</si>
  <si>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</si>
  <si>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</si>
  <si>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</si>
  <si>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</si>
  <si>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</si>
  <si>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</si>
  <si>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</si>
  <si>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</si>
  <si>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</si>
  <si>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</si>
  <si>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</si>
  <si>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</si>
  <si>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</si>
  <si>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</si>
  <si>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</si>
  <si>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</si>
  <si>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</si>
  <si>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</si>
  <si>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</si>
  <si>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</si>
  <si>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</si>
  <si>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</si>
  <si>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</si>
  <si>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</si>
  <si>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</si>
  <si>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</si>
  <si>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</si>
  <si>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</si>
  <si>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</si>
  <si>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</si>
  <si>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</si>
  <si>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</si>
  <si>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</si>
  <si>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</si>
  <si>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</si>
  <si>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</si>
  <si>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</si>
  <si>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</si>
  <si>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</si>
  <si>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</si>
  <si>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</si>
  <si>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</si>
  <si>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</si>
  <si>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</si>
  <si>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</si>
  <si>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</si>
  <si>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</si>
  <si>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</si>
  <si>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</si>
  <si>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</si>
  <si>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</si>
  <si>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</si>
  <si>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</si>
  <si>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</si>
  <si>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</si>
  <si>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</si>
  <si>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</si>
  <si>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</si>
  <si>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</si>
  <si>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</si>
  <si>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</si>
  <si>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</si>
  <si>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</si>
  <si>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</si>
  <si>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</si>
  <si>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</si>
  <si>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</si>
  <si>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</si>
  <si>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</si>
  <si>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</si>
  <si>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</si>
  <si>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</si>
  <si>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</si>
  <si>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</si>
  <si>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</si>
  <si>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</si>
  <si>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</si>
  <si>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</si>
  <si>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</si>
  <si>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</si>
  <si>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</si>
  <si>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</si>
  <si>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</si>
  <si>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</si>
  <si>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</si>
  <si>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</si>
  <si>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</si>
  <si>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</si>
  <si>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</si>
  <si>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</si>
  <si>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</si>
  <si>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</si>
  <si>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</si>
  <si>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</si>
  <si>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</si>
  <si>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</si>
  <si>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</si>
  <si>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</si>
  <si>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</si>
  <si>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</si>
  <si>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</si>
  <si>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</si>
  <si>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</si>
  <si>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</si>
  <si>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</si>
  <si>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</si>
  <si>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</si>
  <si>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</si>
  <si>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</si>
  <si>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</si>
  <si>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</si>
  <si>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</si>
  <si>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</si>
  <si>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</si>
  <si>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</si>
  <si>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</si>
  <si>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</si>
  <si>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</si>
  <si>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</si>
  <si>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</si>
  <si>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</si>
  <si>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</si>
  <si>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</si>
  <si>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</si>
  <si>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</si>
  <si>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</si>
  <si>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</si>
  <si>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</si>
  <si>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</si>
  <si>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</si>
  <si>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</si>
  <si>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</si>
  <si>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</si>
  <si>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</si>
  <si>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</si>
  <si>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</si>
  <si>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</si>
  <si>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</si>
  <si>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</si>
  <si>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</si>
  <si>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</si>
  <si>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</si>
  <si>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</si>
  <si>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</si>
  <si>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</si>
  <si>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</si>
  <si>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</si>
  <si>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</si>
  <si>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</si>
  <si>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</si>
  <si>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</si>
  <si>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</si>
  <si>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</si>
  <si>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</si>
  <si>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</si>
  <si>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</si>
  <si>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</si>
  <si>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</si>
  <si>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</si>
  <si>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</si>
  <si>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</si>
  <si>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</si>
  <si>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</si>
  <si>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</si>
  <si>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</si>
  <si>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</si>
  <si>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</si>
  <si>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</si>
  <si>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</si>
  <si>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</si>
  <si>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</si>
  <si>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</si>
  <si>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</si>
  <si>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</si>
  <si>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</si>
  <si>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</si>
  <si>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</si>
  <si>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</si>
  <si>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</si>
  <si>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</si>
  <si>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</si>
  <si>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</si>
  <si>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</si>
  <si>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</si>
  <si>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</si>
  <si>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</si>
  <si>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</si>
  <si>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</si>
  <si>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</si>
  <si>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</si>
  <si>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</si>
  <si>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</si>
  <si>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</si>
  <si>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</si>
  <si>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</si>
  <si>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</si>
  <si>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</si>
  <si>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</si>
  <si>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</si>
  <si>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</si>
  <si>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</si>
  <si>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</si>
  <si>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</si>
  <si>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</si>
  <si>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</si>
  <si>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</si>
  <si>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</si>
  <si>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</si>
  <si>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</si>
  <si>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</si>
  <si>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</si>
  <si>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</si>
  <si>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</si>
  <si>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</si>
  <si>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</si>
  <si>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</si>
  <si>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</si>
  <si>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</si>
  <si>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</si>
  <si>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</si>
  <si>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</si>
  <si>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</si>
  <si>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</si>
  <si>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</si>
  <si>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</si>
  <si>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</si>
  <si>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</si>
  <si>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</si>
  <si>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</si>
  <si>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</si>
  <si>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</si>
  <si>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</si>
  <si>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</si>
  <si>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</si>
  <si>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</si>
  <si>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</si>
  <si>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</si>
  <si>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</si>
  <si>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</si>
  <si>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</si>
  <si>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</si>
  <si>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</si>
  <si>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</si>
  <si>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</si>
  <si>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</si>
  <si>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</si>
  <si>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</si>
  <si>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</si>
  <si>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</si>
  <si>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</si>
  <si>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</si>
  <si>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</si>
  <si>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</si>
  <si>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</si>
  <si>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</si>
  <si>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</si>
  <si>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</si>
  <si>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</si>
  <si>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</si>
  <si>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</si>
  <si>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</si>
  <si>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</si>
  <si>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</si>
  <si>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</si>
  <si>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</si>
  <si>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</si>
  <si>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</si>
  <si>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</si>
  <si>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</si>
  <si>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</si>
  <si>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</si>
  <si>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</si>
  <si>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</si>
  <si>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</si>
  <si>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</si>
  <si>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</si>
  <si>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</si>
  <si>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</si>
  <si>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</si>
  <si>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</si>
  <si>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</si>
  <si>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</si>
  <si>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</si>
  <si>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</si>
  <si>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</si>
  <si>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</si>
  <si>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</si>
  <si>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</si>
  <si>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</si>
  <si>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</si>
  <si>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</si>
  <si>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</si>
  <si>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</si>
  <si>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</si>
  <si>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</si>
  <si>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</si>
  <si>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</si>
  <si>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</si>
  <si>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</si>
  <si>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</si>
  <si>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</si>
  <si>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</si>
  <si>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</si>
  <si>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</si>
  <si>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</si>
  <si>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</si>
  <si>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</si>
  <si>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</si>
  <si>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</si>
  <si>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</si>
  <si>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</si>
  <si>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</si>
  <si>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</si>
  <si>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</si>
  <si>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</si>
  <si>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</si>
  <si>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</si>
  <si>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</si>
  <si>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</si>
  <si>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</si>
  <si>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</si>
  <si>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</si>
  <si>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</si>
  <si>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</si>
  <si>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</si>
  <si>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</si>
  <si>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</si>
  <si>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</si>
  <si>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</si>
  <si>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</si>
  <si>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</si>
  <si>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</si>
  <si>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</si>
  <si>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</si>
  <si>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</si>
  <si>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</si>
  <si>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</si>
  <si>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</si>
  <si>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</si>
  <si>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</si>
  <si>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</si>
  <si>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</si>
  <si>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</si>
  <si>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</si>
  <si>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</si>
  <si>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</si>
  <si>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</si>
  <si>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</si>
  <si>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</si>
  <si>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</si>
  <si>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</si>
  <si>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</si>
  <si>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</si>
  <si>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</si>
  <si>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</si>
  <si>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</si>
  <si>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</si>
  <si>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</si>
  <si>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</si>
  <si>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</si>
  <si>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</si>
  <si>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</si>
  <si>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</si>
  <si>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</si>
  <si>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</si>
  <si>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</si>
  <si>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</si>
  <si>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</si>
  <si>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</si>
  <si>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</si>
  <si>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</si>
  <si>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</si>
  <si>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</si>
  <si>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</si>
  <si>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</si>
  <si>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</si>
  <si>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</si>
  <si>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</si>
  <si>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</si>
  <si>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</si>
  <si>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</si>
  <si>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</si>
  <si>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</si>
  <si>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</si>
  <si>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</si>
  <si>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</si>
  <si>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</si>
  <si>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</si>
  <si>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</si>
  <si>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</si>
  <si>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</si>
  <si>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</si>
  <si>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</si>
  <si>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</si>
  <si>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</si>
  <si>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</si>
  <si>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</si>
  <si>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</si>
  <si>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</si>
  <si>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</si>
  <si>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</si>
  <si>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</si>
  <si>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</si>
  <si>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</si>
  <si>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</si>
  <si>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</si>
  <si>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</si>
  <si>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</si>
  <si>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</si>
  <si>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</si>
  <si>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</si>
  <si>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</si>
  <si>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</si>
  <si>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</si>
  <si>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</si>
  <si>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</si>
  <si>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</si>
  <si>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</si>
  <si>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</si>
  <si>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</si>
  <si>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</si>
  <si>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</si>
  <si>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</si>
  <si>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</si>
  <si>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</si>
  <si>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</si>
  <si>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</si>
  <si>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</si>
  <si>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</si>
  <si>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</si>
  <si>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</si>
  <si>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</si>
  <si>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</si>
  <si>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</si>
  <si>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</si>
  <si>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</si>
  <si>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</si>
  <si>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</si>
  <si>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</si>
  <si>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</si>
  <si>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</si>
  <si>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</si>
  <si>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</si>
  <si>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</si>
  <si>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</si>
  <si>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</si>
  <si>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</si>
  <si>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</si>
  <si>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</si>
  <si>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</si>
  <si>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</si>
  <si>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</si>
  <si>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</si>
  <si>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</si>
  <si>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</si>
  <si>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</si>
  <si>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</si>
  <si>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</si>
  <si>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</si>
  <si>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</si>
  <si>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</si>
  <si>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</si>
  <si>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</si>
  <si>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</si>
  <si>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</si>
  <si>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</si>
  <si>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</si>
  <si>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</si>
  <si>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</si>
  <si>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</si>
  <si>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</si>
  <si>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</si>
  <si>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</si>
  <si>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</si>
  <si>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</si>
  <si>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</si>
  <si>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</si>
  <si>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</si>
  <si>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</si>
  <si>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</si>
  <si>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</si>
  <si>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</si>
  <si>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</si>
  <si>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</si>
  <si>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</si>
  <si>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</si>
  <si>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</si>
  <si>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</si>
  <si>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</si>
  <si>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</si>
  <si>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</si>
  <si>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</si>
  <si>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</si>
  <si>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</si>
  <si>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</si>
  <si>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</si>
  <si>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</si>
  <si>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</si>
  <si>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</si>
  <si>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</si>
  <si>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</si>
  <si>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</si>
  <si>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</si>
  <si>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</si>
  <si>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</si>
  <si>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</si>
  <si>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</si>
  <si>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</si>
  <si>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</si>
  <si>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</si>
  <si>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</si>
  <si>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</si>
  <si>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</si>
  <si>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</si>
  <si>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</si>
  <si>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</si>
  <si>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</si>
  <si>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</si>
  <si>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</si>
  <si>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</si>
  <si>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</si>
  <si>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</si>
  <si>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</si>
  <si>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</si>
  <si>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</si>
  <si>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</si>
  <si>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</si>
  <si>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</si>
  <si>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</si>
  <si>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</si>
  <si>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</si>
  <si>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</si>
  <si>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</si>
  <si>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</si>
  <si>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</si>
  <si>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</si>
  <si>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</si>
  <si>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</si>
  <si>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</si>
  <si>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</si>
  <si>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</si>
  <si>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</si>
  <si>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</si>
  <si>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</si>
  <si>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</si>
  <si>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</si>
  <si>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</si>
  <si>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</si>
  <si>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</si>
  <si>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</si>
  <si>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</si>
  <si>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</si>
  <si>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</si>
  <si>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</si>
  <si>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</si>
  <si>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</si>
  <si>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</si>
  <si>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</si>
  <si>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</si>
  <si>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</si>
  <si>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</si>
  <si>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</si>
  <si>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</si>
  <si>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</si>
  <si>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</si>
  <si>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</si>
  <si>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</si>
  <si>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</si>
  <si>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</si>
  <si>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</si>
  <si>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</si>
  <si>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</si>
  <si>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</si>
  <si>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</si>
  <si>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</si>
  <si>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</si>
  <si>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</si>
  <si>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</si>
  <si>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</si>
  <si>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</si>
  <si>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</si>
  <si>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</si>
  <si>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</si>
  <si>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</si>
  <si>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</si>
  <si>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</si>
  <si>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</si>
  <si>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</si>
  <si>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</si>
  <si>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</si>
  <si>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</si>
  <si>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</si>
  <si>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</si>
  <si>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</si>
  <si>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</si>
  <si>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</si>
  <si>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</si>
  <si>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</si>
  <si>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</si>
  <si>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</si>
  <si>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</si>
  <si>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</si>
  <si>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</si>
  <si>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</si>
  <si>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</si>
  <si>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</si>
  <si>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</si>
  <si>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</si>
  <si>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</si>
  <si>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</si>
  <si>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</si>
  <si>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</si>
  <si>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</si>
  <si>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</si>
  <si>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</si>
  <si>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</si>
  <si>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</si>
  <si>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</si>
  <si>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</si>
  <si>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</si>
  <si>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</si>
  <si>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</si>
  <si>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</si>
  <si>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</si>
  <si>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</si>
  <si>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</si>
  <si>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</si>
  <si>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</si>
  <si>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</si>
  <si>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</si>
  <si>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</si>
  <si>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</si>
  <si>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</si>
  <si>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</si>
  <si>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</si>
  <si>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</si>
  <si>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</si>
  <si>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</si>
  <si>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</si>
  <si>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</si>
  <si>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</si>
  <si>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</si>
  <si>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</si>
  <si>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</si>
  <si>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</si>
  <si>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</si>
  <si>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</si>
  <si>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</si>
  <si>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</si>
  <si>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</si>
  <si>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</si>
  <si>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</si>
  <si>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</si>
  <si>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</si>
  <si>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</si>
  <si>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</si>
  <si>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</si>
  <si>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</si>
  <si>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</si>
  <si>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</si>
  <si>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</si>
  <si>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</si>
  <si>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</si>
  <si>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</si>
  <si>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</si>
  <si>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</si>
  <si>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</si>
  <si>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</si>
  <si>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</si>
  <si>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</si>
  <si>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</si>
  <si>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</si>
  <si>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</si>
  <si>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</si>
  <si>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</si>
  <si>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</si>
  <si>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</si>
  <si>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</si>
  <si>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</si>
  <si>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</si>
  <si>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</si>
  <si>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</si>
  <si>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</si>
  <si>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</si>
  <si>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</si>
  <si>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</si>
  <si>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</si>
  <si>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</si>
  <si>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</si>
  <si>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</si>
  <si>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</si>
  <si>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</si>
  <si>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</si>
  <si>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</si>
  <si>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</si>
  <si>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</si>
  <si>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</si>
  <si>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</si>
  <si>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</si>
  <si>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</si>
  <si>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</si>
  <si>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</si>
  <si>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</si>
  <si>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</si>
  <si>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</si>
  <si>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</si>
  <si>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</si>
  <si>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</si>
  <si>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</si>
  <si>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</si>
  <si>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</si>
  <si>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</si>
  <si>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</si>
  <si>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</si>
  <si>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</si>
  <si>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</si>
  <si>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</si>
  <si>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</si>
  <si>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</si>
  <si>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</si>
  <si>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</si>
  <si>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</si>
  <si>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</si>
  <si>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</si>
  <si>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</si>
  <si>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</si>
  <si>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</si>
  <si>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</si>
  <si>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</si>
  <si>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</si>
  <si>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</si>
  <si>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</si>
  <si>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</si>
  <si>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</si>
  <si>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</si>
  <si>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</si>
  <si>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</si>
  <si>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</si>
  <si>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</si>
  <si>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</si>
  <si>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</si>
  <si>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</si>
  <si>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</si>
  <si>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</si>
  <si>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</si>
  <si>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</si>
  <si>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</si>
  <si>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</si>
  <si>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</si>
  <si>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</si>
  <si>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</si>
  <si>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</si>
  <si>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</si>
  <si>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</si>
  <si>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</si>
  <si>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</si>
  <si>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</si>
  <si>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</si>
  <si>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</si>
  <si>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</si>
  <si>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</si>
  <si>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</si>
  <si>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</si>
  <si>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</si>
  <si>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</si>
  <si>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</si>
  <si>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</si>
  <si>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</si>
  <si>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</si>
  <si>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</si>
  <si>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</si>
  <si>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</si>
  <si>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</si>
  <si>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</si>
  <si>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</si>
  <si>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</si>
  <si>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</si>
  <si>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</si>
  <si>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</si>
  <si>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</si>
  <si>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</si>
  <si>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</si>
  <si>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</si>
  <si>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</si>
  <si>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</si>
  <si>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</si>
  <si>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</si>
  <si>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</si>
  <si>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</si>
  <si>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</si>
  <si>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</si>
  <si>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</si>
  <si>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</si>
  <si>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</si>
  <si>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</si>
  <si>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</si>
  <si>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</si>
  <si>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</si>
  <si>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</si>
  <si>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</si>
  <si>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</si>
  <si>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</si>
  <si>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</si>
  <si>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</si>
  <si>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</si>
  <si>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</si>
  <si>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</si>
  <si>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</si>
  <si>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</si>
  <si>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</si>
  <si>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</si>
  <si>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</si>
  <si>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</si>
  <si>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</si>
  <si>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</si>
  <si>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</si>
  <si>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</si>
  <si>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</si>
  <si>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</si>
  <si>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</si>
  <si>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</si>
  <si>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</si>
  <si>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</si>
  <si>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</si>
  <si>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</si>
  <si>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</si>
  <si>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</si>
  <si>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</si>
  <si>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</si>
  <si>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</si>
  <si>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</si>
  <si>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</si>
  <si>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</si>
  <si>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</si>
  <si>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</si>
  <si>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</si>
  <si>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</si>
  <si>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</si>
  <si>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</si>
  <si>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</si>
  <si>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</si>
  <si>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</si>
  <si>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</si>
  <si>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</si>
  <si>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</si>
  <si>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</si>
  <si>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</si>
  <si>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</si>
  <si>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</si>
  <si>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</si>
  <si>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</si>
  <si>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</si>
  <si>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</si>
  <si>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</si>
  <si>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</si>
  <si>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</si>
  <si>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</si>
  <si>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</si>
  <si>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</si>
  <si>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</si>
  <si>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</si>
  <si>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</si>
  <si>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</si>
  <si>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</si>
  <si>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</si>
  <si>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</si>
  <si>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</si>
  <si>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</si>
  <si>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</si>
  <si>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</si>
  <si>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</si>
  <si>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</si>
  <si>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</si>
  <si>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</si>
  <si>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</si>
  <si>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</si>
  <si>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</si>
  <si>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</si>
  <si>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</si>
  <si>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</si>
  <si>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</si>
  <si>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</si>
  <si>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</si>
  <si>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</si>
  <si>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</si>
  <si>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</si>
  <si>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</si>
  <si>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</si>
  <si>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</si>
  <si>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</si>
  <si>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</si>
  <si>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</si>
  <si>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</si>
  <si>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</si>
  <si>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</si>
  <si>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</si>
  <si>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</si>
  <si>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</si>
  <si>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</si>
  <si>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</si>
  <si>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</si>
  <si>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</si>
  <si>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</si>
  <si>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</si>
  <si>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</si>
  <si>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</si>
  <si>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</si>
  <si>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</si>
  <si>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</si>
  <si>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</si>
  <si>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</si>
  <si>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</si>
  <si>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</si>
  <si>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</si>
  <si>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</si>
  <si>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</si>
  <si>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</si>
  <si>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</si>
  <si>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</si>
  <si>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</si>
  <si>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</si>
  <si>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</si>
  <si>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</si>
  <si>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</si>
  <si>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</si>
  <si>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</si>
  <si>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</si>
  <si>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</si>
  <si>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</si>
  <si>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</si>
  <si>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</si>
  <si>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</si>
  <si>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</si>
  <si>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</si>
  <si>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</si>
  <si>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</si>
  <si>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</si>
  <si>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</si>
  <si>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</si>
  <si>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</si>
  <si>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</si>
  <si>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</si>
  <si>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</si>
  <si>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</si>
  <si>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</si>
  <si>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</si>
  <si>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</si>
  <si>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</si>
  <si>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</si>
  <si>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</si>
  <si>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</si>
  <si>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</si>
  <si>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</si>
  <si>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</si>
  <si>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</si>
  <si>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</si>
  <si>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</si>
  <si>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</si>
  <si>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</si>
  <si>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</si>
  <si>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</si>
  <si>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</si>
  <si>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</si>
  <si>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</si>
  <si>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</si>
  <si>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</si>
  <si>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</si>
  <si>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</si>
  <si>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</si>
  <si>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</si>
  <si>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</si>
  <si>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</si>
  <si>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</si>
  <si>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</si>
  <si>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</si>
  <si>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</si>
  <si>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</si>
  <si>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</si>
  <si>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</si>
  <si>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</si>
  <si>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</si>
  <si>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</si>
  <si>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</si>
  <si>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</si>
  <si>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</si>
  <si>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</si>
  <si>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</si>
  <si>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</si>
  <si>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</si>
  <si>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</si>
  <si>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</si>
  <si>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</si>
  <si>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</si>
  <si>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</si>
  <si>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</si>
  <si>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</si>
  <si>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</si>
  <si>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</si>
  <si>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</si>
  <si>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</si>
  <si>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</si>
  <si>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</si>
  <si>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</si>
  <si>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</si>
  <si>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</si>
  <si>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</si>
  <si>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</si>
  <si>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</si>
  <si>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</si>
  <si>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</si>
  <si>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</si>
  <si>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</si>
  <si>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</si>
  <si>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</si>
  <si>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</si>
  <si>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</si>
  <si>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</si>
  <si>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</si>
  <si>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</si>
  <si>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</si>
  <si>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</si>
  <si>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</si>
  <si>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</si>
  <si>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</si>
  <si>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</si>
  <si>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</si>
  <si>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</si>
  <si>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</si>
  <si>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</si>
  <si>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</si>
  <si>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</si>
  <si>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</si>
  <si>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</si>
  <si>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</si>
  <si>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</si>
  <si>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</si>
  <si>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</si>
  <si>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</si>
  <si>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</si>
  <si>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</si>
  <si>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</si>
  <si>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</si>
  <si>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</si>
  <si>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</si>
  <si>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</si>
  <si>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</si>
  <si>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</si>
  <si>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</si>
  <si>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</si>
  <si>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</si>
  <si>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</si>
  <si>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</si>
  <si>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</si>
  <si>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</si>
  <si>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</si>
  <si>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</si>
  <si>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</si>
  <si>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</si>
  <si>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</si>
  <si>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</si>
  <si>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</si>
  <si>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</si>
  <si>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</si>
  <si>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</si>
  <si>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</si>
  <si>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</si>
  <si>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</si>
  <si>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</si>
  <si>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</si>
  <si>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</si>
  <si>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</si>
  <si>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</si>
  <si>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</si>
  <si>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</si>
  <si>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</si>
  <si>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</si>
  <si>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</si>
  <si>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</si>
  <si>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</si>
  <si>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</si>
  <si>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</si>
  <si>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</si>
  <si>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</si>
  <si>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</si>
  <si>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</si>
  <si>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</si>
  <si>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</si>
  <si>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</si>
  <si>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</si>
  <si>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</si>
  <si>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</si>
  <si>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</si>
  <si>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</si>
  <si>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</si>
  <si>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</si>
  <si>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</si>
  <si>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</si>
  <si>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</si>
  <si>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</si>
  <si>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</si>
  <si>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</si>
  <si>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</si>
  <si>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</si>
  <si>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</si>
  <si>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</si>
  <si>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</si>
  <si>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</si>
  <si>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</si>
  <si>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</si>
  <si>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</si>
  <si>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</si>
  <si>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</si>
  <si>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</si>
  <si>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</si>
  <si>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</si>
  <si>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</si>
  <si>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</si>
  <si>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</si>
  <si>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</si>
  <si>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</si>
  <si>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</si>
  <si>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</si>
  <si>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</si>
  <si>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</si>
  <si>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</si>
  <si>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</si>
  <si>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</si>
  <si>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</si>
  <si>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</si>
  <si>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</si>
  <si>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</si>
  <si>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</si>
  <si>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</si>
  <si>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</si>
  <si>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</si>
  <si>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</si>
  <si>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</si>
  <si>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</si>
  <si>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</si>
  <si>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</si>
  <si>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</si>
  <si>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</si>
  <si>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</si>
  <si>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</si>
  <si>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</si>
  <si>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</si>
  <si>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</si>
  <si>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</si>
  <si>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</si>
  <si>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</si>
  <si>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</si>
  <si>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</si>
  <si>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</si>
  <si>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</si>
  <si>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</si>
  <si>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</si>
  <si>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</si>
  <si>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</si>
  <si>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</si>
  <si>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</si>
  <si>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</si>
  <si>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</si>
  <si>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</si>
  <si>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</si>
  <si>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</si>
  <si>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</si>
  <si>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</si>
  <si>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</si>
  <si>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</si>
  <si>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</si>
  <si>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</si>
  <si>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</si>
  <si>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</si>
  <si>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</si>
  <si>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</si>
  <si>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</si>
  <si>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</si>
  <si>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</si>
  <si>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</si>
  <si>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</si>
  <si>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</si>
  <si>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</si>
  <si>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</si>
  <si>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</si>
  <si>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</si>
  <si>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</si>
  <si>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</si>
  <si>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</si>
  <si>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</si>
  <si>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</si>
  <si>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</si>
  <si>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</si>
  <si>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</si>
  <si>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</si>
  <si>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</si>
  <si>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</si>
  <si>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</si>
  <si>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</si>
  <si>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</si>
  <si>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</si>
  <si>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</si>
  <si>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</si>
  <si>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</si>
  <si>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</si>
  <si>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</si>
  <si>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</si>
  <si>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</si>
  <si>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</si>
  <si>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</si>
  <si>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</si>
  <si>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</si>
  <si>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</si>
  <si>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</si>
  <si>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</si>
  <si>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</si>
  <si>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</si>
  <si>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</si>
  <si>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</si>
  <si>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</si>
  <si>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</si>
  <si>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</si>
  <si>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</si>
  <si>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</si>
  <si>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</si>
  <si>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</si>
  <si>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</si>
  <si>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</si>
  <si>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</si>
  <si>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</si>
  <si>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</si>
  <si>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</si>
  <si>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</si>
  <si>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</si>
  <si>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</si>
  <si>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</si>
  <si>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</si>
  <si>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</si>
  <si>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</si>
  <si>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</si>
  <si>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</si>
  <si>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</si>
  <si>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</si>
  <si>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</si>
  <si>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</si>
  <si>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</si>
  <si>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</si>
  <si>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</si>
  <si>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</si>
  <si>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</si>
  <si>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</si>
  <si>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</si>
  <si>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</si>
  <si>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</si>
  <si>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</si>
  <si>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</si>
  <si>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</si>
  <si>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</si>
  <si>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</si>
  <si>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</si>
  <si>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</si>
  <si>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</si>
  <si>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</si>
  <si>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</si>
  <si>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</si>
  <si>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</si>
  <si>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</si>
  <si>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</si>
  <si>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</si>
  <si>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</si>
  <si>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</si>
  <si>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</si>
  <si>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</si>
  <si>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</si>
  <si>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</si>
  <si>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</si>
  <si>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</si>
  <si>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</si>
  <si>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</si>
  <si>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</si>
  <si>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</si>
  <si>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</si>
  <si>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</si>
  <si>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</si>
  <si>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</si>
  <si>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</si>
  <si>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</si>
  <si>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</si>
  <si>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</si>
  <si>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</si>
  <si>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</si>
  <si>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</si>
  <si>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</si>
  <si>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</si>
  <si>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</si>
  <si>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</si>
  <si>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</si>
  <si>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</si>
  <si>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</si>
  <si>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</si>
  <si>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</si>
  <si>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</si>
  <si>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</si>
  <si>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</si>
  <si>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</si>
  <si>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</si>
  <si>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</si>
  <si>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</si>
  <si>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</si>
  <si>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</si>
  <si>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</si>
  <si>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</si>
  <si>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</si>
  <si>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</si>
  <si>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</si>
  <si>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</si>
  <si>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</si>
  <si>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</si>
  <si>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</si>
  <si>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</si>
  <si>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</si>
  <si>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</si>
  <si>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</si>
  <si>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</si>
  <si>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</si>
  <si>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</si>
  <si>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</si>
  <si>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</si>
  <si>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</si>
  <si>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</si>
  <si>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</si>
  <si>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</si>
  <si>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</si>
  <si>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</si>
  <si>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</si>
  <si>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</si>
  <si>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</si>
  <si>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</si>
  <si>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</si>
  <si>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</si>
  <si>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</si>
  <si>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</si>
  <si>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</si>
  <si>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</si>
  <si>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</si>
  <si>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</si>
  <si>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</si>
  <si>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</si>
  <si>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</si>
  <si>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</si>
  <si>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</si>
  <si>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</si>
  <si>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</si>
  <si>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</si>
  <si>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</si>
  <si>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</si>
  <si>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</si>
  <si>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</si>
  <si>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</si>
  <si>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</si>
  <si>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</si>
  <si>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</si>
  <si>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</si>
  <si>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</si>
  <si>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</si>
  <si>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</si>
  <si>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</si>
  <si>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</si>
  <si>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</si>
  <si>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</si>
  <si>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</si>
  <si>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</si>
  <si>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</si>
  <si>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</si>
  <si>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</si>
  <si>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</si>
  <si>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</si>
  <si>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</si>
  <si>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</si>
  <si>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</si>
  <si>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</si>
  <si>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</si>
  <si>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</si>
  <si>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</si>
  <si>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</si>
  <si>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</si>
  <si>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</si>
  <si>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</si>
  <si>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</si>
  <si>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</si>
  <si>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</si>
  <si>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</si>
  <si>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</si>
  <si>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</si>
  <si>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</si>
  <si>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</si>
  <si>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</si>
  <si>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</si>
  <si>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</si>
  <si>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</si>
  <si>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</si>
  <si>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</si>
  <si>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</si>
  <si>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</si>
  <si>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</si>
  <si>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</si>
  <si>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</si>
  <si>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</si>
  <si>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</si>
  <si>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</si>
  <si>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</si>
  <si>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</si>
  <si>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</si>
  <si>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</si>
  <si>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</si>
  <si>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</si>
  <si>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</si>
  <si>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</si>
  <si>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</si>
  <si>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</si>
  <si>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</si>
  <si>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</si>
  <si>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</si>
  <si>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</si>
  <si>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</si>
  <si>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</si>
  <si>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</si>
  <si>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</si>
  <si>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</si>
  <si>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</si>
  <si>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</si>
  <si>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</si>
  <si>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</si>
  <si>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</si>
  <si>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</si>
  <si>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</si>
  <si>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</si>
  <si>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</si>
  <si>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</si>
  <si>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</si>
  <si>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</si>
  <si>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</si>
  <si>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</si>
  <si>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</si>
  <si>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</si>
  <si>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</si>
  <si>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</si>
  <si>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</si>
  <si>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</si>
  <si>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</si>
  <si>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</si>
  <si>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</si>
  <si>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</si>
  <si>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</si>
  <si>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</si>
  <si>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</si>
  <si>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</si>
  <si>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</si>
  <si>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</si>
  <si>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</si>
  <si>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</si>
  <si>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</si>
  <si>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</si>
  <si>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</si>
  <si>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</si>
  <si>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</si>
  <si>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</si>
  <si>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</si>
  <si>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</si>
  <si>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</si>
  <si>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</si>
  <si>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</si>
  <si>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</si>
  <si>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</si>
  <si>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</si>
  <si>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</si>
  <si>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</si>
  <si>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</si>
  <si>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</si>
  <si>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</si>
  <si>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</si>
  <si>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</si>
  <si>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</si>
  <si>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</si>
  <si>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</si>
  <si>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</si>
  <si>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</si>
  <si>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</si>
  <si>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</si>
  <si>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</si>
  <si>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</si>
  <si>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</si>
  <si>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</si>
  <si>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</si>
  <si>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</si>
  <si>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</si>
  <si>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</si>
  <si>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</si>
  <si>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</si>
  <si>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</si>
  <si>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</si>
  <si>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</si>
  <si>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</si>
  <si>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</si>
  <si>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</si>
  <si>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</si>
  <si>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</si>
  <si>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</si>
  <si>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</si>
  <si>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</si>
  <si>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</si>
  <si>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</si>
  <si>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</si>
  <si>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</si>
  <si>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</si>
  <si>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</si>
  <si>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</si>
  <si>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</si>
  <si>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</si>
  <si>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</si>
  <si>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</si>
  <si>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</si>
  <si>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</si>
  <si>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</si>
  <si>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</si>
  <si>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</si>
  <si>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</si>
  <si>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</si>
  <si>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</si>
  <si>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</si>
  <si>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</si>
  <si>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</si>
  <si>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</si>
  <si>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</si>
  <si>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</si>
  <si>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</si>
  <si>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</si>
  <si>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</si>
  <si>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</si>
  <si>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</si>
  <si>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</si>
  <si>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</si>
  <si>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</si>
  <si>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</si>
  <si>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</si>
  <si>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</si>
  <si>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</si>
  <si>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</si>
  <si>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</si>
  <si>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</si>
  <si>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</si>
  <si>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</si>
  <si>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</si>
  <si>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</si>
  <si>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</si>
  <si>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</si>
  <si>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</si>
  <si>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</si>
  <si>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</si>
  <si>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</si>
  <si>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</si>
  <si>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</si>
  <si>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</si>
  <si>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</si>
  <si>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</si>
  <si>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</si>
  <si>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</si>
  <si>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</si>
  <si>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</si>
  <si>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</si>
  <si>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</si>
  <si>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</si>
  <si>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</si>
  <si>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</si>
  <si>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</si>
  <si>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</si>
  <si>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</si>
  <si>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</si>
  <si>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</si>
  <si>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</si>
  <si>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</si>
  <si>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</si>
  <si>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</si>
  <si>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</si>
  <si>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</si>
  <si>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</si>
  <si>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</si>
  <si>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</si>
  <si>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</si>
  <si>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</si>
  <si>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</si>
  <si>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</si>
  <si>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</si>
  <si>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</si>
  <si>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</si>
  <si>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</si>
  <si>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</si>
  <si>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</si>
  <si>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</si>
  <si>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</si>
  <si>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</si>
  <si>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</si>
  <si>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</si>
  <si>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</si>
  <si>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</si>
  <si>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</si>
  <si>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</si>
  <si>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</si>
  <si>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</si>
  <si>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</si>
  <si>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</si>
  <si>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</si>
  <si>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</si>
  <si>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</si>
  <si>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</si>
  <si>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</si>
  <si>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</si>
  <si>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</si>
  <si>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</si>
  <si>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</si>
  <si>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</si>
  <si>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</si>
  <si>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</si>
  <si>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</si>
  <si>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</si>
  <si>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</si>
  <si>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</si>
  <si>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</si>
  <si>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</si>
  <si>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</si>
  <si>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</si>
  <si>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</si>
  <si>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</si>
  <si>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</si>
  <si>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</si>
  <si>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</si>
  <si>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</si>
  <si>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</si>
  <si>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</si>
  <si>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</si>
  <si>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</si>
  <si>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</si>
  <si>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</si>
  <si>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</si>
  <si>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</si>
  <si>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</si>
  <si>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</si>
  <si>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</si>
  <si>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</si>
  <si>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</si>
  <si>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</si>
  <si>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</si>
  <si>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</si>
  <si>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</si>
  <si>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</si>
  <si>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</si>
  <si>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</si>
  <si>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</si>
  <si>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</si>
  <si>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</si>
  <si>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</si>
  <si>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</si>
  <si>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</si>
  <si>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</si>
  <si>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</si>
  <si>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</si>
  <si>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</si>
  <si>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</si>
  <si>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</si>
  <si>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</si>
  <si>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</si>
  <si>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</si>
  <si>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</si>
  <si>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</si>
  <si>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</si>
  <si>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</si>
  <si>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</si>
  <si>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</si>
  <si>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</si>
  <si>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</si>
  <si>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</si>
  <si>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</si>
  <si>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</si>
  <si>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</si>
  <si>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</si>
  <si>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</si>
  <si>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</si>
  <si>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</si>
  <si>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</si>
  <si>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</si>
  <si>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</si>
  <si>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</si>
  <si>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</si>
  <si>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</si>
  <si>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</si>
  <si>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</si>
  <si>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</si>
  <si>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</si>
  <si>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</si>
  <si>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</si>
  <si>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</si>
  <si>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</si>
  <si>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</si>
  <si>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</si>
  <si>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</si>
  <si>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</si>
  <si>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</si>
  <si>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</si>
  <si>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</si>
  <si>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</si>
  <si>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</si>
  <si>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</si>
  <si>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</si>
  <si>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</si>
  <si>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</si>
  <si>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</si>
  <si>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</si>
  <si>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</si>
  <si>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</si>
  <si>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</si>
  <si>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</si>
  <si>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</si>
  <si>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</si>
  <si>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</si>
  <si>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</si>
  <si>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</si>
  <si>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</si>
  <si>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</si>
  <si>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</si>
  <si>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</si>
  <si>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</si>
  <si>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</si>
  <si>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</si>
  <si>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</si>
  <si>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</si>
  <si>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</si>
  <si>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</si>
  <si>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</si>
  <si>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</si>
  <si>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</si>
  <si>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</si>
  <si>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</si>
  <si>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</si>
  <si>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</si>
  <si>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</si>
  <si>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</si>
  <si>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</si>
  <si>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</si>
  <si>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</si>
  <si>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</si>
  <si>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</si>
  <si>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</si>
  <si>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</si>
  <si>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</si>
  <si>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</si>
  <si>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</si>
  <si>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</si>
  <si>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</si>
  <si>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</si>
  <si>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</si>
  <si>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</si>
  <si>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</si>
  <si>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</si>
  <si>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</si>
  <si>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</si>
  <si>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</si>
  <si>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</si>
  <si>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</si>
  <si>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</si>
  <si>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</si>
  <si>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</si>
  <si>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</si>
  <si>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</si>
  <si>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</si>
  <si>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</si>
  <si>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</si>
  <si>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</si>
  <si>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</si>
  <si>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</si>
  <si>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</si>
  <si>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</si>
  <si>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</si>
  <si>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</si>
  <si>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</si>
  <si>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</si>
  <si>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</si>
  <si>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</si>
  <si>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</si>
  <si>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</si>
  <si>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</si>
  <si>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</si>
  <si>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</si>
  <si>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</si>
  <si>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</si>
  <si>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</si>
  <si>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</si>
  <si>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</si>
  <si>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</si>
  <si>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</si>
  <si>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</si>
  <si>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</si>
  <si>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</si>
  <si>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</si>
  <si>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</si>
  <si>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</si>
  <si>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</si>
  <si>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</si>
  <si>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</si>
  <si>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</si>
  <si>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</si>
  <si>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</si>
  <si>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</si>
  <si>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</si>
  <si>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</si>
  <si>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</si>
  <si>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</si>
  <si>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</si>
  <si>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</si>
  <si>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</si>
  <si>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</si>
  <si>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</si>
  <si>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</si>
  <si>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</si>
  <si>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</si>
  <si>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</si>
  <si>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</si>
  <si>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</si>
  <si>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</si>
  <si>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</si>
  <si>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</si>
  <si>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</si>
  <si>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</si>
  <si>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</si>
  <si>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</si>
  <si>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</si>
  <si>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</si>
  <si>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</si>
  <si>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</si>
  <si>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</si>
  <si>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</si>
  <si>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</si>
  <si>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</si>
  <si>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</si>
  <si>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</si>
  <si>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</si>
  <si>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</si>
  <si>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</si>
  <si>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</si>
  <si>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</si>
  <si>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</si>
  <si>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</si>
  <si>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</si>
  <si>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</si>
  <si>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</si>
  <si>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</si>
  <si>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</si>
  <si>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</si>
  <si>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</si>
  <si>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</si>
  <si>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</si>
  <si>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</si>
  <si>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</si>
  <si>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</si>
  <si>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</si>
  <si>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</si>
  <si>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</si>
  <si>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</si>
  <si>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</si>
  <si>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</si>
  <si>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</si>
  <si>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</si>
  <si>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</si>
  <si>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</si>
  <si>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</si>
  <si>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</si>
  <si>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</si>
  <si>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</si>
  <si>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</si>
  <si>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</si>
  <si>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</si>
  <si>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</si>
  <si>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</si>
  <si>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</si>
  <si>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</si>
  <si>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</si>
  <si>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</si>
  <si>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</si>
  <si>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</si>
  <si>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</si>
  <si>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</si>
  <si>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</si>
  <si>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</si>
  <si>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</si>
  <si>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</si>
  <si>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</si>
  <si>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</si>
  <si>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</si>
  <si>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</si>
  <si>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</si>
  <si>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</si>
  <si>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</si>
  <si>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</si>
  <si>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</si>
  <si>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</si>
  <si>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</si>
  <si>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</si>
  <si>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</si>
  <si>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</si>
  <si>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</si>
  <si>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</si>
  <si>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</si>
  <si>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</si>
  <si>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</si>
  <si>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</si>
  <si>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</si>
  <si>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</si>
  <si>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</si>
  <si>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</si>
  <si>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</si>
  <si>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</si>
  <si>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</si>
  <si>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</si>
  <si>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</si>
  <si>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</si>
  <si>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</si>
  <si>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</si>
  <si>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</si>
  <si>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</si>
  <si>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</si>
  <si>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</si>
  <si>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</si>
  <si>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</si>
  <si>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</si>
  <si>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</si>
  <si>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</si>
  <si>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</si>
  <si>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</si>
  <si>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</si>
  <si>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</si>
  <si>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</si>
  <si>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</si>
  <si>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</si>
  <si>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</si>
  <si>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</si>
  <si>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</si>
  <si>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</si>
  <si>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</si>
  <si>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</si>
  <si>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</si>
  <si>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</si>
  <si>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</si>
  <si>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</si>
  <si>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</si>
  <si>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</si>
  <si>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</si>
  <si>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</si>
  <si>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</si>
  <si>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</si>
  <si>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</si>
  <si>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</si>
  <si>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</si>
  <si>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</si>
  <si>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</si>
  <si>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</si>
  <si>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</si>
  <si>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</si>
  <si>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</si>
  <si>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</si>
  <si>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</si>
  <si>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</si>
  <si>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</si>
  <si>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</si>
  <si>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</si>
  <si>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</si>
  <si>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</si>
  <si>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</si>
  <si>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</si>
  <si>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</si>
  <si>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</si>
  <si>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</si>
  <si>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</si>
  <si>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</si>
  <si>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</si>
  <si>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</si>
  <si>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</si>
  <si>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</si>
  <si>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</si>
  <si>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</si>
  <si>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</si>
  <si>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</si>
  <si>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</si>
  <si>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</si>
  <si>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</si>
  <si>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</si>
  <si>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</si>
  <si>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</si>
  <si>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</si>
  <si>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</si>
  <si>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</si>
  <si>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</si>
  <si>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</si>
  <si>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</si>
  <si>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</si>
  <si>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</si>
  <si>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</si>
  <si>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</si>
  <si>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</si>
  <si>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</si>
  <si>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</si>
  <si>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</si>
  <si>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</si>
  <si>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</si>
  <si>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</si>
  <si>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</si>
  <si>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</si>
  <si>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</si>
  <si>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</si>
  <si>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</si>
  <si>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</si>
  <si>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</si>
  <si>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</si>
  <si>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</si>
  <si>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</si>
  <si>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</si>
  <si>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</si>
  <si>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</si>
  <si>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</si>
  <si>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</si>
  <si>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</si>
  <si>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</si>
  <si>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</si>
  <si>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</si>
  <si>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</si>
  <si>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</si>
  <si>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</si>
  <si>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</si>
  <si>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</si>
  <si>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</si>
  <si>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</si>
  <si>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</si>
  <si>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</si>
  <si>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</si>
  <si>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</si>
  <si>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</si>
  <si>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</si>
  <si>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</si>
  <si>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</si>
  <si>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</si>
  <si>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</si>
  <si>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</si>
  <si>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</si>
  <si>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</si>
  <si>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</si>
  <si>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</si>
  <si>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</si>
  <si>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</si>
  <si>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</si>
  <si>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</si>
  <si>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</si>
  <si>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</si>
  <si>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</si>
  <si>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</si>
  <si>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</si>
  <si>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</si>
  <si>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</si>
  <si>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</si>
  <si>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</si>
  <si>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</si>
  <si>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</si>
  <si>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</si>
  <si>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</si>
  <si>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</si>
  <si>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</si>
  <si>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</si>
  <si>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</si>
  <si>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</si>
  <si>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</si>
  <si>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</si>
  <si>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</si>
  <si>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</si>
  <si>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</si>
  <si>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</si>
  <si>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</si>
  <si>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</si>
  <si>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</si>
  <si>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</si>
  <si>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</si>
  <si>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</si>
  <si>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</si>
  <si>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</si>
  <si>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</si>
  <si>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</si>
  <si>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</si>
  <si>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</si>
  <si>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</si>
  <si>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</si>
  <si>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</si>
  <si>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</si>
  <si>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</si>
  <si>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</si>
  <si>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</si>
  <si>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</si>
  <si>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</si>
  <si>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</si>
  <si>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</si>
  <si>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</si>
  <si>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</si>
  <si>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</si>
  <si>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</si>
  <si>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</si>
  <si>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</si>
  <si>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</si>
  <si>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</si>
  <si>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</si>
  <si>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</si>
  <si>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</si>
  <si>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</si>
  <si>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</si>
  <si>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</si>
  <si>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</si>
  <si>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</si>
  <si>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</si>
  <si>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</si>
  <si>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</si>
  <si>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</si>
  <si>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</si>
  <si>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</si>
  <si>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</si>
  <si>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</si>
  <si>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</si>
  <si>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</si>
  <si>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</si>
  <si>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</si>
  <si>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</si>
  <si>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</si>
  <si>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</si>
  <si>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</si>
  <si>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</si>
  <si>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</si>
  <si>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</si>
  <si>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</si>
  <si>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</si>
  <si>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</si>
  <si>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</si>
  <si>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</si>
  <si>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</si>
  <si>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</si>
  <si>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</si>
  <si>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</si>
  <si>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</si>
  <si>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</si>
  <si>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</si>
  <si>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</si>
  <si>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</si>
  <si>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</si>
  <si>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</si>
  <si>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</si>
  <si>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</si>
  <si>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</si>
  <si>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</si>
  <si>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</si>
  <si>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</si>
  <si>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</si>
  <si>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</si>
  <si>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</si>
  <si>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</si>
  <si>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</si>
  <si>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</si>
  <si>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</si>
  <si>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</si>
  <si>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</si>
  <si>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</si>
  <si>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</si>
  <si>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</si>
  <si>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</si>
  <si>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</si>
  <si>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</si>
  <si>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</si>
  <si>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</si>
  <si>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</si>
  <si>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</si>
  <si>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</si>
  <si>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</si>
  <si>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</si>
  <si>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</si>
  <si>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</si>
  <si>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</si>
  <si>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</si>
  <si>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</si>
  <si>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</si>
  <si>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</si>
  <si>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</si>
  <si>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</si>
  <si>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</si>
  <si>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</si>
  <si>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</si>
  <si>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</si>
  <si>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</si>
  <si>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</si>
  <si>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</si>
  <si>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</si>
  <si>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</si>
  <si>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</si>
  <si>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</si>
  <si>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</si>
  <si>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</si>
  <si>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</si>
  <si>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</si>
  <si>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</si>
  <si>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</si>
  <si>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</si>
  <si>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</si>
  <si>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</si>
  <si>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</si>
  <si>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</si>
  <si>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</si>
  <si>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</si>
  <si>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</si>
  <si>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</si>
  <si>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</si>
  <si>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</si>
  <si>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</si>
  <si>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</si>
  <si>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</si>
  <si>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</si>
  <si>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</si>
  <si>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</si>
  <si>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</si>
  <si>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</si>
  <si>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</si>
  <si>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</si>
  <si>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</si>
  <si>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</si>
  <si>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</si>
  <si>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</si>
  <si>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</si>
  <si>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</si>
  <si>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</si>
  <si>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</si>
  <si>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</si>
  <si>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</si>
  <si>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</si>
  <si>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</si>
  <si>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</si>
  <si>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</si>
  <si>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</si>
  <si>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</si>
  <si>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</si>
  <si>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</si>
  <si>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</si>
  <si>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</si>
  <si>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</si>
  <si>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</si>
  <si>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</si>
  <si>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</si>
  <si>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</si>
  <si>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</si>
  <si>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</si>
  <si>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</si>
  <si>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</si>
  <si>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</si>
  <si>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</si>
  <si>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</si>
  <si>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</si>
  <si>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</si>
  <si>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</si>
  <si>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</si>
  <si>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</si>
  <si>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</si>
  <si>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</si>
  <si>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</si>
  <si>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</si>
  <si>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</si>
  <si>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</si>
  <si>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</si>
  <si>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</si>
  <si>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</si>
  <si>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</si>
  <si>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</si>
  <si>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</si>
  <si>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</si>
  <si>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</si>
  <si>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</si>
  <si>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</si>
  <si>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</si>
  <si>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</si>
  <si>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</si>
  <si>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</si>
  <si>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</si>
  <si>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</si>
  <si>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</si>
  <si>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</si>
  <si>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</si>
  <si>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</si>
  <si>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</si>
  <si>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</si>
  <si>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</si>
  <si>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</si>
  <si>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</si>
  <si>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</si>
  <si>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</si>
  <si>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</si>
  <si>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</si>
  <si>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</si>
  <si>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</si>
  <si>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</si>
  <si>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</si>
  <si>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</si>
  <si>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</si>
  <si>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</si>
  <si>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</si>
  <si>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</si>
  <si>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</si>
  <si>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</si>
  <si>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</si>
  <si>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</si>
  <si>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</si>
  <si>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</si>
  <si>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</si>
  <si>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</si>
  <si>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</si>
  <si>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</si>
  <si>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</si>
  <si>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</si>
  <si>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</si>
  <si>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</si>
  <si>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</si>
  <si>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</si>
  <si>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</si>
  <si>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</si>
  <si>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</si>
  <si>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</si>
  <si>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</si>
  <si>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</si>
  <si>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</si>
  <si>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</si>
  <si>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</si>
  <si>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</si>
  <si>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</si>
  <si>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</si>
  <si>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</si>
  <si>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</si>
  <si>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</si>
  <si>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</si>
  <si>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</si>
  <si>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</si>
  <si>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</si>
  <si>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</si>
  <si>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</si>
  <si>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</si>
  <si>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</si>
  <si>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</si>
  <si>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</si>
  <si>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</si>
  <si>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</si>
  <si>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</si>
  <si>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</si>
  <si>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</si>
  <si>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</si>
  <si>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</si>
  <si>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</si>
  <si>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</si>
  <si>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</si>
  <si>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</si>
  <si>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</si>
  <si>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</si>
  <si>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</si>
  <si>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</si>
  <si>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</si>
  <si>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</si>
  <si>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</si>
  <si>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</si>
  <si>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</si>
  <si>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</si>
  <si>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</si>
  <si>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</si>
  <si>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</si>
  <si>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</si>
  <si>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</si>
  <si>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</si>
  <si>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</si>
  <si>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</si>
  <si>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</si>
  <si>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</si>
  <si>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</si>
  <si>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</si>
  <si>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</si>
  <si>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</si>
  <si>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</si>
  <si>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</si>
  <si>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</si>
  <si>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</si>
  <si>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</si>
  <si>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</si>
  <si>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</si>
  <si>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</si>
  <si>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</si>
  <si>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</si>
  <si>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</si>
  <si>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</si>
  <si>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</si>
  <si>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</si>
  <si>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</si>
  <si>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</si>
  <si>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</si>
  <si>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</si>
  <si>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</si>
  <si>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</si>
  <si>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</si>
  <si>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</si>
  <si>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</si>
  <si>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</si>
  <si>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</si>
  <si>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</si>
  <si>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</si>
  <si>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</si>
  <si>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</si>
  <si>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</si>
  <si>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</si>
  <si>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</si>
  <si>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</si>
  <si>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</si>
  <si>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</si>
  <si>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</si>
  <si>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</si>
  <si>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</si>
  <si>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</si>
  <si>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</si>
  <si>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</si>
  <si>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</si>
  <si>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</si>
  <si>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</si>
  <si>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</si>
  <si>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</si>
  <si>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</si>
  <si>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</si>
  <si>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</si>
  <si>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</si>
  <si>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</si>
  <si>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</si>
  <si>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</si>
  <si>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</si>
  <si>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</si>
  <si>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</si>
  <si>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</si>
  <si>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</si>
  <si>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</si>
  <si>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</si>
  <si>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</si>
  <si>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</si>
  <si>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</si>
  <si>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</si>
  <si>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</si>
  <si>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</si>
  <si>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</si>
  <si>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</si>
  <si>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</si>
  <si>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</si>
  <si>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</si>
  <si>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</si>
  <si>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</si>
  <si>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</si>
  <si>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</si>
  <si>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</si>
  <si>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</si>
  <si>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</si>
  <si>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</si>
  <si>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</si>
  <si>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</si>
  <si>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</si>
  <si>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</si>
  <si>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</si>
  <si>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</si>
  <si>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</si>
  <si>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</si>
  <si>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</si>
  <si>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</si>
  <si>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</si>
  <si>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</si>
  <si>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</si>
  <si>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</si>
  <si>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</si>
  <si>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</si>
  <si>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</si>
  <si>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</si>
  <si>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</si>
  <si>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</si>
  <si>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</si>
  <si>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</si>
  <si>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</si>
  <si>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</si>
  <si>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</si>
  <si>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</si>
  <si>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</si>
  <si>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</si>
  <si>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</si>
  <si>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</si>
  <si>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</si>
  <si>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</si>
  <si>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</si>
  <si>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</si>
  <si>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</si>
  <si>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</si>
  <si>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</si>
  <si>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</si>
  <si>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</si>
  <si>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</si>
  <si>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</si>
  <si>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</si>
  <si>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</si>
  <si>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</si>
  <si>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</si>
  <si>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</si>
  <si>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</si>
  <si>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</si>
  <si>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</si>
  <si>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</si>
  <si>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</si>
  <si>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</si>
  <si>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</si>
  <si>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</si>
  <si>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</si>
  <si>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</si>
  <si>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</si>
  <si>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</si>
  <si>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</si>
  <si>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</si>
  <si>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</si>
  <si>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</si>
  <si>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</si>
  <si>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</si>
  <si>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</si>
  <si>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</si>
  <si>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</si>
  <si>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</si>
  <si>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</si>
  <si>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</si>
  <si>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</si>
  <si>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</si>
  <si>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</si>
  <si>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</si>
  <si>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</si>
  <si>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</si>
  <si>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</si>
  <si>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</si>
  <si>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</si>
  <si>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</si>
  <si>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</si>
  <si>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</si>
  <si>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</si>
  <si>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</si>
  <si>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</si>
  <si>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</si>
  <si>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</si>
  <si>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</si>
  <si>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</si>
  <si>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</si>
  <si>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</si>
  <si>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</si>
  <si>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</si>
  <si>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</si>
  <si>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</si>
  <si>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</si>
  <si>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</si>
  <si>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</si>
  <si>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</si>
  <si>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</si>
  <si>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</si>
  <si>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</si>
  <si>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</si>
  <si>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</si>
  <si>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</si>
  <si>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</si>
  <si>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</si>
  <si>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</si>
  <si>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</si>
  <si>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</si>
  <si>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</si>
  <si>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</si>
  <si>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</si>
  <si>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</si>
  <si>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</si>
  <si>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</si>
  <si>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</si>
  <si>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</si>
  <si>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</si>
  <si>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</si>
  <si>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</si>
  <si>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</si>
  <si>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</si>
  <si>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</si>
  <si>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</si>
  <si>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</si>
  <si>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</si>
  <si>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</si>
  <si>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</si>
  <si>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</si>
  <si>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</si>
  <si>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</si>
  <si>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</si>
  <si>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</si>
  <si>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</si>
  <si>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</si>
  <si>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</si>
  <si>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</si>
  <si>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</si>
  <si>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</si>
  <si>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</si>
  <si>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</si>
  <si>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</si>
  <si>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</si>
  <si>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</si>
  <si>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</si>
  <si>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</si>
  <si>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</si>
  <si>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</si>
  <si>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</si>
  <si>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</si>
  <si>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</si>
  <si>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</si>
  <si>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</si>
  <si>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</si>
  <si>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</si>
  <si>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</si>
  <si>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</si>
  <si>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</si>
  <si>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</si>
  <si>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</si>
  <si>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</si>
  <si>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</si>
  <si>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</si>
  <si>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</si>
  <si>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</si>
  <si>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</si>
  <si>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</si>
  <si>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</si>
  <si>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</si>
  <si>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</si>
  <si>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</si>
  <si>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</si>
  <si>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</si>
  <si>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</si>
  <si>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</si>
  <si>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</si>
  <si>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</si>
  <si>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</si>
  <si>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</si>
  <si>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</si>
  <si>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</si>
  <si>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</si>
  <si>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</si>
  <si>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</si>
  <si>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</si>
  <si>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</si>
  <si>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</si>
  <si>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</si>
  <si>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</si>
  <si>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</si>
  <si>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</si>
  <si>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</si>
  <si>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</si>
  <si>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</si>
  <si>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</si>
  <si>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</si>
  <si>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</si>
  <si>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</si>
  <si>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</si>
  <si>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</si>
  <si>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</si>
  <si>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</si>
  <si>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</si>
  <si>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</si>
  <si>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</si>
  <si>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</si>
  <si>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</si>
  <si>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</si>
  <si>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</si>
  <si>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</si>
  <si>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</si>
  <si>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</si>
  <si>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</si>
  <si>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</si>
  <si>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</si>
  <si>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</si>
  <si>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</si>
  <si>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</si>
  <si>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</si>
  <si>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</si>
  <si>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</si>
  <si>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</si>
  <si>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</si>
  <si>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</si>
  <si>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</si>
  <si>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</si>
  <si>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</si>
  <si>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</si>
  <si>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</si>
  <si>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</si>
  <si>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</si>
  <si>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</si>
  <si>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</si>
  <si>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</si>
  <si>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</si>
  <si>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</si>
  <si>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</si>
  <si>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</si>
  <si>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</si>
  <si>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</si>
  <si>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</si>
  <si>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</si>
  <si>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</si>
  <si>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</si>
  <si>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</si>
  <si>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</si>
  <si>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</si>
  <si>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</si>
  <si>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</si>
  <si>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</si>
  <si>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</si>
  <si>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</si>
  <si>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</si>
  <si>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</si>
  <si>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</si>
  <si>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</si>
  <si>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</si>
  <si>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</si>
  <si>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</si>
  <si>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</si>
  <si>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</si>
  <si>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</si>
  <si>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</si>
  <si>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</si>
  <si>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</si>
  <si>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</si>
  <si>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</si>
  <si>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</si>
  <si>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</si>
  <si>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</si>
  <si>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</si>
  <si>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</si>
  <si>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</si>
  <si>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</si>
  <si>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</si>
  <si>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</si>
  <si>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</si>
  <si>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</si>
  <si>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</si>
  <si>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</si>
  <si>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</si>
  <si>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</si>
  <si>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</si>
  <si>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</si>
  <si>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</si>
  <si>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</si>
  <si>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</si>
  <si>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</si>
  <si>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</si>
  <si>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</si>
  <si>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</si>
  <si>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</si>
  <si>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</si>
  <si>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</si>
  <si>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</si>
  <si>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</si>
  <si>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</si>
  <si>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</si>
  <si>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</si>
  <si>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</si>
  <si>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</si>
  <si>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</si>
  <si>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</si>
  <si>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</si>
  <si>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</si>
  <si>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</si>
  <si>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</si>
  <si>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</si>
  <si>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</si>
  <si>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</si>
  <si>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</si>
  <si>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</si>
  <si>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</si>
  <si>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</si>
  <si>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</si>
  <si>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</si>
  <si>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</si>
  <si>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</si>
  <si>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</si>
  <si>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</si>
  <si>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</si>
  <si>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</si>
  <si>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</si>
  <si>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</si>
  <si>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</si>
  <si>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</si>
  <si>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</si>
  <si>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</si>
  <si>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</si>
  <si>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</si>
  <si>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</si>
  <si>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</si>
  <si>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</si>
  <si>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</si>
  <si>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</si>
  <si>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</si>
  <si>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</si>
  <si>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</si>
  <si>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</si>
  <si>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</si>
  <si>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</si>
  <si>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</si>
  <si>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</si>
  <si>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</si>
  <si>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</si>
  <si>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</si>
  <si>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</si>
  <si>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</si>
  <si>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</si>
  <si>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</si>
  <si>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</si>
  <si>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</si>
  <si>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</si>
  <si>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</si>
  <si>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</si>
  <si>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</si>
  <si>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</si>
  <si>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</si>
  <si>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</si>
  <si>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</si>
  <si>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</si>
  <si>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</si>
  <si>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</si>
  <si>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</si>
  <si>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</si>
  <si>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</si>
  <si>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</si>
  <si>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</si>
  <si>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</si>
  <si>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</si>
  <si>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</si>
  <si>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</si>
  <si>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</si>
  <si>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</si>
  <si>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</si>
  <si>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</si>
  <si>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</si>
  <si>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</si>
  <si>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</si>
  <si>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</si>
  <si>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</si>
  <si>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</si>
  <si>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</si>
  <si>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</si>
  <si>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</si>
  <si>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</si>
  <si>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</si>
  <si>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</si>
  <si>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</si>
  <si>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</si>
  <si>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</si>
  <si>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</si>
  <si>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</si>
  <si>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</si>
  <si>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</si>
  <si>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</si>
  <si>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</si>
  <si>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</si>
  <si>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</si>
  <si>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</si>
  <si>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</si>
  <si>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</si>
  <si>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</si>
  <si>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</si>
  <si>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</si>
  <si>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</si>
  <si>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</si>
  <si>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</si>
  <si>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</si>
  <si>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</si>
  <si>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</si>
  <si>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</si>
  <si>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</si>
  <si>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</si>
  <si>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</si>
  <si>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</si>
  <si>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</si>
  <si>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</si>
  <si>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</si>
  <si>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</si>
  <si>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</si>
  <si>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</si>
  <si>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</si>
  <si>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</si>
  <si>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</si>
  <si>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</si>
  <si>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</si>
  <si>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</si>
  <si>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</si>
  <si>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</si>
  <si>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</si>
  <si>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</si>
  <si>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</si>
  <si>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</si>
  <si>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</si>
  <si>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</si>
  <si>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</si>
  <si>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</si>
  <si>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</si>
  <si>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</si>
  <si>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</si>
  <si>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</si>
  <si>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</si>
  <si>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</si>
  <si>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</si>
  <si>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</si>
  <si>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</si>
  <si>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</si>
  <si>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</si>
  <si>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</si>
  <si>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</si>
  <si>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</si>
  <si>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</si>
  <si>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</si>
  <si>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</si>
  <si>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</si>
  <si>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</si>
  <si>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</si>
  <si>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</si>
  <si>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</si>
  <si>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</si>
  <si>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</si>
  <si>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</si>
  <si>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</si>
  <si>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</si>
  <si>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</si>
  <si>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</si>
  <si>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</si>
  <si>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</si>
  <si>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</si>
  <si>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</si>
  <si>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</si>
  <si>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</si>
  <si>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</si>
  <si>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</si>
  <si>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</si>
  <si>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</si>
  <si>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</si>
  <si>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</si>
  <si>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</si>
  <si>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</si>
  <si>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</si>
  <si>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</si>
  <si>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</si>
  <si>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</si>
  <si>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</si>
  <si>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</si>
  <si>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</si>
  <si>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</si>
  <si>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</si>
  <si>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</si>
  <si>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</si>
  <si>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</si>
  <si>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</si>
  <si>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</si>
  <si>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</si>
  <si>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</si>
  <si>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</si>
  <si>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</si>
  <si>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</si>
  <si>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</si>
  <si>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</si>
  <si>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</si>
  <si>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</si>
  <si>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</si>
  <si>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</si>
  <si>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</si>
  <si>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</si>
  <si>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</si>
  <si>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</si>
  <si>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</si>
  <si>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</si>
  <si>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</si>
  <si>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</si>
  <si>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</si>
  <si>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</si>
  <si>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</si>
  <si>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</si>
  <si>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</si>
  <si>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</si>
  <si>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</si>
  <si>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</si>
  <si>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</si>
  <si>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</si>
  <si>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</si>
  <si>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</si>
  <si>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</si>
  <si>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</si>
  <si>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</si>
  <si>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</si>
  <si>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</si>
  <si>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</si>
  <si>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</si>
  <si>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</si>
  <si>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</si>
  <si>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</si>
  <si>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</si>
  <si>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</si>
  <si>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</si>
  <si>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</si>
  <si>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</si>
  <si>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</si>
  <si>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</si>
  <si>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</si>
  <si>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</si>
  <si>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</si>
  <si>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</si>
  <si>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</si>
  <si>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</si>
  <si>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</si>
  <si>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</si>
  <si>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</si>
  <si>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</si>
  <si>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</si>
  <si>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</si>
  <si>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</si>
  <si>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</si>
  <si>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</si>
  <si>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</si>
  <si>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</si>
  <si>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</si>
  <si>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</si>
  <si>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</si>
  <si>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</si>
  <si>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</si>
  <si>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</si>
  <si>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</si>
  <si>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</si>
  <si>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</si>
  <si>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</si>
  <si>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</si>
  <si>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</si>
  <si>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</si>
  <si>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</si>
  <si>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</si>
  <si>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</si>
  <si>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</si>
  <si>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</si>
  <si>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</si>
  <si>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</si>
  <si>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</si>
  <si>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</si>
  <si>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</si>
  <si>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</si>
  <si>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</si>
  <si>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</si>
  <si>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</si>
  <si>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</si>
  <si>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</si>
  <si>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</si>
  <si>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</si>
  <si>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</si>
  <si>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</si>
  <si>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</si>
  <si>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</si>
  <si>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</si>
  <si>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</si>
  <si>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</si>
  <si>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</si>
  <si>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</si>
  <si>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</si>
  <si>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</si>
  <si>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</si>
  <si>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</si>
  <si>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</si>
  <si>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</si>
  <si>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</si>
  <si>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</si>
  <si>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</si>
  <si>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</si>
  <si>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</si>
  <si>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</si>
  <si>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</si>
  <si>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</si>
  <si>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</si>
  <si>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</si>
  <si>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</si>
  <si>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</si>
  <si>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</si>
  <si>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</si>
  <si>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</si>
  <si>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</si>
  <si>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</si>
  <si>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</si>
  <si>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</si>
  <si>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</si>
  <si>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</si>
  <si>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</si>
  <si>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</si>
  <si>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</si>
  <si>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</si>
  <si>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</si>
  <si>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</si>
  <si>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</si>
  <si>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</si>
  <si>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</si>
  <si>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</si>
  <si>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</si>
  <si>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</si>
  <si>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</si>
  <si>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</si>
  <si>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</si>
  <si>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</si>
  <si>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</si>
  <si>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</si>
  <si>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</si>
  <si>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</si>
  <si>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</si>
  <si>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</si>
  <si>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</si>
  <si>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</si>
  <si>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</si>
  <si>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</si>
  <si>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</si>
  <si>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</si>
  <si>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</si>
  <si>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</si>
  <si>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</si>
  <si>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</si>
  <si>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</si>
  <si>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</si>
  <si>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</si>
  <si>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</si>
  <si>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</si>
  <si>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</si>
  <si>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</si>
  <si>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</si>
  <si>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</si>
  <si>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</si>
  <si>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</si>
  <si>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</si>
  <si>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</si>
  <si>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</si>
  <si>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</si>
  <si>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</si>
  <si>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</si>
  <si>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</si>
  <si>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</si>
  <si>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</si>
  <si>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</si>
  <si>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</si>
  <si>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</si>
  <si>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</si>
  <si>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</si>
  <si>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</si>
  <si>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</si>
  <si>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</si>
  <si>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</si>
  <si>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</si>
  <si>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</si>
  <si>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</si>
  <si>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</si>
  <si>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</si>
  <si>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</si>
  <si>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</si>
  <si>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</si>
  <si>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</si>
  <si>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</si>
  <si>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</si>
  <si>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</si>
  <si>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</si>
  <si>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</si>
  <si>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</si>
  <si>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</si>
  <si>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</si>
  <si>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</si>
  <si>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</si>
  <si>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</si>
  <si>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</si>
  <si>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</si>
  <si>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</si>
  <si>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</si>
  <si>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</si>
  <si>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</si>
  <si>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</si>
  <si>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</si>
  <si>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</si>
  <si>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</si>
  <si>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</si>
  <si>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</si>
  <si>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</si>
  <si>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</si>
  <si>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</si>
  <si>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</si>
  <si>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</si>
  <si>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</si>
  <si>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</si>
  <si>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</si>
  <si>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</si>
  <si>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</si>
  <si>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</si>
  <si>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</si>
  <si>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</si>
  <si>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</si>
  <si>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</si>
  <si>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</si>
  <si>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</si>
  <si>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</si>
  <si>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</si>
  <si>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</si>
  <si>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</si>
  <si>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</si>
  <si>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</si>
  <si>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</si>
  <si>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</si>
  <si>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</si>
  <si>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</si>
  <si>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</si>
  <si>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</si>
  <si>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</si>
  <si>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</si>
  <si>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</si>
  <si>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</si>
  <si>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</si>
  <si>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</si>
  <si>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</si>
  <si>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</si>
  <si>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</si>
  <si>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</si>
  <si>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</si>
  <si>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</si>
  <si>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</si>
  <si>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</si>
  <si>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</si>
  <si>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</si>
  <si>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</si>
  <si>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</si>
  <si>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</si>
  <si>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</si>
  <si>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</si>
  <si>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</si>
  <si>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</si>
  <si>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</si>
  <si>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</si>
  <si>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</si>
  <si>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</si>
  <si>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</si>
  <si>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</si>
  <si>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</si>
  <si>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</si>
  <si>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</si>
  <si>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</si>
  <si>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</si>
  <si>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</si>
  <si>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</si>
  <si>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</si>
  <si>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</si>
  <si>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</si>
  <si>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</si>
  <si>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</si>
  <si>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</si>
  <si>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</si>
  <si>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</si>
  <si>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</si>
  <si>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</si>
  <si>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</si>
  <si>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</si>
  <si>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</si>
  <si>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</si>
  <si>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</si>
  <si>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</si>
  <si>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</si>
  <si>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</si>
  <si>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</si>
  <si>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</si>
  <si>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</si>
  <si>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</si>
  <si>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</si>
  <si>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</si>
  <si>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</si>
  <si>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</si>
  <si>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</si>
  <si>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</si>
  <si>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</si>
  <si>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</si>
  <si>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</si>
  <si>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</si>
  <si>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</si>
  <si>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</si>
  <si>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</si>
  <si>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</si>
  <si>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</si>
  <si>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</si>
  <si>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</si>
  <si>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</si>
  <si>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</si>
  <si>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</si>
  <si>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</si>
  <si>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</si>
  <si>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</si>
  <si>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</si>
  <si>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</si>
  <si>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</si>
  <si>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</si>
  <si>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</si>
  <si>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</si>
  <si>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</si>
  <si>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</si>
  <si>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</si>
  <si>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</si>
  <si>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</si>
  <si>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</si>
  <si>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</si>
  <si>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</si>
  <si>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</si>
  <si>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</si>
  <si>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</si>
  <si>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</si>
  <si>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</si>
  <si>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</si>
  <si>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</si>
  <si>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</si>
  <si>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</si>
  <si>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</si>
  <si>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</si>
  <si>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</si>
  <si>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</si>
  <si>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</si>
  <si>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</si>
  <si>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</si>
  <si>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</si>
  <si>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</si>
  <si>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</si>
  <si>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</si>
  <si>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</si>
  <si>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</si>
  <si>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</si>
  <si>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</si>
  <si>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</si>
  <si>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</si>
  <si>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</si>
  <si>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</si>
  <si>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</si>
  <si>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</si>
  <si>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</si>
  <si>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</si>
  <si>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</si>
  <si>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</si>
  <si>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</si>
  <si>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</si>
  <si>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</si>
  <si>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</si>
  <si>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</si>
  <si>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</si>
  <si>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</si>
  <si>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</si>
  <si>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</si>
  <si>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</si>
  <si>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</si>
  <si>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</si>
  <si>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</si>
  <si>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</si>
  <si>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</si>
  <si>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</si>
  <si>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</si>
  <si>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</si>
  <si>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</si>
  <si>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</si>
  <si>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</si>
  <si>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</si>
  <si>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</si>
  <si>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</si>
  <si>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</si>
  <si>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</si>
  <si>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</si>
  <si>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</si>
  <si>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</si>
  <si>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</si>
  <si>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</si>
  <si>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</si>
  <si>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</si>
  <si>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</si>
  <si>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</si>
  <si>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</si>
  <si>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</si>
  <si>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</si>
  <si>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</si>
  <si>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</si>
  <si>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</si>
  <si>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</si>
  <si>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</si>
  <si>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</si>
  <si>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</si>
  <si>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</si>
  <si>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</si>
  <si>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</si>
  <si>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</si>
  <si>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</si>
  <si>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</si>
  <si>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</si>
  <si>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</si>
  <si>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</si>
  <si>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</si>
  <si>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</si>
  <si>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</si>
  <si>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</si>
  <si>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</si>
  <si>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</si>
  <si>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</si>
  <si>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</si>
  <si>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</si>
  <si>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</si>
  <si>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</si>
  <si>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</si>
  <si>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</si>
  <si>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</si>
  <si>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</si>
  <si>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</si>
  <si>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</si>
  <si>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</si>
  <si>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</si>
  <si>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</si>
  <si>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</si>
  <si>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</si>
  <si>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</si>
  <si>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</si>
  <si>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</si>
  <si>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</si>
  <si>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</si>
  <si>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</si>
  <si>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</si>
  <si>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</si>
  <si>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</si>
  <si>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</si>
  <si>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</si>
  <si>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</si>
  <si>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</si>
  <si>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</si>
  <si>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</si>
  <si>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</si>
  <si>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</si>
  <si>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</si>
  <si>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</si>
  <si>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</si>
  <si>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</si>
  <si>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</si>
  <si>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</si>
  <si>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</si>
  <si>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</si>
  <si>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</si>
  <si>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</si>
  <si>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</si>
  <si>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</si>
  <si>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</si>
  <si>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</si>
  <si>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</si>
  <si>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</si>
  <si>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</si>
  <si>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</si>
  <si>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</si>
  <si>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</si>
  <si>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</si>
  <si>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</si>
  <si>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</si>
  <si>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</si>
  <si>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</si>
  <si>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</si>
  <si>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</si>
  <si>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</si>
  <si>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</si>
  <si>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</si>
  <si>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</si>
  <si>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</si>
  <si>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</si>
  <si>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</si>
  <si>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</si>
  <si>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</si>
  <si>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</si>
  <si>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</si>
  <si>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</si>
  <si>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</si>
  <si>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</si>
  <si>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</si>
  <si>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</si>
  <si>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</si>
  <si>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</si>
  <si>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</si>
  <si>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</si>
  <si>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</si>
  <si>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</si>
  <si>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</si>
  <si>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</si>
  <si>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</si>
  <si>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</si>
  <si>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</si>
  <si>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</si>
  <si>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</si>
  <si>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</si>
  <si>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</si>
  <si>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</si>
  <si>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</si>
  <si>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</si>
  <si>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</si>
  <si>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</si>
  <si>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</si>
  <si>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</si>
  <si>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</si>
  <si>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</si>
  <si>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</si>
  <si>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</si>
  <si>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</si>
  <si>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</si>
  <si>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</si>
  <si>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</si>
  <si>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</si>
  <si>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</si>
  <si>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</si>
  <si>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</si>
  <si>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</si>
  <si>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</si>
  <si>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</si>
  <si>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</si>
  <si>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</si>
  <si>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</si>
  <si>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</si>
  <si>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</si>
  <si>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</si>
  <si>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</si>
  <si>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</si>
  <si>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</si>
  <si>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</si>
  <si>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</si>
  <si>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</si>
  <si>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</si>
  <si>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</si>
  <si>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</si>
  <si>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</si>
  <si>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</si>
  <si>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</si>
  <si>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</si>
  <si>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</si>
  <si>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</si>
  <si>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</si>
  <si>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</si>
  <si>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</si>
  <si>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</si>
  <si>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</si>
  <si>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</si>
  <si>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</si>
  <si>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</si>
  <si>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</si>
  <si>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</si>
  <si>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</si>
  <si>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</si>
  <si>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</si>
  <si>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</si>
  <si>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</si>
  <si>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</si>
  <si>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</si>
  <si>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</si>
  <si>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</si>
  <si>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</si>
  <si>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</si>
  <si>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</si>
  <si>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</si>
  <si>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</si>
  <si>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</si>
  <si>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</si>
  <si>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</si>
  <si>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</si>
  <si>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</si>
  <si>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</si>
  <si>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</si>
  <si>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</si>
  <si>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</si>
  <si>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</si>
  <si>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</si>
  <si>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</si>
  <si>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</si>
  <si>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</si>
  <si>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</si>
  <si>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</si>
  <si>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</si>
  <si>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</si>
  <si>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</si>
  <si>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</si>
  <si>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</si>
  <si>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</si>
  <si>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</si>
  <si>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</si>
  <si>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</si>
  <si>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</si>
  <si>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</si>
  <si>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</si>
  <si>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</si>
  <si>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</si>
  <si>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</si>
  <si>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</si>
  <si>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</si>
  <si>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</si>
  <si>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</si>
  <si>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</si>
  <si>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</si>
  <si>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</si>
  <si>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</si>
  <si>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</si>
  <si>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</si>
  <si>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</si>
  <si>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</si>
  <si>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</si>
  <si>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</si>
  <si>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</si>
  <si>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</si>
  <si>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</si>
  <si>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</si>
  <si>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</si>
  <si>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</si>
  <si>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</si>
  <si>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</si>
  <si>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</si>
  <si>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</si>
  <si>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</si>
  <si>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</si>
  <si>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</si>
  <si>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</si>
  <si>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</si>
  <si>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</si>
  <si>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</si>
  <si>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</si>
  <si>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</si>
  <si>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</si>
  <si>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</si>
  <si>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</si>
  <si>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</si>
  <si>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</si>
  <si>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</si>
  <si>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</si>
  <si>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</si>
  <si>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</si>
  <si>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</si>
  <si>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</si>
  <si>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</si>
  <si>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</si>
  <si>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</si>
  <si>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</si>
  <si>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</si>
  <si>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</si>
  <si>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</si>
  <si>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</si>
  <si>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</si>
  <si>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</si>
  <si>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</si>
  <si>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</si>
  <si>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</si>
  <si>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</si>
  <si>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</si>
  <si>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</si>
  <si>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</si>
  <si>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</si>
  <si>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</si>
  <si>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</si>
  <si>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</si>
  <si>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</si>
  <si>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</si>
  <si>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</si>
  <si>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</si>
  <si>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</si>
  <si>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</si>
  <si>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</si>
  <si>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</si>
  <si>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</si>
  <si>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</si>
  <si>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</si>
  <si>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</si>
  <si>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</si>
  <si>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</si>
  <si>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</si>
  <si>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</si>
  <si>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</si>
  <si>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</si>
  <si>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</si>
  <si>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</si>
  <si>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</si>
  <si>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</si>
  <si>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</si>
  <si>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</si>
  <si>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</si>
  <si>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</si>
  <si>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</si>
  <si>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</si>
  <si>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</si>
  <si>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</si>
  <si>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</si>
  <si>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</si>
  <si>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</si>
  <si>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</si>
  <si>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</si>
  <si>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</si>
  <si>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</si>
  <si>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</si>
  <si>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</si>
  <si>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</si>
  <si>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</si>
  <si>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</si>
  <si>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</si>
  <si>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</si>
  <si>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</si>
  <si>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</si>
  <si>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</si>
  <si>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</si>
  <si>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</si>
  <si>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</si>
  <si>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</si>
  <si>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</si>
  <si>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</si>
  <si>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</si>
  <si>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</si>
  <si>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</si>
  <si>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</si>
  <si>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</si>
  <si>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</si>
  <si>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</si>
  <si>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</si>
  <si>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</si>
  <si>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</si>
  <si>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</si>
  <si>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</si>
  <si>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</si>
  <si>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</si>
  <si>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</si>
  <si>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</si>
  <si>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</si>
  <si>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</si>
  <si>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</si>
  <si>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</si>
  <si>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</si>
  <si>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</si>
  <si>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</si>
  <si>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</si>
  <si>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</si>
  <si>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</si>
  <si>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</si>
  <si>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</si>
  <si>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</si>
  <si>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</si>
  <si>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</si>
  <si>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</si>
  <si>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</si>
  <si>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</si>
  <si>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</si>
  <si>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</si>
  <si>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</si>
  <si>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</si>
  <si>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</si>
  <si>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</si>
  <si>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</si>
  <si>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</si>
  <si>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</si>
  <si>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</si>
  <si>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</si>
  <si>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</si>
  <si>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</si>
  <si>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</si>
  <si>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</si>
  <si>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</si>
  <si>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</si>
  <si>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</si>
  <si>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</si>
  <si>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</si>
  <si>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</si>
  <si>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</si>
  <si>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</si>
  <si>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</si>
  <si>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</si>
  <si>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</si>
  <si>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</si>
  <si>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</si>
  <si>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</si>
  <si>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</si>
  <si>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</si>
  <si>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</si>
  <si>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</si>
  <si>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</si>
  <si>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</si>
  <si>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</si>
  <si>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</si>
  <si>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</si>
  <si>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</si>
  <si>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</si>
  <si>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</si>
  <si>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</si>
  <si>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</si>
  <si>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</si>
  <si>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</si>
  <si>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</si>
  <si>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</si>
  <si>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</si>
  <si>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</si>
  <si>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</si>
  <si>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</si>
  <si>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</si>
  <si>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</si>
  <si>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</si>
  <si>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</si>
  <si>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</si>
  <si>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</si>
  <si>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</si>
  <si>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</si>
  <si>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</si>
  <si>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</si>
  <si>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</si>
  <si>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</si>
  <si>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</si>
  <si>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</si>
  <si>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</si>
  <si>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</si>
  <si>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</si>
  <si>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</si>
  <si>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</si>
  <si>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</si>
  <si>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</si>
  <si>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</si>
  <si>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</si>
  <si>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</si>
  <si>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</si>
  <si>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</si>
  <si>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</si>
  <si>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</si>
  <si>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</si>
  <si>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</si>
  <si>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</si>
  <si>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</si>
  <si>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</si>
  <si>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</si>
  <si>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</si>
  <si>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</si>
  <si>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</si>
  <si>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</si>
  <si>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</si>
  <si>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</si>
  <si>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</si>
  <si>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</si>
  <si>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</si>
  <si>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</si>
  <si>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</si>
  <si>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</si>
  <si>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</si>
  <si>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</si>
  <si>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</si>
  <si>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</si>
  <si>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</si>
  <si>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</si>
  <si>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</si>
  <si>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</si>
  <si>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</si>
  <si>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</si>
  <si>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</si>
  <si>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</si>
  <si>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</si>
  <si>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</si>
  <si>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</si>
  <si>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</si>
  <si>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</si>
  <si>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</si>
  <si>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</si>
  <si>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</si>
  <si>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</si>
  <si>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</si>
  <si>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</si>
  <si>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</si>
  <si>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</si>
  <si>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</si>
  <si>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</si>
  <si>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</si>
  <si>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</si>
  <si>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</si>
  <si>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</si>
  <si>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</si>
  <si>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</si>
  <si>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</si>
  <si>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</si>
  <si>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</si>
  <si>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</si>
  <si>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</si>
  <si>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</si>
  <si>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</si>
  <si>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</si>
  <si>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</si>
  <si>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</si>
  <si>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</si>
  <si>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</si>
  <si>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</si>
  <si>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</si>
  <si>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</si>
  <si>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</si>
  <si>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</si>
  <si>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</si>
  <si>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</si>
  <si>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</si>
  <si>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</si>
  <si>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</si>
  <si>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</si>
  <si>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</si>
  <si>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</si>
  <si>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</si>
  <si>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</si>
  <si>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</si>
  <si>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</si>
  <si>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</si>
  <si>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</si>
  <si>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</si>
  <si>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</si>
  <si>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</si>
  <si>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</si>
  <si>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</si>
  <si>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</si>
  <si>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</si>
  <si>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</si>
  <si>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</si>
  <si>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</si>
  <si>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</si>
  <si>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</si>
  <si>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</si>
  <si>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</si>
  <si>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</si>
  <si>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</si>
  <si>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</si>
  <si>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</si>
  <si>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</si>
  <si>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</si>
  <si>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</si>
  <si>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</si>
  <si>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</si>
  <si>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</si>
  <si>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</si>
  <si>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</si>
  <si>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</si>
  <si>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</si>
  <si>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</si>
  <si>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</si>
  <si>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</si>
  <si>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</si>
  <si>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</si>
  <si>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</si>
  <si>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</si>
  <si>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</si>
  <si>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</si>
  <si>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</si>
  <si>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</si>
  <si>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</si>
  <si>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</si>
  <si>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</si>
  <si>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</si>
  <si>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</si>
  <si>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</si>
  <si>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</si>
  <si>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</si>
  <si>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</si>
  <si>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</si>
  <si>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</si>
  <si>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</si>
  <si>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</si>
  <si>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</si>
  <si>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</si>
  <si>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</si>
  <si>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</si>
  <si>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</si>
  <si>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</si>
  <si>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</si>
  <si>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</si>
  <si>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</si>
  <si>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</si>
  <si>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</si>
  <si>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</si>
  <si>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</si>
  <si>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</si>
  <si>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</si>
  <si>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</si>
  <si>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</si>
  <si>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</si>
  <si>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</si>
  <si>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</si>
  <si>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</si>
  <si>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</si>
  <si>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</si>
  <si>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</si>
  <si>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</si>
  <si>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</si>
  <si>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</si>
  <si>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</si>
  <si>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</si>
  <si>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</si>
  <si>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</si>
  <si>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</si>
  <si>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</si>
  <si>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</si>
  <si>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</si>
  <si>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</si>
  <si>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</si>
  <si>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</si>
  <si>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</si>
  <si>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</si>
  <si>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</si>
  <si>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</si>
  <si>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</si>
  <si>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</si>
  <si>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</si>
  <si>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</si>
  <si>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</si>
  <si>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</si>
  <si>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</si>
  <si>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</si>
  <si>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</si>
  <si>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</si>
  <si>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</si>
  <si>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</si>
  <si>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</si>
  <si>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</si>
  <si>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</si>
  <si>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</si>
  <si>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</si>
  <si>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</si>
  <si>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</si>
  <si>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</si>
  <si>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</si>
  <si>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</si>
  <si>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</si>
  <si>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</si>
  <si>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</si>
  <si>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</si>
  <si>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</si>
  <si>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</si>
  <si>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</si>
  <si>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</si>
  <si>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</si>
  <si>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</si>
  <si>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</si>
  <si>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</si>
  <si>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</si>
  <si>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</si>
  <si>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</si>
  <si>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</si>
  <si>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</si>
  <si>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</si>
  <si>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</si>
  <si>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</si>
  <si>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</si>
  <si>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</si>
  <si>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</si>
  <si>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</si>
  <si>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</si>
  <si>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</si>
  <si>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</si>
  <si>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</si>
  <si>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</si>
  <si>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</si>
  <si>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</si>
  <si>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</si>
  <si>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</si>
  <si>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</si>
  <si>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</si>
  <si>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</si>
  <si>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</si>
  <si>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</si>
  <si>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</si>
  <si>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</si>
  <si>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</si>
  <si>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</si>
  <si>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</si>
  <si>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</si>
  <si>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</si>
  <si>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</si>
  <si>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</si>
  <si>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</si>
  <si>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</si>
  <si>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</si>
  <si>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</si>
  <si>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</si>
  <si>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</si>
  <si>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</si>
  <si>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</si>
  <si>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</si>
  <si>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</si>
  <si>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</si>
  <si>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</si>
  <si>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</si>
  <si>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</si>
  <si>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</si>
  <si>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</si>
  <si>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</si>
  <si>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</si>
  <si>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</si>
  <si>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</si>
  <si>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</si>
  <si>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</si>
  <si>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</si>
  <si>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</si>
  <si>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</si>
  <si>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</si>
  <si>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</si>
  <si>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</si>
  <si>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</si>
  <si>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</si>
  <si>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</si>
  <si>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</si>
  <si>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</si>
  <si>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</si>
  <si>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</si>
  <si>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</si>
  <si>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</si>
  <si>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</si>
  <si>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</si>
  <si>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</si>
  <si>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</si>
  <si>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</si>
  <si>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</si>
  <si>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</si>
  <si>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</si>
  <si>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</si>
  <si>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</si>
  <si>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</si>
  <si>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</si>
  <si>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</si>
  <si>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</si>
  <si>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</si>
  <si>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</si>
  <si>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</si>
  <si>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</si>
  <si>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</si>
  <si>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</si>
  <si>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</si>
  <si>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</si>
  <si>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</si>
  <si>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</si>
  <si>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</si>
  <si>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</si>
  <si>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</si>
  <si>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</si>
  <si>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</si>
  <si>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</si>
  <si>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</si>
  <si>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</si>
  <si>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</si>
  <si>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</si>
  <si>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</si>
  <si>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</si>
  <si>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</si>
  <si>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</si>
  <si>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</si>
  <si>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</si>
  <si>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</si>
  <si>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</si>
  <si>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</si>
  <si>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</si>
  <si>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</si>
  <si>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</si>
  <si>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</si>
  <si>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</si>
  <si>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</si>
  <si>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</si>
  <si>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</si>
  <si>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</si>
  <si>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</si>
  <si>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</si>
  <si>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</si>
  <si>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</si>
  <si>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</si>
  <si>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</si>
  <si>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</si>
  <si>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</si>
  <si>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</si>
  <si>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</si>
  <si>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</si>
  <si>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</si>
  <si>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</si>
  <si>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</si>
  <si>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</si>
  <si>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</si>
  <si>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</si>
  <si>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</si>
  <si>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</si>
  <si>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</si>
  <si>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</si>
  <si>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</si>
  <si>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</si>
  <si>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</si>
  <si>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</si>
  <si>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</si>
  <si>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</si>
  <si>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</si>
  <si>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</si>
  <si>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</si>
  <si>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</si>
  <si>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</si>
  <si>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</si>
  <si>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</si>
  <si>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</si>
  <si>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</si>
  <si>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</si>
  <si>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</si>
  <si>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</si>
  <si>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</si>
  <si>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</si>
  <si>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</si>
  <si>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</si>
  <si>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</si>
  <si>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</si>
  <si>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</si>
  <si>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</si>
  <si>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</si>
  <si>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</si>
  <si>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</si>
  <si>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</si>
  <si>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</si>
  <si>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</si>
  <si>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</si>
  <si>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</si>
  <si>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</si>
  <si>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</si>
  <si>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</si>
  <si>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</si>
  <si>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</si>
  <si>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</si>
  <si>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</si>
  <si>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</si>
  <si>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</si>
  <si>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</si>
  <si>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</si>
  <si>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</si>
  <si>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</si>
  <si>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</si>
  <si>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</si>
  <si>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</si>
  <si>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</si>
  <si>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</si>
  <si>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</si>
  <si>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</si>
  <si>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</si>
  <si>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</si>
  <si>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</si>
  <si>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</si>
  <si>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</si>
  <si>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</si>
  <si>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</si>
  <si>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</si>
  <si>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</si>
  <si>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</si>
  <si>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</si>
  <si>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</si>
  <si>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</si>
  <si>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</si>
  <si>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</si>
  <si>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</si>
  <si>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</si>
  <si>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</si>
  <si>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</si>
  <si>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</si>
  <si>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</si>
  <si>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</si>
  <si>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</si>
  <si>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</si>
  <si>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</si>
  <si>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</si>
  <si>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</si>
  <si>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</si>
  <si>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</si>
  <si>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</si>
  <si>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</si>
  <si>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</si>
  <si>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</si>
  <si>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</si>
  <si>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</si>
  <si>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</si>
  <si>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</si>
  <si>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</si>
  <si>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</si>
  <si>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</si>
  <si>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</si>
  <si>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</si>
  <si>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</si>
  <si>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</si>
  <si>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</si>
  <si>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</si>
  <si>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</si>
  <si>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</si>
  <si>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</si>
  <si>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</si>
  <si>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</si>
  <si>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</si>
  <si>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</si>
  <si>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</si>
  <si>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</si>
  <si>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</si>
  <si>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</si>
  <si>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</si>
  <si>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</si>
  <si>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</si>
  <si>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</si>
  <si>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</si>
  <si>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</si>
  <si>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</si>
  <si>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</si>
  <si>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</si>
  <si>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</si>
  <si>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</si>
  <si>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</si>
  <si>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</si>
  <si>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</si>
  <si>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</si>
  <si>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</si>
  <si>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</si>
  <si>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</si>
  <si>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</si>
  <si>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</si>
  <si>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</si>
  <si>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</si>
  <si>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</si>
  <si>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</si>
  <si>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</si>
  <si>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</si>
  <si>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</si>
  <si>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</si>
  <si>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</si>
  <si>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</si>
  <si>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</si>
  <si>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</si>
  <si>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</si>
  <si>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</si>
  <si>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</si>
  <si>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</si>
  <si>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</si>
  <si>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</si>
  <si>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</si>
  <si>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</si>
  <si>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</si>
  <si>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</si>
  <si>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</si>
  <si>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</si>
  <si>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</si>
  <si>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</si>
  <si>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</si>
  <si>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</si>
  <si>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</si>
  <si>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</si>
  <si>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</si>
  <si>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</si>
  <si>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</si>
  <si>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</si>
  <si>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</si>
  <si>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</si>
  <si>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</si>
  <si>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</si>
  <si>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</si>
  <si>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</si>
  <si>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</si>
  <si>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</si>
  <si>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</si>
  <si>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</si>
  <si>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</si>
  <si>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</si>
  <si>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</si>
  <si>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</si>
  <si>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</si>
  <si>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</si>
  <si>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</si>
  <si>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</si>
  <si>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</si>
  <si>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</si>
  <si>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</si>
  <si>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</si>
  <si>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</si>
  <si>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</si>
  <si>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</si>
  <si>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</si>
  <si>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</si>
  <si>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</si>
  <si>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</si>
  <si>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</si>
  <si>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</si>
  <si>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</si>
  <si>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</si>
  <si>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</si>
  <si>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</si>
  <si>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</si>
  <si>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</si>
  <si>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</si>
  <si>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</si>
  <si>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</si>
  <si>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</si>
  <si>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</si>
  <si>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</si>
  <si>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</si>
  <si>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</si>
  <si>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</si>
  <si>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</si>
  <si>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</si>
  <si>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</si>
  <si>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</si>
  <si>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</si>
  <si>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</si>
  <si>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</si>
  <si>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</si>
  <si>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</si>
  <si>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</si>
  <si>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</si>
  <si>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</si>
  <si>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</si>
  <si>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</si>
  <si>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</si>
  <si>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</si>
  <si>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</si>
  <si>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</si>
  <si>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</si>
  <si>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</si>
  <si>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</si>
  <si>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</si>
  <si>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</si>
  <si>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</si>
  <si>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</si>
  <si>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</si>
  <si>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</si>
  <si>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</si>
  <si>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</si>
  <si>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</si>
  <si>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</si>
  <si>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</si>
  <si>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</si>
  <si>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</si>
  <si>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</si>
  <si>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</si>
  <si>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</si>
  <si>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</si>
  <si>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</si>
  <si>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</si>
  <si>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</si>
  <si>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</si>
  <si>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</si>
  <si>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</si>
  <si>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</si>
  <si>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</si>
  <si>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</si>
  <si>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</si>
  <si>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</si>
  <si>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</si>
  <si>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</si>
  <si>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</si>
  <si>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</si>
  <si>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</si>
  <si>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</si>
  <si>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</si>
  <si>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</si>
  <si>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</si>
  <si>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</si>
  <si>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</si>
  <si>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</si>
  <si>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</si>
  <si>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</si>
  <si>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</si>
  <si>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</si>
  <si>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</si>
  <si>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</si>
  <si>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</si>
  <si>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</si>
  <si>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</si>
  <si>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</si>
  <si>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</si>
  <si>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</si>
  <si>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</si>
  <si>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</si>
  <si>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</si>
  <si>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</si>
  <si>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</si>
  <si>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</si>
  <si>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</si>
  <si>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</si>
  <si>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</si>
  <si>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</si>
  <si>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</si>
  <si>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</si>
  <si>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</si>
  <si>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</si>
  <si>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</si>
  <si>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</si>
  <si>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</si>
  <si>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</si>
  <si>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</si>
  <si>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</si>
  <si>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</si>
  <si>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</si>
  <si>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</si>
  <si>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</si>
  <si>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</si>
  <si>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</si>
  <si>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</si>
  <si>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</si>
  <si>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</si>
  <si>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</si>
  <si>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</si>
  <si>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</si>
  <si>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</si>
  <si>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</si>
  <si>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</si>
  <si>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</si>
  <si>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</si>
  <si>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</si>
  <si>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</si>
  <si>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</si>
  <si>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</si>
  <si>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</si>
  <si>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</si>
  <si>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</si>
  <si>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</si>
  <si>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</si>
  <si>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</si>
  <si>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</si>
  <si>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</si>
  <si>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</si>
  <si>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</si>
  <si>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</si>
  <si>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</si>
  <si>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</si>
  <si>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</si>
  <si>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</si>
  <si>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</si>
  <si>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</si>
  <si>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</si>
  <si>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</si>
  <si>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</si>
  <si>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</si>
  <si>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</si>
  <si>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</si>
  <si>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</si>
  <si>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</si>
  <si>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</si>
  <si>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</si>
  <si>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</si>
  <si>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</si>
  <si>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</si>
  <si>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</si>
  <si>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</si>
  <si>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</si>
  <si>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</si>
  <si>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</si>
  <si>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</si>
  <si>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</si>
  <si>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</si>
  <si>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</si>
  <si>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</si>
  <si>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</si>
  <si>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</si>
  <si>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</si>
  <si>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</si>
  <si>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</si>
  <si>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</si>
  <si>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</si>
  <si>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</si>
  <si>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</si>
  <si>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</si>
  <si>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</si>
  <si>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</si>
  <si>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</si>
  <si>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</si>
  <si>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</si>
  <si>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</si>
  <si>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</si>
  <si>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</si>
  <si>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</si>
  <si>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</si>
  <si>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</si>
  <si>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</si>
  <si>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</si>
  <si>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</si>
  <si>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</si>
  <si>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</si>
  <si>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</si>
  <si>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</si>
  <si>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</si>
  <si>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</si>
  <si>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</si>
  <si>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</si>
  <si>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</si>
  <si>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</si>
  <si>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</si>
  <si>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</si>
  <si>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</si>
  <si>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</si>
  <si>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</si>
  <si>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</si>
  <si>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</si>
  <si>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</si>
  <si>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</si>
  <si>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</si>
  <si>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</si>
  <si>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</si>
  <si>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</si>
  <si>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</si>
  <si>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</si>
  <si>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</si>
  <si>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</si>
  <si>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</si>
  <si>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</si>
  <si>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</si>
  <si>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</si>
  <si>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</si>
  <si>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</si>
  <si>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</si>
  <si>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</si>
  <si>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</si>
  <si>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</si>
  <si>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</si>
  <si>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</si>
  <si>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</si>
  <si>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</si>
  <si>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</si>
  <si>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</si>
  <si>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</si>
  <si>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</si>
  <si>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</si>
  <si>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</si>
  <si>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</si>
  <si>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</si>
  <si>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</si>
  <si>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</si>
  <si>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</si>
  <si>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</si>
  <si>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</si>
  <si>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</si>
  <si>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</si>
  <si>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</si>
  <si>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</si>
  <si>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</si>
  <si>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</si>
  <si>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</si>
  <si>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</si>
  <si>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</si>
  <si>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</si>
  <si>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</si>
  <si>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</si>
  <si>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</si>
  <si>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</si>
  <si>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</si>
  <si>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</si>
  <si>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</si>
  <si>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</si>
  <si>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</si>
  <si>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</si>
  <si>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</si>
  <si>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</si>
  <si>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</si>
  <si>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</si>
  <si>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</si>
  <si>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</si>
  <si>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</si>
  <si>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</si>
  <si>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</si>
  <si>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</si>
  <si>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</si>
  <si>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</si>
  <si>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</si>
  <si>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</si>
  <si>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</si>
  <si>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</si>
  <si>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</si>
  <si>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</si>
  <si>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</si>
  <si>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</si>
  <si>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</si>
  <si>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</si>
  <si>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</si>
  <si>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</si>
  <si>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</si>
  <si>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</si>
  <si>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</si>
  <si>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</si>
  <si>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</si>
  <si>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</si>
  <si>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</si>
  <si>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</si>
  <si>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</si>
  <si>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</si>
  <si>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</si>
  <si>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</si>
  <si>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</si>
  <si>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</si>
  <si>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</si>
  <si>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</si>
  <si>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</si>
  <si>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</si>
  <si>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</si>
  <si>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</si>
  <si>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</si>
  <si>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</si>
  <si>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</si>
  <si>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</si>
  <si>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</si>
  <si>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</si>
  <si>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</si>
  <si>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</si>
  <si>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</si>
  <si>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</si>
  <si>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</si>
  <si>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</si>
  <si>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</si>
  <si>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</si>
  <si>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</si>
  <si>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</si>
  <si>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</si>
  <si>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</si>
  <si>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</si>
  <si>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</si>
  <si>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</si>
  <si>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</si>
  <si>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</si>
  <si>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</si>
  <si>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</si>
  <si>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</si>
  <si>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</si>
  <si>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</si>
  <si>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</si>
  <si>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</si>
  <si>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</si>
  <si>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</si>
  <si>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</si>
  <si>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</si>
  <si>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</si>
  <si>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</si>
  <si>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</si>
  <si>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</si>
  <si>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</si>
  <si>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</si>
  <si>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</si>
  <si>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</si>
  <si>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</si>
  <si>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</si>
  <si>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</si>
  <si>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</si>
  <si>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</si>
  <si>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</si>
  <si>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</si>
  <si>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</si>
  <si>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</si>
  <si>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</si>
  <si>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</si>
  <si>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</si>
  <si>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</si>
  <si>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</si>
  <si>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</si>
  <si>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</si>
  <si>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</si>
  <si>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</si>
  <si>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</si>
  <si>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</si>
  <si>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</si>
  <si>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</si>
  <si>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</si>
  <si>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</si>
  <si>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</si>
  <si>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</si>
  <si>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</si>
  <si>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</si>
  <si>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</si>
  <si>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</si>
  <si>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</si>
  <si>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</si>
  <si>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</si>
  <si>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</si>
  <si>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</si>
  <si>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</si>
  <si>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</si>
  <si>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</si>
  <si>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</si>
  <si>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</si>
  <si>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</si>
  <si>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</si>
  <si>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</si>
  <si>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</si>
  <si>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</si>
  <si>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</si>
  <si>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</si>
  <si>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</si>
  <si>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</si>
  <si>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</si>
  <si>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</si>
  <si>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</si>
  <si>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</si>
  <si>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</si>
  <si>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</si>
  <si>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</si>
  <si>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</si>
  <si>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</si>
  <si>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</si>
  <si>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</si>
  <si>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</si>
  <si>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</si>
  <si>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</si>
  <si>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</si>
  <si>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</si>
  <si>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</si>
  <si>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</si>
  <si>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</si>
  <si>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</si>
  <si>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</si>
  <si>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</si>
  <si>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</si>
  <si>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</si>
  <si>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</si>
  <si>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</si>
  <si>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</si>
  <si>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</si>
  <si>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</si>
  <si>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</si>
  <si>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</si>
  <si>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</si>
  <si>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</si>
  <si>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</si>
  <si>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</si>
  <si>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</si>
  <si>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</si>
  <si>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</si>
  <si>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</si>
  <si>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</si>
  <si>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</si>
  <si>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</si>
  <si>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</si>
  <si>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</si>
  <si>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</si>
  <si>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</si>
  <si>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</si>
  <si>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</si>
  <si>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</si>
  <si>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</si>
  <si>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</si>
  <si>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</si>
  <si>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</si>
  <si>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</si>
  <si>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</si>
  <si>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</si>
  <si>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</si>
  <si>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</si>
  <si>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</si>
  <si>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</si>
  <si>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</si>
  <si>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</si>
  <si>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</si>
  <si>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</si>
  <si>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</si>
  <si>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</si>
  <si>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</si>
  <si>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</si>
  <si>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</si>
  <si>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</si>
  <si>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</si>
  <si>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</si>
  <si>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</si>
  <si>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</si>
  <si>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</si>
  <si>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</si>
  <si>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</si>
  <si>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</si>
  <si>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</si>
  <si>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</si>
  <si>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</si>
  <si>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</si>
  <si>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</si>
  <si>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</si>
  <si>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</si>
  <si>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</si>
  <si>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</si>
  <si>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</si>
  <si>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</si>
  <si>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</si>
  <si>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</si>
  <si>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</si>
  <si>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</si>
  <si>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</si>
  <si>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</si>
  <si>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</si>
  <si>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</si>
  <si>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</si>
  <si>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</si>
  <si>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</si>
  <si>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</si>
  <si>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</si>
  <si>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</si>
  <si>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</si>
  <si>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</si>
  <si>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</si>
  <si>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</si>
  <si>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</si>
  <si>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</si>
  <si>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</si>
  <si>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</si>
  <si>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</si>
  <si>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</si>
  <si>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</si>
  <si>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</si>
  <si>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</si>
  <si>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</si>
  <si>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</si>
  <si>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</si>
  <si>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</si>
  <si>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</si>
  <si>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</si>
  <si>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</si>
  <si>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</si>
  <si>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</si>
  <si>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</si>
  <si>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</si>
  <si>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</si>
  <si>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</si>
  <si>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</si>
  <si>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</si>
  <si>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</si>
  <si>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</si>
  <si>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</si>
  <si>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</si>
  <si>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</si>
  <si>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</si>
  <si>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</si>
  <si>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</si>
  <si>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</si>
  <si>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</si>
  <si>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</si>
  <si>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</si>
  <si>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</si>
  <si>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</si>
  <si>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</si>
  <si>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</si>
  <si>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</si>
  <si>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</si>
  <si>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</si>
  <si>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</si>
  <si>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</si>
  <si>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</si>
  <si>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</si>
  <si>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</si>
  <si>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</si>
  <si>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</si>
  <si>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</si>
  <si>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</si>
  <si>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</si>
  <si>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</si>
  <si>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</si>
  <si>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</si>
  <si>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</si>
  <si>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</si>
  <si>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</si>
  <si>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</si>
  <si>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</si>
  <si>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</si>
  <si>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</si>
  <si>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</si>
  <si>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</si>
  <si>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</si>
  <si>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</si>
  <si>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</si>
  <si>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</si>
  <si>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</si>
  <si>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</si>
  <si>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</si>
  <si>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</si>
  <si>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</si>
  <si>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</si>
  <si>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</si>
  <si>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</si>
  <si>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</si>
  <si>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</si>
  <si>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</si>
  <si>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</si>
  <si>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</si>
  <si>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</si>
  <si>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</si>
  <si>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</si>
  <si>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</si>
  <si>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</si>
  <si>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</si>
  <si>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</si>
  <si>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</si>
  <si>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</si>
  <si>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</si>
  <si>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</si>
  <si>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</si>
  <si>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</si>
  <si>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</si>
  <si>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</si>
  <si>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</si>
  <si>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</si>
  <si>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</si>
  <si>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</si>
  <si>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</si>
  <si>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</si>
  <si>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</si>
  <si>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</si>
  <si>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</si>
  <si>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</si>
  <si>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</si>
  <si>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</si>
  <si>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</si>
  <si>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</si>
  <si>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</si>
  <si>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</si>
  <si>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</si>
  <si>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</si>
  <si>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</si>
  <si>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</si>
  <si>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</si>
  <si>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</si>
  <si>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</si>
  <si>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</si>
  <si>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</si>
  <si>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</si>
  <si>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</si>
  <si>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</si>
  <si>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</si>
  <si>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</si>
  <si>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</si>
  <si>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</si>
  <si>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</si>
  <si>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</si>
  <si>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</si>
  <si>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</si>
  <si>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</si>
  <si>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</si>
  <si>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</si>
  <si>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</si>
  <si>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</si>
  <si>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</si>
  <si>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</si>
  <si>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</si>
  <si>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</si>
  <si>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</si>
  <si>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</si>
  <si>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</si>
  <si>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</si>
  <si>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</si>
  <si>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</si>
  <si>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</si>
  <si>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</si>
  <si>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</si>
  <si>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</si>
  <si>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</si>
  <si>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</si>
  <si>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</si>
  <si>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</si>
  <si>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</si>
  <si>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</si>
  <si>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</si>
  <si>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</si>
  <si>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</si>
  <si>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</si>
  <si>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</si>
  <si>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</si>
  <si>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</si>
  <si>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</si>
  <si>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</si>
  <si>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</si>
  <si>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</si>
  <si>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</si>
  <si>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</si>
  <si>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</si>
  <si>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</si>
  <si>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</si>
  <si>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</si>
  <si>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</si>
  <si>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</si>
  <si>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</si>
  <si>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</si>
  <si>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</si>
  <si>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</si>
  <si>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</si>
  <si>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</si>
  <si>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</si>
  <si>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</si>
  <si>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</si>
  <si>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</si>
  <si>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</si>
  <si>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</si>
  <si>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</si>
  <si>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</si>
  <si>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</si>
  <si>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</si>
  <si>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</si>
  <si>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</si>
  <si>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</si>
  <si>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</si>
  <si>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</si>
  <si>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</si>
  <si>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</si>
  <si>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</si>
  <si>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</si>
  <si>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</si>
  <si>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</si>
  <si>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</si>
  <si>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</si>
  <si>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</si>
  <si>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</si>
  <si>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</si>
  <si>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</si>
  <si>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</si>
  <si>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</si>
  <si>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</si>
  <si>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</si>
  <si>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</si>
  <si>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</si>
  <si>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</si>
  <si>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</si>
  <si>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</si>
  <si>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</si>
  <si>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</si>
  <si>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</si>
  <si>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</si>
  <si>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</si>
  <si>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</si>
  <si>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</si>
  <si>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</si>
  <si>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</si>
  <si>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</si>
  <si>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</si>
  <si>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</si>
  <si>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</si>
  <si>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</si>
  <si>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</si>
  <si>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</si>
  <si>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</si>
  <si>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</si>
  <si>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</si>
  <si>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</si>
  <si>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</si>
  <si>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</si>
  <si>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</si>
  <si>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</si>
  <si>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</si>
  <si>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</si>
  <si>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</si>
  <si>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</si>
  <si>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</si>
  <si>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</si>
  <si>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</si>
  <si>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</si>
  <si>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</si>
  <si>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</si>
  <si>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</si>
  <si>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</si>
  <si>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</si>
  <si>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</si>
  <si>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</si>
  <si>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</si>
  <si>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</si>
  <si>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</si>
  <si>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</si>
  <si>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</si>
  <si>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</si>
  <si>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</si>
  <si>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</si>
  <si>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</si>
  <si>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</si>
  <si>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</si>
  <si>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</si>
  <si>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</si>
  <si>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</si>
  <si>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</si>
  <si>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</si>
  <si>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</si>
  <si>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</si>
  <si>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</si>
  <si>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</si>
  <si>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</si>
  <si>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</si>
  <si>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</si>
  <si>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</si>
  <si>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</si>
  <si>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</si>
  <si>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</si>
  <si>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</si>
  <si>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</si>
  <si>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</si>
  <si>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</si>
  <si>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</si>
  <si>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</si>
  <si>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</si>
  <si>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</si>
  <si>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</si>
  <si>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</si>
  <si>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</si>
  <si>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</si>
  <si>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</si>
  <si>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</si>
  <si>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</si>
  <si>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</si>
  <si>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</si>
  <si>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</si>
  <si>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</si>
  <si>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</si>
  <si>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</si>
  <si>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</si>
  <si>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</si>
  <si>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</si>
  <si>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</si>
  <si>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</si>
  <si>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</si>
  <si>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</si>
  <si>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</si>
  <si>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</si>
  <si>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</si>
  <si>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</si>
  <si>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</si>
  <si>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</si>
  <si>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</si>
  <si>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</si>
  <si>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</si>
  <si>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</si>
  <si>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</si>
  <si>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</si>
  <si>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</si>
  <si>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</si>
  <si>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</si>
  <si>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</si>
  <si>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</si>
  <si>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</si>
  <si>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</si>
  <si>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</si>
  <si>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</si>
  <si>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</si>
  <si>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</si>
  <si>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</si>
  <si>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</si>
  <si>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</si>
  <si>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</si>
  <si>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</si>
  <si>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</si>
  <si>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</si>
  <si>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</si>
  <si>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</si>
  <si>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</si>
  <si>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</si>
  <si>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</si>
  <si>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</si>
  <si>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</si>
  <si>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</si>
  <si>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</si>
  <si>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</si>
  <si>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</si>
  <si>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</si>
  <si>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</si>
  <si>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</si>
  <si>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</si>
  <si>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</si>
  <si>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</si>
  <si>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</si>
  <si>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</si>
  <si>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</si>
  <si>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</si>
  <si>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</si>
  <si>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</si>
  <si>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</si>
  <si>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</si>
  <si>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</si>
  <si>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</si>
  <si>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</si>
  <si>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</si>
  <si>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</si>
  <si>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</si>
  <si>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</si>
  <si>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</si>
  <si>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</si>
  <si>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</si>
  <si>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</si>
  <si>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</si>
  <si>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</si>
  <si>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</si>
  <si>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</si>
  <si>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</si>
  <si>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</si>
  <si>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</si>
  <si>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</si>
  <si>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</si>
  <si>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</si>
  <si>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</si>
  <si>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</si>
  <si>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</si>
  <si>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</si>
  <si>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</si>
  <si>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</si>
  <si>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</si>
  <si>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</si>
  <si>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</si>
  <si>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</si>
  <si>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</si>
  <si>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</si>
  <si>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</si>
  <si>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</si>
  <si>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</si>
  <si>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</si>
  <si>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</si>
  <si>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</si>
  <si>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</si>
  <si>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</si>
  <si>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</si>
  <si>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</si>
  <si>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</si>
  <si>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</si>
  <si>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</si>
  <si>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</si>
  <si>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</si>
  <si>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</si>
  <si>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</si>
  <si>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</si>
  <si>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</si>
  <si>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</si>
  <si>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</si>
  <si>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</si>
  <si>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</si>
  <si>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</si>
  <si>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</si>
  <si>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</si>
  <si>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</si>
  <si>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</si>
  <si>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</si>
  <si>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</si>
  <si>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</si>
  <si>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</si>
  <si>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</si>
  <si>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</si>
  <si>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</si>
  <si>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</si>
  <si>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</si>
  <si>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</si>
  <si>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</si>
  <si>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</si>
  <si>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</si>
  <si>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</si>
  <si>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</si>
  <si>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</si>
  <si>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</si>
  <si>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</si>
  <si>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</si>
  <si>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</si>
  <si>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</si>
  <si>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</si>
  <si>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</si>
  <si>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</si>
  <si>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</si>
  <si>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</si>
  <si>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</si>
  <si>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</si>
  <si>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</si>
  <si>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</si>
  <si>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</si>
  <si>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</si>
  <si>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</si>
  <si>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</si>
  <si>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</si>
  <si>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</si>
  <si>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</si>
  <si>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</si>
  <si>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</si>
  <si>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</si>
  <si>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</si>
  <si>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</si>
  <si>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</si>
  <si>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</si>
  <si>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</si>
  <si>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</si>
  <si>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</si>
  <si>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</si>
  <si>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</si>
  <si>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</si>
  <si>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</si>
  <si>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</si>
  <si>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</si>
  <si>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</si>
  <si>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</si>
  <si>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</si>
  <si>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</si>
  <si>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</si>
  <si>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</si>
  <si>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</si>
  <si>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</si>
  <si>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</si>
  <si>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</si>
  <si>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</si>
  <si>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</si>
  <si>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</si>
  <si>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</si>
  <si>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</si>
  <si>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</si>
  <si>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</si>
  <si>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</si>
  <si>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</si>
  <si>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</si>
  <si>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</si>
  <si>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</si>
  <si>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</si>
  <si>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</si>
  <si>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</si>
  <si>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</si>
  <si>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</si>
  <si>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</si>
  <si>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</si>
  <si>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</si>
  <si>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</si>
  <si>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</si>
  <si>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</si>
  <si>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</si>
  <si>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</si>
  <si>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</si>
  <si>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</si>
  <si>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</si>
  <si>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</si>
  <si>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</si>
  <si>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</si>
  <si>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</si>
  <si>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</si>
  <si>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</si>
  <si>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</si>
  <si>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</si>
  <si>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</si>
  <si>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</si>
  <si>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</si>
  <si>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</si>
  <si>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</si>
  <si>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</si>
  <si>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</si>
  <si>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</si>
  <si>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</si>
  <si>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</si>
  <si>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</si>
  <si>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</si>
  <si>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</si>
  <si>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</si>
  <si>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</si>
  <si>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</si>
  <si>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</si>
  <si>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</si>
  <si>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</si>
  <si>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</si>
  <si>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</si>
  <si>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</si>
  <si>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</si>
  <si>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</si>
  <si>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</si>
  <si>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</si>
  <si>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</si>
  <si>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</si>
  <si>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</si>
  <si>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</si>
  <si>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</si>
  <si>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</si>
  <si>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</si>
  <si>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</si>
  <si>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</si>
  <si>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</si>
  <si>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</si>
  <si>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</si>
  <si>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</si>
  <si>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</si>
  <si>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</si>
  <si>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</si>
  <si>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</si>
  <si>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</si>
  <si>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</si>
  <si>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</si>
  <si>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</si>
  <si>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</si>
  <si>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</si>
  <si>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</si>
  <si>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</si>
  <si>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</si>
  <si>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</si>
  <si>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</si>
  <si>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</si>
  <si>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</si>
  <si>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</si>
  <si>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</si>
  <si>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</si>
  <si>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</si>
  <si>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</si>
  <si>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</si>
  <si>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</si>
  <si>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</si>
  <si>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</si>
  <si>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</si>
  <si>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</si>
  <si>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</si>
  <si>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</si>
  <si>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</si>
  <si>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</si>
  <si>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</si>
  <si>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</si>
  <si>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</si>
  <si>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</si>
  <si>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</si>
  <si>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</si>
  <si>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</si>
  <si>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</si>
  <si>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</si>
  <si>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</si>
  <si>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</si>
  <si>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</si>
  <si>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</si>
  <si>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</si>
  <si>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</si>
  <si>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</si>
  <si>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</si>
  <si>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</si>
  <si>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</si>
  <si>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</si>
  <si>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</si>
  <si>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</si>
  <si>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</si>
  <si>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</si>
  <si>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</si>
  <si>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</si>
  <si>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</si>
  <si>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</si>
  <si>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</si>
  <si>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</si>
  <si>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</si>
  <si>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</si>
  <si>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</si>
  <si>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</si>
  <si>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</si>
  <si>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</si>
  <si>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</si>
  <si>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</si>
  <si>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</si>
  <si>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</si>
  <si>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</si>
  <si>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</si>
  <si>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</si>
  <si>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</si>
  <si>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</si>
  <si>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</si>
  <si>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</si>
  <si>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</si>
  <si>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</si>
  <si>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</si>
  <si>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</si>
  <si>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</si>
  <si>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</si>
  <si>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</si>
  <si>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</si>
  <si>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</si>
  <si>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</si>
  <si>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</si>
  <si>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</si>
  <si>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</si>
  <si>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</si>
  <si>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</si>
  <si>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</si>
  <si>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</si>
  <si>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</si>
  <si>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</si>
  <si>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</si>
  <si>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</si>
  <si>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</si>
  <si>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</si>
  <si>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</si>
  <si>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</si>
  <si>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</si>
  <si>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</si>
  <si>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</si>
  <si>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</si>
  <si>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</si>
  <si>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</si>
  <si>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</si>
  <si>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</si>
  <si>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</si>
  <si>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</si>
  <si>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</si>
  <si>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</si>
  <si>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</si>
  <si>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</si>
  <si>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</si>
  <si>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</si>
  <si>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</si>
  <si>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</si>
  <si>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</si>
  <si>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</si>
  <si>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</si>
  <si>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</si>
  <si>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</si>
  <si>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</si>
  <si>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</si>
  <si>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</si>
  <si>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</si>
  <si>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</si>
  <si>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</si>
  <si>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</si>
  <si>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</si>
  <si>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</si>
  <si>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</si>
  <si>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</si>
  <si>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</si>
  <si>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</si>
  <si>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</si>
  <si>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</si>
  <si>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</si>
  <si>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</si>
  <si>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</si>
  <si>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</si>
  <si>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</si>
  <si>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</si>
  <si>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</si>
  <si>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</si>
  <si>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</si>
  <si>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</si>
  <si>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</si>
  <si>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</si>
  <si>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</si>
  <si>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</si>
  <si>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</si>
  <si>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</si>
  <si>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</si>
  <si>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</si>
  <si>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</si>
  <si>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</si>
  <si>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</si>
  <si>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</si>
  <si>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</si>
  <si>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</si>
  <si>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</si>
  <si>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</si>
  <si>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</si>
  <si>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</si>
  <si>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</si>
  <si>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</si>
  <si>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</si>
  <si>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</si>
  <si>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</si>
  <si>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</si>
  <si>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</si>
  <si>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</si>
  <si>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</si>
  <si>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</si>
  <si>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</si>
  <si>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</si>
  <si>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</si>
  <si>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</si>
  <si>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</si>
  <si>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</si>
  <si>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</si>
  <si>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</si>
  <si>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</si>
  <si>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</si>
  <si>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</si>
  <si>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</si>
  <si>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</si>
  <si>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</si>
  <si>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</si>
  <si>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</si>
  <si>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</si>
  <si>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</si>
  <si>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</si>
  <si>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</si>
  <si>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</si>
  <si>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</si>
  <si>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</si>
  <si>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</si>
  <si>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</si>
  <si>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</si>
  <si>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</si>
  <si>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</si>
  <si>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</si>
  <si>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</si>
  <si>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</si>
  <si>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</si>
  <si>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</si>
  <si>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</si>
  <si>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</si>
  <si>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</si>
  <si>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</si>
  <si>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</si>
  <si>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</si>
  <si>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</si>
  <si>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</si>
  <si>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</si>
  <si>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</si>
  <si>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</si>
  <si>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</si>
  <si>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</si>
  <si>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</si>
  <si>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</si>
  <si>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</si>
  <si>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</si>
  <si>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</si>
  <si>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</si>
  <si>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</si>
  <si>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</si>
  <si>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</si>
  <si>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</si>
  <si>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</si>
  <si>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</si>
  <si>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</si>
  <si>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</si>
  <si>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</si>
  <si>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</si>
  <si>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</si>
  <si>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</si>
  <si>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</si>
  <si>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</si>
  <si>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</si>
  <si>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</si>
  <si>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</si>
  <si>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</si>
  <si>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</si>
  <si>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</si>
  <si>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</si>
  <si>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</si>
  <si>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</si>
  <si>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</si>
  <si>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</si>
  <si>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</si>
  <si>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</si>
  <si>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</si>
  <si>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</si>
  <si>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</si>
  <si>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</si>
  <si>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</si>
  <si>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</si>
  <si>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</si>
  <si>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</si>
  <si>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</si>
  <si>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</si>
  <si>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</si>
  <si>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</si>
  <si>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</si>
  <si>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</si>
  <si>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</si>
  <si>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</si>
  <si>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</si>
  <si>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</si>
  <si>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</si>
  <si>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</si>
  <si>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</si>
  <si>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</si>
  <si>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</si>
  <si>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</si>
  <si>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</si>
  <si>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</si>
  <si>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</si>
  <si>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</si>
  <si>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</si>
  <si>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</si>
  <si>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</si>
  <si>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</si>
  <si>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</si>
  <si>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</si>
  <si>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</si>
  <si>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</si>
  <si>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</si>
  <si>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</si>
  <si>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</si>
  <si>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</si>
  <si>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</si>
  <si>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</si>
  <si>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</si>
  <si>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</si>
  <si>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</si>
  <si>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</si>
  <si>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</si>
  <si>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</si>
  <si>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</si>
  <si>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</si>
  <si>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</si>
  <si>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</si>
  <si>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</si>
  <si>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</si>
  <si>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</si>
  <si>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</si>
  <si>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</si>
  <si>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</si>
  <si>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</si>
  <si>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</si>
  <si>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</si>
  <si>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</si>
  <si>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</si>
  <si>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</si>
  <si>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</si>
  <si>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</si>
  <si>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</si>
  <si>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</si>
  <si>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</si>
  <si>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</si>
  <si>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</si>
  <si>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</si>
  <si>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</si>
  <si>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</si>
  <si>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</si>
  <si>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</si>
  <si>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</si>
  <si>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</si>
  <si>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</si>
  <si>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</si>
  <si>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</si>
  <si>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</si>
  <si>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</si>
  <si>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</si>
  <si>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</si>
  <si>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</si>
  <si>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</si>
  <si>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</si>
  <si>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</si>
  <si>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</si>
  <si>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</si>
  <si>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</si>
  <si>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</si>
  <si>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</si>
  <si>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</si>
  <si>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</si>
  <si>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</si>
  <si>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</si>
  <si>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</si>
  <si>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</si>
  <si>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</si>
  <si>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</si>
  <si>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</si>
  <si>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</si>
  <si>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</si>
  <si>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</si>
  <si>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</si>
  <si>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</si>
  <si>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</si>
  <si>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</si>
  <si>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</si>
  <si>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</si>
  <si>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</si>
  <si>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</si>
  <si>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</si>
  <si>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</si>
  <si>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</si>
  <si>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</si>
  <si>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</si>
  <si>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</si>
  <si>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</si>
  <si>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</si>
  <si>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</si>
  <si>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</si>
  <si>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</si>
  <si>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</si>
  <si>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</si>
  <si>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</si>
  <si>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</si>
  <si>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</si>
  <si>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</si>
  <si>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</si>
  <si>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</si>
  <si>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</si>
  <si>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</si>
  <si>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</si>
  <si>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</si>
  <si>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</si>
  <si>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</si>
  <si>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</si>
  <si>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</si>
  <si>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</si>
  <si>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</si>
  <si>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</si>
  <si>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</si>
  <si>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</si>
  <si>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</si>
  <si>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</si>
  <si>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</si>
  <si>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</si>
  <si>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</si>
  <si>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</si>
  <si>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</si>
  <si>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</si>
  <si>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</si>
  <si>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</si>
  <si>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</si>
  <si>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</si>
  <si>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</si>
  <si>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</si>
  <si>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</si>
  <si>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</si>
  <si>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</si>
  <si>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</si>
  <si>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</si>
  <si>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</si>
  <si>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</si>
  <si>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</si>
  <si>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</si>
  <si>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</si>
  <si>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</si>
  <si>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</si>
  <si>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</si>
  <si>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</si>
  <si>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</si>
  <si>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</si>
  <si>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</si>
  <si>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</si>
  <si>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</si>
  <si>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</si>
  <si>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</si>
  <si>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</si>
  <si>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</si>
  <si>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</si>
  <si>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</si>
  <si>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</si>
  <si>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</si>
  <si>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</si>
  <si>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</si>
  <si>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</si>
  <si>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</si>
  <si>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</si>
  <si>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</si>
  <si>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</si>
  <si>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</si>
  <si>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</si>
  <si>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</si>
  <si>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</si>
  <si>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</si>
  <si>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</si>
  <si>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</si>
  <si>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</si>
  <si>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</si>
  <si>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</si>
  <si>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</si>
  <si>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</si>
  <si>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</si>
  <si>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</si>
  <si>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</si>
  <si>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</si>
  <si>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</si>
  <si>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</si>
  <si>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</si>
  <si>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</si>
  <si>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</si>
  <si>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</si>
  <si>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</si>
  <si>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</si>
  <si>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</si>
  <si>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</si>
  <si>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</si>
  <si>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</si>
  <si>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</si>
  <si>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</si>
  <si>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</si>
  <si>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</si>
  <si>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</si>
  <si>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</si>
  <si>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</si>
  <si>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</si>
  <si>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</si>
  <si>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</si>
  <si>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</si>
  <si>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</si>
  <si>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</si>
  <si>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</si>
  <si>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</si>
  <si>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</si>
  <si>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</si>
  <si>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</si>
  <si>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</si>
  <si>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</si>
  <si>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</si>
  <si>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</si>
  <si>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</si>
  <si>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</si>
  <si>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</si>
  <si>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</si>
  <si>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</si>
  <si>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</si>
  <si>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</si>
  <si>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</si>
  <si>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</si>
  <si>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</si>
  <si>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</si>
  <si>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</si>
  <si>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</si>
  <si>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</si>
  <si>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</si>
  <si>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</si>
  <si>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</si>
  <si>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</si>
  <si>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</si>
  <si>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</si>
  <si>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</si>
  <si>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</si>
  <si>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</si>
  <si>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</si>
  <si>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</si>
  <si>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</si>
  <si>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</si>
  <si>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</si>
  <si>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</si>
  <si>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</si>
  <si>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</si>
  <si>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</si>
  <si>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</si>
  <si>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</si>
  <si>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</si>
  <si>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</si>
  <si>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</si>
  <si>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</si>
  <si>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</si>
  <si>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</si>
  <si>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</si>
  <si>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</si>
  <si>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</si>
  <si>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</si>
  <si>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</si>
  <si>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</si>
  <si>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</si>
  <si>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</si>
  <si>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</si>
  <si>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</si>
  <si>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</si>
  <si>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</si>
  <si>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</si>
  <si>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</si>
  <si>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</si>
  <si>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</si>
  <si>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</si>
  <si>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</si>
  <si>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</si>
  <si>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</si>
  <si>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</si>
  <si>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</si>
  <si>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</si>
  <si>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</si>
  <si>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</si>
  <si>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</si>
  <si>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</si>
  <si>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</si>
  <si>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</si>
  <si>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</si>
  <si>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</si>
  <si>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</si>
  <si>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</si>
  <si>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</si>
  <si>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</si>
  <si>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</si>
  <si>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</si>
  <si>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</si>
  <si>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</si>
  <si>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</si>
  <si>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</si>
  <si>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</si>
  <si>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</si>
  <si>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</si>
  <si>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</si>
  <si>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</si>
  <si>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</si>
  <si>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</si>
  <si>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</si>
  <si>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</si>
  <si>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</si>
  <si>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</si>
  <si>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</si>
  <si>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</si>
  <si>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</si>
  <si>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</si>
  <si>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</si>
  <si>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</si>
  <si>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</si>
  <si>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</si>
  <si>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</si>
  <si>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</si>
  <si>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</si>
  <si>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</si>
  <si>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</si>
  <si>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</si>
  <si>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</si>
  <si>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</si>
  <si>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</si>
  <si>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</si>
  <si>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</si>
  <si>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</si>
  <si>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</si>
  <si>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</si>
  <si>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</si>
  <si>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</si>
  <si>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</si>
  <si>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</si>
  <si>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</si>
  <si>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</si>
  <si>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</si>
  <si>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</si>
  <si>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</si>
  <si>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</si>
  <si>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</si>
  <si>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</si>
  <si>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</si>
  <si>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</si>
  <si>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</si>
  <si>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</si>
  <si>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</si>
  <si>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</si>
  <si>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</si>
  <si>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</si>
  <si>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</si>
  <si>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</si>
  <si>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</si>
  <si>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</si>
  <si>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</si>
  <si>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</si>
  <si>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</si>
  <si>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</si>
  <si>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</si>
  <si>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</si>
  <si>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</si>
  <si>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</si>
  <si>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</si>
  <si>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</si>
  <si>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</si>
  <si>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</si>
  <si>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</si>
  <si>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</si>
  <si>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</si>
  <si>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</si>
  <si>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</si>
  <si>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</si>
  <si>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</si>
  <si>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</si>
  <si>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</si>
  <si>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</si>
  <si>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</si>
  <si>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</si>
  <si>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</si>
  <si>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</si>
  <si>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</si>
  <si>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</si>
  <si>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</si>
  <si>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</si>
  <si>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</si>
  <si>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</si>
  <si>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</si>
  <si>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</si>
  <si>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</si>
  <si>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</si>
  <si>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</si>
  <si>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</si>
  <si>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</si>
  <si>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</si>
  <si>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</si>
  <si>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</si>
  <si>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</si>
  <si>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</si>
  <si>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</si>
  <si>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</si>
  <si>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</si>
  <si>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</si>
  <si>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</si>
  <si>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</si>
  <si>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</si>
  <si>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</si>
  <si>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</si>
  <si>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</si>
  <si>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</si>
  <si>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</si>
  <si>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</si>
  <si>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</si>
  <si>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</si>
  <si>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</si>
  <si>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</si>
  <si>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</si>
  <si>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</si>
  <si>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</si>
  <si>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</si>
  <si>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</si>
  <si>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</si>
  <si>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</si>
  <si>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</si>
  <si>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</si>
  <si>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</si>
  <si>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</si>
  <si>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</si>
  <si>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</si>
  <si>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</si>
  <si>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</si>
  <si>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</si>
  <si>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</si>
  <si>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</si>
  <si>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</si>
  <si>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</si>
  <si>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</si>
  <si>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</si>
  <si>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</si>
  <si>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</si>
  <si>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</si>
  <si>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</si>
  <si>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</si>
  <si>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</si>
  <si>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</si>
  <si>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</si>
  <si>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</si>
  <si>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</si>
  <si>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</si>
  <si>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</si>
  <si>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</si>
  <si>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</si>
  <si>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</si>
  <si>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</si>
  <si>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</si>
  <si>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</si>
  <si>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</si>
  <si>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</si>
  <si>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</si>
  <si>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</si>
  <si>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</si>
  <si>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</si>
  <si>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</si>
  <si>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</si>
  <si>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</si>
  <si>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</si>
  <si>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</si>
  <si>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</si>
  <si>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</si>
  <si>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</si>
  <si>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</si>
  <si>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</si>
  <si>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</si>
  <si>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</si>
  <si>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</si>
  <si>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</si>
  <si>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</si>
  <si>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</si>
  <si>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</si>
  <si>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</si>
  <si>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</si>
  <si>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</si>
  <si>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</si>
  <si>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</si>
  <si>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</si>
  <si>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</si>
  <si>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</si>
  <si>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</si>
  <si>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</si>
  <si>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</si>
  <si>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</si>
  <si>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</si>
  <si>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</si>
  <si>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</si>
  <si>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</si>
  <si>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</si>
  <si>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</si>
  <si>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</si>
  <si>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</si>
  <si>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</si>
  <si>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</si>
  <si>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</si>
  <si>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</si>
  <si>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</si>
  <si>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</si>
  <si>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</si>
  <si>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</si>
  <si>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</si>
  <si>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</si>
  <si>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</si>
  <si>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</si>
  <si>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</si>
  <si>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</si>
  <si>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</si>
  <si>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</si>
  <si>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</si>
  <si>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</si>
  <si>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</si>
  <si>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</si>
  <si>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</si>
  <si>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</si>
  <si>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</si>
  <si>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</si>
  <si>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</si>
  <si>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</si>
  <si>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</si>
  <si>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</si>
  <si>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</si>
  <si>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</si>
  <si>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</si>
  <si>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</si>
  <si>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</si>
  <si>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</si>
  <si>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</si>
  <si>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</si>
  <si>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</si>
  <si>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</si>
  <si>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</si>
  <si>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</si>
  <si>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</si>
  <si>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</si>
  <si>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</si>
  <si>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</si>
  <si>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</si>
  <si>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</si>
  <si>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</si>
  <si>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</si>
  <si>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</si>
  <si>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</si>
  <si>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</si>
  <si>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</si>
  <si>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</si>
  <si>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</si>
  <si>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</si>
  <si>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</si>
  <si>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</si>
  <si>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</si>
  <si>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</si>
  <si>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</si>
  <si>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</si>
  <si>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</si>
  <si>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</si>
  <si>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</si>
  <si>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</si>
  <si>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</si>
  <si>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</si>
  <si>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</si>
  <si>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</si>
  <si>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</si>
  <si>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</si>
  <si>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</si>
  <si>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</si>
  <si>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</si>
  <si>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</si>
  <si>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</si>
  <si>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</si>
  <si>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</si>
  <si>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</si>
  <si>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</si>
  <si>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</si>
  <si>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</si>
  <si>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</si>
  <si>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</si>
  <si>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</si>
  <si>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</si>
  <si>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</si>
  <si>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</si>
  <si>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</si>
  <si>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</si>
  <si>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</si>
  <si>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</si>
  <si>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</si>
  <si>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</si>
  <si>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</si>
  <si>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</si>
  <si>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</si>
  <si>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</si>
  <si>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</si>
  <si>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</si>
  <si>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</si>
  <si>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</si>
  <si>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</si>
  <si>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</si>
  <si>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</si>
  <si>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</si>
  <si>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</si>
  <si>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</si>
  <si>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</si>
  <si>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</si>
  <si>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</si>
  <si>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</si>
  <si>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</si>
  <si>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</si>
  <si>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</si>
  <si>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</si>
  <si>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</si>
  <si>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</si>
  <si>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</si>
  <si>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</si>
  <si>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</si>
  <si>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</si>
  <si>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</si>
  <si>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</si>
  <si>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</si>
  <si>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</si>
  <si>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</si>
  <si>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</si>
  <si>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</si>
  <si>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</si>
  <si>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</si>
  <si>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</si>
  <si>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</si>
  <si>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</si>
  <si>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</si>
  <si>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</si>
  <si>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</si>
  <si>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</si>
  <si>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</si>
  <si>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</si>
  <si>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</si>
  <si>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</si>
  <si>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</si>
  <si>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</si>
  <si>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</si>
  <si>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</si>
  <si>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</si>
  <si>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</si>
  <si>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</si>
  <si>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</si>
  <si>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</si>
  <si>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</si>
  <si>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</si>
  <si>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</si>
  <si>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</si>
  <si>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</si>
  <si>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</si>
  <si>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</si>
  <si>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</si>
  <si>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</si>
  <si>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</si>
  <si>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</si>
  <si>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</si>
  <si>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</si>
  <si>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</si>
  <si>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</si>
  <si>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</si>
  <si>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</si>
  <si>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</si>
  <si>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</si>
  <si>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</si>
  <si>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</si>
  <si>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</si>
  <si>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</si>
  <si>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</si>
  <si>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</si>
  <si>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</si>
  <si>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</si>
  <si>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</si>
  <si>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</si>
  <si>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</si>
  <si>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</si>
  <si>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</si>
  <si>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</si>
  <si>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</si>
  <si>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</si>
  <si>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</si>
  <si>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</si>
  <si>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</si>
  <si>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</si>
  <si>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</si>
  <si>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</si>
  <si>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</si>
  <si>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</si>
  <si>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</si>
  <si>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</si>
  <si>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</si>
  <si>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</si>
  <si>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</si>
  <si>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</si>
  <si>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</si>
  <si>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</si>
  <si>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</si>
  <si>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</si>
  <si>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</si>
  <si>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</si>
  <si>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</si>
  <si>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</si>
  <si>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</si>
  <si>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</si>
  <si>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</si>
  <si>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</si>
  <si>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</si>
  <si>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</si>
  <si>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</si>
  <si>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</si>
  <si>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</si>
  <si>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</si>
  <si>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</si>
  <si>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</si>
  <si>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</si>
  <si>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</si>
  <si>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</si>
  <si>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</si>
  <si>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</si>
  <si>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</si>
  <si>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</si>
  <si>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</si>
  <si>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</si>
  <si>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</si>
  <si>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</si>
  <si>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</si>
  <si>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</si>
  <si>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</si>
  <si>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</si>
  <si>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</si>
  <si>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</si>
  <si>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</si>
  <si>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</si>
  <si>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</si>
  <si>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</si>
  <si>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</si>
  <si>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</si>
  <si>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</si>
  <si>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</si>
  <si>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</si>
  <si>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</si>
  <si>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</si>
  <si>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</si>
  <si>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</si>
  <si>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</si>
  <si>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</si>
  <si>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</si>
  <si>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</si>
  <si>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</si>
  <si>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</si>
  <si>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</si>
  <si>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</si>
  <si>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</si>
  <si>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</si>
  <si>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</si>
  <si>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</si>
  <si>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</si>
  <si>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</si>
  <si>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</si>
  <si>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</si>
  <si>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</si>
  <si>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</si>
  <si>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</si>
  <si>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</si>
  <si>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</si>
  <si>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</si>
  <si>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</si>
  <si>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</si>
  <si>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</si>
  <si>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</si>
  <si>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</si>
  <si>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</si>
  <si>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</si>
  <si>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</si>
  <si>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</si>
  <si>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</si>
  <si>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</si>
  <si>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</si>
  <si>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</si>
  <si>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</si>
  <si>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</si>
  <si>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</si>
  <si>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</si>
  <si>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</si>
  <si>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</si>
  <si>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</si>
  <si>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</si>
  <si>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</si>
  <si>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</si>
  <si>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</si>
  <si>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</si>
  <si>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</si>
  <si>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</si>
  <si>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</si>
  <si>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</si>
  <si>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</si>
  <si>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</si>
  <si>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</si>
  <si>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</si>
  <si>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</si>
  <si>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</si>
  <si>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</si>
  <si>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</si>
  <si>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</si>
  <si>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</si>
  <si>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</si>
  <si>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</si>
  <si>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</si>
  <si>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</si>
  <si>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</si>
  <si>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</si>
  <si>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</si>
  <si>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</si>
  <si>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</si>
  <si>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</si>
  <si>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</si>
  <si>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</si>
  <si>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</si>
  <si>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</si>
  <si>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</si>
  <si>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</si>
  <si>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</si>
  <si>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</si>
  <si>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</si>
  <si>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</si>
  <si>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</si>
  <si>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</si>
  <si>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</si>
  <si>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</si>
  <si>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</si>
  <si>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</si>
  <si>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</si>
  <si>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</si>
  <si>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</si>
  <si>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</si>
  <si>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</si>
  <si>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</si>
  <si>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</si>
  <si>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</si>
  <si>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</si>
  <si>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</si>
  <si>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</si>
  <si>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</si>
  <si>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</si>
  <si>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</si>
  <si>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</si>
  <si>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</si>
  <si>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</si>
  <si>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</si>
  <si>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</si>
  <si>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</si>
  <si>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</si>
  <si>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</si>
  <si>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</si>
  <si>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</si>
  <si>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</si>
  <si>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</si>
  <si>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</si>
  <si>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</si>
  <si>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</si>
  <si>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</si>
  <si>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</si>
  <si>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</si>
  <si>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</si>
  <si>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</si>
  <si>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</si>
  <si>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</si>
  <si>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</si>
  <si>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</si>
  <si>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</si>
  <si>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</si>
  <si>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</si>
  <si>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</si>
  <si>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</si>
  <si>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</si>
  <si>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</si>
  <si>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</si>
  <si>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</si>
  <si>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</si>
  <si>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</si>
  <si>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</si>
  <si>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</si>
  <si>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</si>
  <si>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</si>
  <si>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</si>
  <si>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</si>
  <si>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</si>
  <si>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</si>
  <si>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</si>
  <si>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</si>
  <si>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</si>
  <si>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</si>
  <si>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</si>
  <si>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</si>
  <si>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</si>
  <si>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</si>
  <si>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</si>
  <si>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</si>
  <si>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</si>
  <si>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</si>
  <si>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</si>
  <si>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</si>
  <si>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</si>
  <si>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</si>
  <si>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</si>
  <si>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</si>
  <si>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</si>
  <si>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</si>
  <si>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</si>
  <si>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</si>
  <si>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</si>
  <si>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</si>
  <si>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</si>
  <si>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</si>
  <si>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</si>
  <si>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</si>
  <si>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</si>
  <si>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</si>
  <si>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</si>
  <si>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</si>
  <si>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</si>
  <si>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</si>
  <si>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</si>
  <si>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</si>
  <si>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</si>
  <si>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</si>
  <si>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</si>
  <si>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</si>
  <si>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</si>
  <si>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</si>
  <si>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</si>
  <si>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</si>
  <si>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</si>
  <si>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</si>
  <si>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</si>
  <si>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</si>
  <si>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</si>
  <si>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</si>
  <si>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</si>
  <si>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</si>
  <si>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</si>
  <si>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</si>
  <si>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</si>
  <si>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</si>
  <si>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</si>
  <si>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</si>
  <si>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</si>
  <si>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</si>
  <si>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</si>
  <si>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</si>
  <si>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</si>
  <si>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</si>
  <si>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</si>
  <si>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</si>
  <si>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</si>
  <si>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</si>
  <si>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</si>
  <si>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</si>
  <si>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</si>
  <si>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</si>
  <si>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</si>
  <si>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</si>
  <si>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</si>
  <si>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</si>
  <si>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</si>
  <si>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</si>
  <si>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</si>
  <si>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</si>
  <si>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</si>
  <si>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</si>
  <si>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</si>
  <si>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</si>
  <si>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</si>
  <si>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</si>
  <si>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</si>
  <si>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</si>
  <si>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</si>
  <si>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</si>
  <si>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</si>
  <si>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</si>
  <si>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</si>
  <si>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</si>
  <si>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</si>
  <si>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</si>
  <si>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</si>
  <si>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</si>
  <si>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</si>
  <si>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</si>
  <si>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</si>
  <si>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</si>
  <si>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</si>
  <si>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</si>
  <si>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</si>
  <si>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</si>
  <si>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</si>
  <si>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</si>
  <si>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</si>
  <si>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</si>
  <si>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</si>
  <si>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</si>
  <si>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</si>
  <si>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</si>
  <si>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</si>
  <si>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</si>
  <si>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</si>
  <si>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</si>
  <si>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</si>
  <si>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</si>
  <si>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</si>
  <si>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</si>
  <si>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</si>
  <si>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</si>
  <si>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</si>
  <si>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</si>
  <si>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</si>
  <si>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</si>
  <si>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</si>
  <si>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</si>
  <si>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</si>
  <si>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</si>
  <si>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</si>
  <si>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</si>
  <si>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</si>
  <si>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</si>
  <si>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</si>
  <si>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</si>
  <si>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</si>
  <si>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</si>
  <si>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</si>
  <si>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</si>
  <si>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</si>
  <si>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</si>
  <si>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</si>
  <si>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</si>
  <si>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</si>
  <si>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</si>
  <si>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</si>
  <si>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</si>
  <si>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</si>
  <si>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</si>
  <si>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</si>
  <si>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</si>
  <si>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</si>
  <si>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</si>
  <si>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</si>
  <si>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</si>
  <si>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</si>
  <si>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</si>
  <si>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</si>
  <si>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</si>
  <si>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</si>
  <si>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</si>
  <si>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</si>
  <si>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</si>
  <si>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</si>
  <si>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</si>
  <si>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</si>
  <si>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</si>
  <si>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</si>
  <si>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</si>
  <si>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</si>
  <si>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</si>
  <si>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</si>
  <si>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</si>
  <si>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</si>
  <si>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</si>
  <si>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</si>
  <si>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</si>
  <si>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</si>
  <si>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</si>
  <si>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</si>
  <si>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</si>
  <si>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</si>
  <si>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</si>
  <si>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</si>
  <si>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</si>
  <si>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</si>
  <si>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</si>
  <si>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</si>
  <si>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</si>
  <si>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</si>
  <si>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</si>
  <si>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</si>
  <si>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</si>
  <si>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</si>
  <si>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</si>
  <si>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</si>
  <si>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</si>
  <si>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</si>
  <si>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</si>
  <si>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</si>
  <si>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</si>
  <si>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</si>
  <si>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</si>
  <si>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</si>
  <si>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</si>
  <si>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</si>
  <si>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</si>
  <si>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</si>
  <si>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</si>
  <si>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</si>
  <si>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</si>
  <si>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</si>
  <si>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</si>
  <si>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</si>
  <si>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</si>
  <si>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</si>
  <si>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</si>
  <si>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</si>
  <si>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</si>
  <si>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</si>
  <si>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</si>
  <si>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</si>
  <si>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</si>
  <si>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</si>
  <si>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</si>
  <si>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</si>
  <si>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</si>
  <si>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</si>
  <si>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</si>
  <si>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</si>
  <si>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</si>
  <si>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</si>
  <si>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</si>
  <si>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</si>
  <si>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</si>
  <si>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</si>
  <si>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</si>
  <si>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</si>
  <si>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</si>
  <si>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</si>
  <si>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</si>
  <si>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</si>
  <si>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</si>
  <si>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</si>
  <si>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</si>
  <si>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</si>
  <si>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</si>
  <si>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</si>
  <si>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</si>
  <si>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</si>
  <si>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</si>
  <si>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</si>
  <si>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</si>
  <si>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</si>
  <si>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</si>
  <si>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</si>
  <si>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</si>
  <si>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</si>
  <si>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</si>
  <si>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</si>
  <si>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</si>
  <si>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</si>
  <si>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</si>
  <si>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</si>
  <si>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</si>
  <si>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</si>
  <si>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</si>
  <si>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</si>
  <si>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</si>
  <si>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</si>
  <si>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</si>
  <si>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</si>
  <si>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</si>
  <si>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</si>
  <si>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</si>
  <si>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</si>
  <si>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</si>
  <si>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</si>
  <si>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</si>
  <si>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</si>
  <si>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</si>
  <si>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</si>
  <si>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</si>
  <si>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</si>
  <si>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</si>
  <si>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</si>
  <si>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</si>
  <si>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</si>
  <si>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</si>
  <si>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</si>
  <si>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</si>
  <si>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</si>
  <si>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</si>
  <si>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</si>
  <si>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</si>
  <si>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</si>
  <si>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</si>
  <si>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</si>
  <si>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</si>
  <si>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</si>
  <si>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</si>
  <si>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</si>
  <si>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</si>
  <si>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</si>
  <si>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</si>
  <si>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</si>
  <si>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</si>
  <si>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</si>
  <si>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</si>
  <si>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</si>
  <si>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</si>
  <si>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</si>
  <si>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</si>
  <si>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</si>
  <si>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</si>
  <si>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</si>
  <si>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</si>
  <si>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</si>
  <si>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</si>
  <si>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</si>
  <si>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</si>
  <si>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</si>
  <si>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</si>
  <si>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</si>
  <si>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</si>
  <si>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</si>
  <si>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</si>
  <si>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</si>
  <si>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</si>
  <si>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</si>
  <si>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</si>
  <si>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</si>
  <si>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</si>
  <si>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</si>
  <si>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</si>
  <si>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</si>
  <si>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</si>
  <si>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</si>
  <si>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</si>
  <si>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</si>
  <si>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</si>
  <si>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</si>
  <si>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</si>
  <si>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</si>
  <si>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</si>
  <si>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</si>
  <si>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</si>
  <si>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</si>
  <si>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</si>
  <si>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</si>
  <si>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</si>
  <si>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</si>
  <si>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</si>
  <si>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</si>
  <si>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</si>
  <si>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</si>
  <si>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</si>
  <si>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</si>
  <si>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</si>
  <si>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</si>
  <si>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</si>
  <si>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</si>
  <si>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</si>
  <si>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</si>
  <si>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</si>
  <si>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</si>
  <si>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</si>
  <si>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</si>
  <si>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</si>
  <si>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</si>
  <si>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</si>
  <si>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</si>
  <si>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</si>
  <si>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</si>
  <si>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</si>
  <si>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</si>
  <si>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</si>
  <si>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</si>
  <si>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</si>
  <si>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</si>
  <si>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</si>
  <si>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</si>
  <si>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</si>
  <si>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</si>
  <si>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</si>
  <si>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</si>
  <si>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</si>
  <si>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</si>
  <si>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</si>
  <si>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</si>
  <si>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</si>
  <si>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</si>
  <si>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</si>
  <si>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</si>
  <si>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</si>
  <si>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</si>
  <si>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</si>
  <si>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</si>
  <si>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</si>
  <si>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</si>
  <si>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</si>
  <si>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</si>
  <si>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</si>
  <si>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</si>
  <si>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</si>
  <si>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</si>
  <si>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</si>
  <si>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</si>
  <si>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</si>
  <si>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</si>
  <si>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</si>
  <si>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</si>
  <si>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</si>
  <si>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</si>
  <si>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</si>
  <si>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</si>
  <si>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</si>
  <si>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</si>
  <si>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</si>
  <si>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</si>
  <si>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</si>
  <si>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</si>
  <si>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</si>
  <si>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</si>
  <si>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</si>
  <si>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</si>
  <si>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</si>
  <si>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</si>
  <si>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</si>
  <si>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</si>
  <si>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</si>
  <si>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</si>
  <si>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</si>
  <si>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</si>
  <si>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</si>
  <si>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</si>
  <si>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</si>
  <si>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</si>
  <si>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</si>
  <si>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</si>
  <si>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</si>
  <si>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</si>
  <si>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</si>
  <si>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</si>
  <si>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</si>
  <si>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</si>
  <si>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</si>
  <si>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</si>
  <si>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</si>
  <si>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</si>
  <si>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</si>
  <si>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</si>
  <si>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</si>
  <si>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</si>
  <si>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</si>
  <si>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</si>
  <si>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</si>
  <si>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</si>
  <si>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</si>
  <si>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</si>
  <si>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</si>
  <si>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</si>
  <si>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</si>
  <si>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</si>
  <si>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</si>
  <si>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</si>
  <si>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</si>
  <si>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</si>
  <si>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</si>
  <si>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</si>
  <si>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</si>
  <si>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</si>
  <si>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</si>
  <si>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</si>
  <si>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</si>
  <si>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</si>
  <si>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</si>
  <si>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</si>
  <si>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</si>
  <si>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</si>
  <si>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</si>
  <si>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</si>
  <si>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</si>
  <si>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</si>
  <si>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</si>
  <si>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</si>
  <si>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</si>
  <si>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</si>
  <si>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</si>
  <si>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</si>
  <si>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</si>
  <si>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</si>
  <si>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</si>
  <si>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</si>
  <si>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</si>
  <si>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</si>
  <si>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</si>
  <si>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</si>
  <si>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</si>
  <si>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</si>
  <si>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</si>
  <si>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</si>
  <si>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</si>
  <si>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</si>
  <si>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</si>
  <si>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</si>
  <si>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</si>
  <si>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</si>
  <si>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</si>
  <si>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</si>
  <si>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</si>
  <si>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</si>
  <si>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</si>
  <si>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</si>
  <si>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</si>
  <si>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</si>
  <si>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</si>
  <si>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</si>
  <si>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</si>
  <si>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</si>
  <si>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</si>
  <si>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</si>
  <si>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</si>
  <si>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</si>
  <si>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</si>
  <si>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</si>
  <si>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</si>
  <si>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</si>
  <si>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</si>
  <si>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</si>
  <si>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</si>
  <si>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</si>
  <si>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</si>
  <si>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</si>
  <si>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</si>
  <si>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</si>
  <si>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</si>
  <si>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</si>
  <si>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</si>
  <si>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</si>
  <si>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</si>
  <si>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</si>
  <si>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</si>
  <si>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</si>
  <si>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</si>
  <si>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</si>
  <si>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</si>
  <si>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</si>
  <si>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</si>
  <si>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</si>
  <si>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</si>
  <si>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</si>
  <si>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</si>
  <si>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</si>
  <si>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</si>
  <si>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</si>
  <si>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</si>
  <si>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</si>
  <si>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</si>
  <si>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</si>
  <si>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</si>
  <si>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</si>
  <si>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</si>
  <si>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</si>
  <si>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</si>
  <si>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</si>
  <si>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</si>
  <si>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</si>
  <si>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</si>
  <si>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</si>
  <si>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</si>
  <si>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</si>
  <si>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</si>
  <si>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</si>
  <si>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</si>
  <si>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</si>
  <si>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</si>
  <si>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</si>
  <si>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</si>
  <si>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</si>
  <si>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</si>
  <si>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</si>
  <si>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</si>
  <si>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</si>
  <si>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</si>
  <si>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</si>
  <si>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</si>
  <si>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</si>
  <si>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</si>
  <si>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</si>
  <si>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</si>
  <si>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</si>
  <si>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</si>
  <si>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</si>
  <si>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</si>
  <si>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</si>
  <si>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</si>
  <si>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</si>
  <si>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</si>
  <si>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</si>
  <si>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</si>
  <si>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</si>
  <si>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</si>
  <si>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</si>
  <si>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</si>
  <si>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</si>
  <si>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</si>
  <si>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</si>
  <si>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</si>
  <si>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</si>
  <si>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</si>
  <si>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</si>
  <si>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</si>
  <si>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</si>
  <si>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</si>
  <si>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</si>
  <si>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</si>
  <si>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</si>
  <si>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</si>
  <si>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</si>
  <si>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</si>
  <si>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</si>
  <si>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</si>
  <si>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</si>
  <si>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</si>
  <si>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</si>
  <si>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</si>
  <si>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</si>
  <si>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</si>
  <si>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</si>
  <si>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</si>
  <si>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</si>
  <si>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</si>
  <si>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</si>
  <si>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</si>
  <si>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</si>
  <si>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</si>
  <si>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</si>
  <si>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</si>
  <si>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</si>
  <si>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</si>
  <si>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</si>
  <si>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</si>
  <si>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</si>
  <si>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</si>
  <si>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</si>
  <si>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</si>
  <si>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</si>
  <si>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</si>
  <si>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</si>
  <si>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</si>
  <si>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</si>
  <si>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</si>
  <si>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</si>
  <si>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</si>
  <si>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</si>
  <si>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</si>
  <si>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</si>
  <si>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</si>
  <si>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</si>
  <si>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</si>
  <si>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</si>
  <si>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</si>
  <si>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</si>
  <si>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</si>
  <si>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</si>
  <si>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</si>
  <si>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</si>
  <si>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</si>
  <si>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</si>
  <si>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</si>
  <si>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</si>
  <si>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</si>
  <si>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</si>
  <si>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</si>
  <si>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</si>
  <si>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</si>
  <si>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</si>
  <si>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</si>
  <si>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</si>
  <si>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</si>
  <si>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</si>
  <si>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</si>
  <si>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</si>
  <si>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</si>
  <si>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</si>
  <si>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</si>
  <si>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</si>
  <si>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</si>
  <si>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</si>
  <si>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</si>
  <si>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</si>
  <si>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</si>
  <si>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</si>
  <si>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</si>
  <si>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</si>
  <si>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</si>
  <si>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</si>
  <si>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</si>
  <si>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</si>
  <si>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</si>
  <si>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</si>
  <si>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</si>
  <si>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</si>
  <si>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</si>
  <si>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</si>
  <si>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</si>
  <si>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</si>
  <si>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</si>
  <si>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</si>
  <si>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</si>
  <si>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</si>
  <si>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</si>
  <si>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</si>
  <si>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</si>
  <si>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</si>
  <si>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</si>
  <si>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</si>
  <si>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</si>
  <si>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</si>
  <si>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</si>
  <si>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</si>
  <si>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</si>
  <si>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</si>
  <si>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</si>
  <si>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</si>
  <si>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</si>
  <si>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</si>
  <si>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</si>
  <si>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</si>
  <si>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</si>
  <si>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</si>
  <si>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</si>
  <si>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</si>
  <si>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</si>
  <si>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</si>
  <si>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</si>
  <si>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</si>
  <si>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</si>
  <si>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</si>
  <si>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</si>
  <si>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</si>
  <si>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</si>
  <si>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</si>
  <si>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</si>
  <si>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</si>
  <si>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</si>
  <si>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</si>
  <si>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</si>
  <si>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</si>
  <si>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</si>
  <si>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</si>
  <si>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</si>
  <si>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</si>
  <si>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</si>
  <si>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</si>
  <si>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</si>
  <si>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</si>
  <si>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</si>
  <si>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</si>
  <si>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</si>
  <si>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</si>
  <si>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</si>
  <si>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</si>
  <si>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</si>
  <si>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</si>
  <si>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</si>
  <si>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</si>
  <si>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</si>
  <si>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</si>
  <si>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</si>
  <si>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</si>
  <si>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</si>
  <si>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</si>
  <si>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</si>
  <si>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</si>
  <si>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</si>
  <si>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</si>
  <si>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</si>
  <si>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</si>
  <si>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</si>
  <si>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</si>
  <si>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</si>
  <si>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</si>
  <si>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</si>
  <si>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</si>
  <si>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</si>
  <si>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</si>
  <si>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</si>
  <si>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</si>
  <si>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</si>
  <si>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</si>
  <si>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</si>
  <si>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</si>
  <si>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</si>
  <si>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</si>
  <si>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</si>
  <si>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</si>
  <si>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</si>
  <si>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</si>
  <si>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</si>
  <si>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</si>
  <si>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</si>
  <si>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</si>
  <si>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</si>
  <si>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</si>
  <si>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</si>
  <si>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</si>
  <si>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</si>
  <si>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</si>
  <si>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</si>
  <si>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</si>
  <si>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</si>
  <si>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</si>
  <si>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</si>
  <si>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</si>
  <si>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</si>
  <si>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</si>
  <si>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</si>
  <si>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</si>
  <si>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</si>
  <si>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</si>
  <si>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</si>
  <si>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</si>
  <si>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</si>
  <si>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</si>
  <si>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</si>
  <si>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</si>
  <si>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</si>
  <si>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</si>
  <si>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</si>
  <si>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</si>
  <si>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</si>
  <si>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</si>
  <si>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</si>
  <si>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</si>
  <si>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</si>
  <si>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</si>
  <si>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</si>
  <si>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</si>
  <si>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</si>
  <si>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</si>
  <si>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</si>
  <si>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</si>
  <si>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</si>
  <si>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</si>
  <si>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</si>
  <si>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</si>
  <si>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</si>
  <si>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</si>
  <si>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</si>
  <si>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</si>
  <si>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</si>
  <si>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</si>
  <si>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</si>
  <si>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</si>
  <si>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</si>
  <si>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</si>
  <si>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</si>
  <si>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</si>
  <si>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</si>
  <si>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</si>
  <si>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</si>
  <si>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</si>
  <si>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</si>
  <si>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</si>
  <si>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</si>
  <si>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</si>
  <si>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</si>
  <si>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</si>
  <si>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</si>
  <si>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</si>
  <si>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</si>
  <si>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</si>
  <si>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</si>
  <si>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</si>
  <si>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</si>
  <si>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</si>
  <si>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</si>
  <si>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</si>
  <si>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</si>
  <si>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</si>
  <si>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</si>
  <si>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</si>
  <si>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</si>
  <si>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</si>
  <si>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</si>
  <si>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</si>
  <si>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</si>
  <si>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</si>
  <si>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</si>
  <si>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</si>
  <si>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</si>
  <si>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</si>
  <si>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</si>
  <si>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</si>
  <si>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</si>
  <si>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</si>
  <si>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</si>
  <si>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</si>
  <si>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</si>
  <si>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</si>
  <si>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</si>
  <si>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</si>
  <si>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</si>
  <si>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</si>
  <si>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</si>
  <si>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</si>
  <si>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</si>
  <si>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</si>
  <si>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</si>
  <si>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</si>
  <si>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</si>
  <si>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</si>
  <si>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</si>
  <si>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</si>
  <si>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</si>
  <si>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</si>
  <si>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</si>
  <si>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</si>
  <si>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</si>
  <si>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</si>
  <si>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</si>
  <si>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</si>
  <si>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</si>
  <si>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</si>
  <si>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</si>
  <si>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</si>
  <si>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</si>
  <si>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</si>
  <si>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</si>
  <si>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</si>
  <si>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</si>
  <si>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</si>
  <si>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</si>
  <si>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</si>
  <si>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</si>
  <si>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</si>
  <si>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</si>
  <si>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</si>
  <si>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</si>
  <si>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</si>
  <si>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</si>
  <si>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</si>
  <si>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</si>
  <si>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</si>
  <si>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</si>
  <si>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</si>
  <si>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</si>
  <si>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</si>
  <si>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</si>
  <si>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</si>
  <si>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</si>
  <si>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</si>
  <si>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</si>
  <si>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</si>
  <si>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</si>
  <si>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</si>
  <si>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</si>
  <si>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</si>
  <si>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</si>
  <si>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</si>
  <si>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</si>
  <si>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</si>
  <si>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</si>
  <si>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</si>
  <si>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</si>
  <si>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</si>
  <si>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</si>
  <si>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</si>
  <si>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</si>
  <si>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</si>
  <si>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</si>
  <si>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</si>
  <si>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</si>
  <si>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</si>
  <si>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</si>
  <si>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</si>
  <si>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</si>
  <si>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</si>
  <si>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</si>
  <si>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</si>
  <si>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</si>
  <si>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</si>
  <si>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</si>
  <si>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</si>
  <si>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</si>
  <si>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</si>
  <si>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</si>
  <si>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</si>
  <si>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</si>
  <si>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</si>
  <si>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</si>
  <si>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</si>
  <si>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</si>
  <si>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</si>
  <si>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</si>
  <si>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</si>
  <si>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</si>
  <si>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</si>
  <si>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</si>
  <si>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</si>
  <si>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</si>
  <si>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</si>
  <si>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</si>
  <si>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</si>
  <si>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</si>
  <si>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</si>
  <si>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</si>
  <si>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</si>
  <si>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</si>
  <si>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</si>
  <si>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</si>
  <si>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</si>
  <si>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</si>
  <si>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</si>
  <si>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</si>
  <si>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</si>
  <si>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</si>
  <si>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</si>
  <si>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</si>
  <si>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</si>
  <si>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</si>
  <si>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</si>
  <si>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</si>
  <si>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</si>
  <si>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</si>
  <si>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</si>
  <si>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</si>
  <si>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</si>
  <si>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</si>
  <si>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</si>
  <si>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</si>
  <si>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</si>
  <si>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</si>
  <si>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</si>
  <si>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</si>
  <si>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</si>
  <si>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</si>
  <si>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</si>
  <si>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</si>
  <si>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</si>
  <si>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</si>
  <si>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</si>
  <si>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</si>
  <si>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</si>
  <si>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</si>
  <si>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</si>
  <si>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</si>
  <si>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</si>
  <si>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</si>
  <si>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</si>
  <si>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</si>
  <si>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</si>
  <si>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</si>
  <si>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</si>
  <si>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</si>
  <si>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</si>
  <si>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</si>
  <si>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</si>
  <si>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</si>
  <si>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</si>
  <si>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</si>
  <si>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</si>
  <si>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</si>
  <si>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</si>
  <si>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</si>
  <si>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</si>
  <si>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</si>
  <si>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</si>
  <si>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</si>
  <si>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</si>
  <si>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</si>
  <si>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</si>
  <si>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</si>
  <si>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</si>
  <si>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</si>
  <si>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</si>
  <si>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</si>
  <si>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</si>
  <si>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</si>
  <si>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</si>
  <si>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</si>
  <si>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</si>
  <si>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</si>
  <si>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</si>
  <si>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</si>
  <si>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</si>
  <si>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</si>
  <si>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</si>
  <si>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</si>
  <si>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</si>
  <si>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</si>
  <si>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</si>
  <si>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</si>
  <si>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</si>
  <si>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</si>
  <si>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</si>
  <si>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</si>
  <si>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</si>
  <si>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</si>
  <si>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</si>
  <si>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</si>
  <si>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</si>
  <si>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</si>
  <si>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</si>
  <si>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</si>
  <si>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</si>
  <si>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</si>
  <si>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</si>
  <si>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</si>
  <si>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</si>
  <si>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</si>
  <si>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</si>
  <si>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</si>
  <si>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</si>
  <si>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</si>
  <si>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</si>
  <si>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</si>
  <si>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</si>
  <si>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</si>
  <si>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</si>
  <si>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</si>
  <si>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</si>
  <si>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</si>
  <si>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</si>
  <si>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</si>
  <si>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</si>
  <si>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</si>
  <si>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</si>
  <si>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</si>
  <si>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</si>
  <si>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</si>
  <si>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</si>
  <si>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</si>
  <si>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</si>
  <si>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</si>
  <si>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</si>
  <si>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</si>
  <si>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</si>
  <si>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</si>
  <si>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</si>
  <si>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</si>
  <si>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</si>
  <si>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</si>
  <si>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</si>
  <si>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</si>
  <si>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</si>
  <si>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</si>
  <si>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</si>
  <si>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</si>
  <si>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</si>
  <si>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</si>
  <si>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</si>
  <si>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</si>
  <si>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</si>
  <si>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</si>
  <si>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</si>
  <si>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</si>
  <si>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</si>
  <si>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</si>
  <si>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</si>
  <si>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</si>
  <si>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</si>
  <si>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</si>
  <si>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</si>
  <si>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</si>
  <si>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</si>
  <si>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</si>
  <si>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</si>
  <si>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</si>
  <si>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</si>
  <si>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</si>
  <si>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</si>
  <si>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</si>
  <si>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</si>
  <si>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</si>
  <si>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</si>
  <si>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</si>
  <si>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</si>
  <si>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</si>
  <si>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</si>
  <si>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</si>
  <si>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</si>
  <si>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</si>
  <si>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</si>
  <si>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</si>
  <si>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</si>
  <si>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</si>
  <si>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</si>
  <si>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</si>
  <si>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</si>
  <si>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</si>
  <si>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</si>
  <si>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</si>
  <si>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</si>
  <si>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</si>
  <si>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</si>
  <si>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</si>
  <si>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</si>
  <si>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</si>
  <si>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</si>
  <si>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</si>
  <si>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</si>
  <si>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</si>
  <si>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</si>
  <si>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</si>
  <si>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</si>
  <si>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</si>
  <si>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</si>
  <si>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</si>
  <si>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</si>
  <si>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</si>
  <si>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</si>
  <si>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</si>
  <si>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</si>
  <si>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</si>
  <si>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</si>
  <si>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</si>
  <si>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</si>
  <si>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</si>
  <si>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</si>
  <si>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</si>
  <si>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</si>
  <si>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</si>
  <si>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</si>
  <si>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</si>
  <si>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</si>
  <si>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</si>
  <si>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</si>
  <si>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</si>
  <si>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</si>
  <si>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</si>
  <si>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</si>
  <si>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</si>
  <si>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</si>
  <si>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</si>
  <si>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</si>
  <si>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</si>
  <si>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</si>
  <si>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</si>
  <si>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</si>
  <si>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</si>
  <si>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</si>
  <si>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</si>
  <si>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</si>
  <si>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</si>
  <si>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</si>
  <si>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</si>
  <si>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</si>
  <si>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</si>
  <si>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</si>
  <si>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</si>
  <si>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</si>
  <si>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</si>
  <si>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</si>
  <si>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</si>
  <si>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</si>
  <si>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</si>
  <si>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</si>
  <si>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</si>
  <si>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</si>
  <si>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</si>
  <si>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</si>
  <si>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</si>
  <si>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</si>
  <si>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</si>
  <si>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</si>
  <si>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</si>
  <si>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</si>
  <si>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</si>
  <si>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</si>
  <si>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</si>
  <si>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</si>
  <si>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</si>
  <si>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</si>
  <si>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</si>
  <si>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</si>
  <si>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</si>
  <si>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</si>
  <si>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</si>
  <si>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</si>
  <si>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</si>
  <si>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</si>
  <si>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</si>
  <si>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</si>
  <si>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</si>
  <si>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</si>
  <si>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</si>
  <si>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</si>
  <si>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</si>
  <si>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</si>
  <si>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</si>
  <si>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</si>
  <si>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</si>
  <si>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</si>
  <si>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</si>
  <si>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</si>
  <si>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</si>
  <si>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</si>
  <si>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</si>
  <si>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</si>
  <si>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</si>
  <si>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</si>
  <si>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</si>
  <si>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</si>
  <si>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</si>
  <si>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</si>
  <si>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</si>
  <si>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</si>
  <si>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</si>
  <si>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</si>
  <si>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</si>
  <si>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</si>
  <si>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</si>
  <si>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</si>
  <si>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</si>
  <si>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</si>
  <si>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</si>
  <si>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</si>
  <si>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</si>
  <si>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</si>
  <si>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</si>
  <si>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</si>
  <si>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</si>
  <si>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</si>
  <si>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</si>
  <si>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</si>
  <si>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</si>
  <si>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</si>
  <si>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</si>
  <si>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</si>
  <si>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</si>
  <si>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</si>
  <si>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</si>
  <si>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</si>
  <si>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</si>
  <si>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</si>
  <si>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</si>
  <si>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</si>
  <si>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</si>
  <si>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</si>
  <si>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</si>
  <si>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</si>
  <si>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</si>
  <si>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</si>
  <si>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</si>
  <si>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</si>
  <si>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</si>
  <si>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</si>
  <si>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</si>
  <si>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</si>
  <si>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</si>
  <si>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</si>
  <si>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</si>
  <si>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</si>
  <si>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</si>
  <si>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</si>
  <si>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</si>
  <si>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</si>
  <si>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</si>
  <si>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</si>
  <si>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</si>
  <si>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</si>
  <si>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</si>
  <si>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</si>
  <si>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</si>
  <si>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</si>
  <si>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</si>
  <si>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</si>
  <si>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</si>
  <si>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</si>
  <si>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</si>
  <si>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</si>
  <si>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</si>
  <si>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</si>
  <si>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</si>
  <si>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</si>
  <si>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</si>
  <si>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</si>
  <si>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</si>
  <si>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</si>
  <si>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</si>
  <si>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</si>
  <si>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</si>
  <si>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</si>
  <si>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</si>
  <si>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</si>
  <si>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</si>
  <si>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</si>
  <si>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</si>
  <si>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</si>
  <si>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</si>
  <si>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</si>
  <si>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</si>
  <si>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</si>
  <si>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</si>
  <si>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</si>
  <si>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</si>
  <si>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</si>
  <si>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</si>
  <si>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</si>
  <si>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</si>
  <si>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</si>
  <si>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</si>
  <si>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</si>
  <si>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</si>
  <si>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</si>
  <si>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</si>
  <si>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</si>
  <si>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</si>
  <si>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</si>
  <si>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</si>
  <si>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</si>
  <si>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</si>
  <si>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</si>
  <si>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</si>
  <si>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</si>
  <si>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</si>
  <si>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</si>
  <si>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</si>
  <si>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</si>
  <si>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</si>
  <si>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</si>
  <si>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</si>
  <si>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</si>
  <si>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</si>
  <si>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</si>
  <si>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</si>
  <si>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</si>
  <si>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</si>
  <si>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</si>
  <si>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</si>
  <si>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</si>
  <si>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</si>
  <si>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</si>
  <si>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</si>
  <si>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</si>
  <si>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</si>
  <si>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</si>
  <si>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</si>
  <si>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</si>
  <si>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</si>
  <si>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</si>
  <si>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</si>
  <si>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</si>
  <si>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</si>
  <si>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</si>
  <si>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</si>
  <si>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</si>
  <si>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</si>
  <si>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</si>
  <si>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</si>
  <si>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</si>
  <si>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</si>
  <si>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</si>
  <si>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</si>
  <si>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</si>
  <si>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</si>
  <si>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</si>
  <si>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</si>
  <si>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</si>
  <si>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</si>
  <si>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</si>
  <si>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</si>
  <si>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</si>
  <si>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</si>
  <si>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</si>
  <si>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</si>
  <si>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</si>
  <si>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</si>
  <si>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</si>
  <si>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</si>
  <si>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</si>
  <si>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</si>
  <si>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</si>
  <si>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</si>
  <si>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</si>
  <si>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</si>
  <si>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</si>
  <si>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</si>
  <si>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</si>
  <si>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</si>
  <si>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</si>
  <si>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</si>
  <si>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</si>
  <si>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</si>
  <si>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</si>
  <si>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</si>
  <si>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</si>
  <si>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</si>
  <si>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</si>
  <si>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</si>
  <si>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</si>
  <si>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</si>
  <si>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</si>
  <si>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</si>
  <si>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</si>
  <si>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</si>
  <si>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</si>
  <si>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</si>
  <si>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</si>
  <si>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</si>
  <si>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</si>
  <si>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</si>
  <si>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</si>
  <si>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</si>
  <si>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</si>
  <si>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</si>
  <si>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</si>
  <si>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</si>
  <si>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</si>
  <si>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</si>
  <si>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</si>
  <si>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</si>
  <si>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</si>
  <si>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</si>
  <si>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</si>
  <si>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</si>
  <si>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</si>
  <si>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</si>
  <si>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</si>
  <si>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</si>
  <si>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</si>
  <si>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</si>
  <si>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</si>
  <si>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</si>
  <si>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</si>
  <si>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</si>
  <si>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</si>
  <si>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</si>
  <si>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</si>
  <si>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</si>
  <si>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</si>
  <si>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</si>
  <si>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</si>
  <si>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</si>
  <si>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</si>
  <si>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</si>
  <si>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</si>
  <si>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</si>
  <si>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</si>
  <si>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</si>
  <si>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</si>
  <si>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</si>
  <si>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</si>
  <si>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</si>
  <si>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</si>
  <si>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</si>
  <si>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</si>
  <si>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</si>
  <si>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</si>
  <si>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</si>
  <si>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</si>
  <si>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</si>
  <si>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</si>
  <si>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</si>
  <si>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</si>
  <si>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</si>
  <si>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</si>
  <si>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</si>
  <si>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</si>
  <si>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</si>
  <si>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</si>
  <si>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</si>
  <si>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</si>
  <si>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</si>
  <si>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</si>
  <si>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</si>
  <si>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</si>
  <si>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</si>
  <si>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</si>
  <si>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</si>
  <si>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</si>
  <si>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</si>
  <si>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</si>
  <si>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</si>
  <si>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</si>
  <si>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</si>
  <si>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</si>
  <si>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</si>
  <si>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</si>
  <si>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</si>
  <si>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</si>
  <si>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</si>
  <si>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</si>
  <si>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</si>
  <si>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</si>
  <si>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</si>
  <si>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</si>
  <si>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</si>
  <si>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</si>
  <si>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</si>
  <si>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</si>
  <si>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</si>
  <si>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</si>
  <si>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</si>
  <si>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</si>
  <si>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</si>
  <si>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</si>
  <si>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</si>
  <si>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</si>
  <si>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</si>
  <si>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</si>
  <si>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</si>
  <si>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</si>
  <si>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</si>
  <si>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</si>
  <si>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</si>
  <si>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JUAN DE LOS PALOTES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</si>
  <si>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</si>
  <si>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</si>
  <si>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</si>
  <si>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</si>
  <si>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</si>
  <si>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</si>
  <si>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33-26903939-2</t>
  </si>
  <si>
    <t>Calle supuestamente Pública s/n - 7º piso, dpto. 7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</si>
  <si>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</si>
  <si>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</si>
  <si>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</si>
  <si>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</si>
  <si>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</si>
  <si>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</si>
  <si>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</si>
  <si>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</si>
  <si>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</si>
  <si>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</si>
  <si>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</si>
  <si>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</si>
  <si>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</si>
  <si>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</si>
  <si>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</si>
  <si>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</si>
  <si>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</si>
  <si>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</si>
  <si>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</si>
  <si>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</si>
  <si>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</si>
  <si>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</si>
  <si>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</si>
  <si>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</si>
  <si>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</si>
  <si>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</si>
  <si>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</si>
  <si>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</si>
  <si>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</si>
  <si>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</si>
  <si>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</si>
  <si>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</si>
  <si>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</si>
  <si>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</si>
  <si>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</si>
  <si>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</si>
  <si>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</si>
  <si>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</si>
  <si>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</si>
  <si>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</si>
  <si>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</si>
  <si>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</si>
  <si>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</si>
  <si>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</si>
  <si>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</si>
  <si>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</si>
  <si>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</si>
  <si>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</si>
  <si>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</si>
  <si>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</si>
  <si>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</si>
  <si>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</si>
  <si>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</si>
  <si>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</si>
  <si>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</si>
  <si>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</si>
  <si>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</si>
  <si>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</si>
  <si>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</si>
  <si>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</si>
  <si>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</si>
  <si>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</si>
  <si>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</si>
  <si>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</si>
  <si>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</si>
  <si>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</si>
  <si>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</si>
  <si>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</si>
  <si>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</si>
  <si>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</si>
  <si>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</si>
  <si>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</si>
  <si>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</si>
  <si>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</si>
  <si>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</si>
  <si>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</si>
  <si>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</si>
  <si>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</si>
  <si>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</si>
  <si>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</si>
  <si>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</si>
  <si>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</si>
  <si>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</si>
  <si>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</si>
  <si>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</si>
  <si>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</si>
  <si>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</si>
  <si>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</si>
  <si>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</si>
  <si>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</si>
  <si>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</si>
  <si>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</si>
  <si>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</si>
  <si>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</si>
  <si>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</si>
  <si>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</si>
  <si>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</si>
  <si>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</si>
  <si>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</si>
  <si>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</si>
  <si>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</si>
  <si>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</si>
  <si>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</si>
  <si>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</si>
  <si>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</si>
  <si>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</si>
  <si>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</si>
  <si>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</si>
  <si>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</si>
  <si>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</si>
  <si>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</si>
  <si>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</si>
  <si>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</si>
  <si>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</si>
  <si>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</si>
  <si>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</si>
  <si>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</si>
  <si>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</si>
  <si>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</si>
  <si>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</si>
  <si>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</si>
  <si>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</si>
  <si>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</si>
  <si>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</si>
  <si>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</si>
  <si>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</si>
  <si>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</si>
  <si>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</si>
  <si>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</si>
  <si>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</si>
  <si>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</si>
  <si>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</si>
  <si>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</si>
  <si>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</si>
  <si>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</si>
  <si>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</si>
  <si>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</si>
  <si>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</si>
  <si>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</si>
  <si>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</si>
  <si>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</si>
  <si>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</si>
  <si>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</si>
  <si>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</si>
  <si>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</si>
  <si>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</si>
  <si>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</si>
  <si>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</si>
  <si>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</si>
  <si>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</si>
  <si>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</si>
  <si>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</si>
  <si>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</si>
  <si>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</si>
  <si>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</si>
  <si>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</si>
  <si>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</si>
  <si>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</si>
  <si>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</si>
  <si>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</si>
  <si>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</si>
  <si>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</si>
  <si>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</si>
  <si>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</si>
  <si>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</si>
  <si>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</si>
  <si>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</si>
  <si>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</si>
  <si>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</si>
  <si>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</si>
  <si>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</si>
  <si>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</si>
  <si>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</si>
  <si>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</si>
  <si>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</si>
  <si>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</si>
  <si>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</si>
  <si>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</si>
  <si>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</si>
  <si>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</si>
  <si>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</si>
  <si>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</si>
  <si>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</si>
  <si>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</si>
  <si>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</si>
  <si>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</si>
  <si>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</si>
  <si>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</si>
  <si>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</si>
  <si>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</si>
  <si>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</si>
  <si>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</si>
  <si>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</si>
  <si>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</si>
  <si>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</si>
  <si>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</si>
  <si>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</si>
  <si>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</si>
  <si>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</si>
  <si>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</si>
  <si>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</si>
  <si>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</si>
  <si>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</si>
  <si>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</si>
  <si>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</si>
  <si>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</si>
  <si>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</si>
  <si>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</si>
  <si>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</si>
  <si>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</si>
  <si>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</si>
  <si>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</si>
  <si>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</si>
  <si>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</si>
  <si>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</si>
  <si>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</si>
  <si>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</si>
  <si>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</si>
  <si>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</si>
  <si>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</si>
  <si>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</si>
  <si>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</si>
  <si>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</si>
  <si>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</si>
  <si>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</si>
  <si>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</si>
  <si>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</si>
  <si>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</si>
  <si>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</si>
  <si>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</si>
  <si>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</si>
  <si>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</si>
  <si>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</si>
  <si>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</si>
  <si>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</si>
  <si>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</si>
  <si>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</si>
  <si>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</si>
  <si>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</si>
  <si>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</si>
  <si>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</si>
  <si>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</si>
  <si>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</si>
  <si>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</si>
  <si>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</si>
  <si>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</si>
  <si>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</si>
  <si>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</si>
  <si>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</si>
  <si>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</si>
  <si>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</si>
  <si>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</si>
  <si>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</si>
  <si>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</si>
  <si>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</si>
  <si>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</si>
  <si>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</si>
  <si>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</si>
  <si>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</si>
  <si>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</si>
  <si>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</si>
  <si>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</si>
  <si>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</si>
  <si>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</si>
  <si>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</si>
  <si>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</si>
  <si>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</si>
  <si>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</si>
  <si>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</si>
  <si>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</si>
  <si>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</si>
  <si>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</si>
  <si>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</si>
  <si>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</si>
  <si>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</si>
  <si>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</si>
  <si>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</si>
  <si>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</si>
  <si>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</si>
  <si>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</si>
  <si>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</si>
  <si>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</si>
  <si>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</si>
  <si>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</si>
  <si>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</si>
  <si>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</si>
  <si>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</si>
  <si>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</si>
  <si>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</si>
  <si>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</si>
  <si>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</si>
  <si>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</si>
  <si>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</si>
  <si>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</si>
  <si>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</si>
  <si>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</si>
  <si>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</si>
  <si>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</si>
  <si>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</si>
  <si>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</si>
  <si>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</si>
  <si>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</si>
  <si>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</si>
  <si>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</si>
  <si>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</si>
  <si>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</si>
  <si>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</si>
  <si>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</si>
  <si>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</si>
  <si>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</si>
  <si>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</si>
  <si>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</si>
  <si>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</si>
  <si>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</si>
  <si>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</si>
  <si>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</si>
  <si>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</si>
  <si>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</si>
  <si>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</si>
  <si>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</si>
  <si>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</si>
  <si>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</si>
  <si>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</si>
  <si>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</si>
  <si>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</si>
  <si>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</si>
  <si>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</si>
  <si>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</si>
  <si>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</si>
  <si>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</si>
  <si>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</si>
  <si>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</si>
  <si>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</si>
  <si>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</si>
  <si>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</si>
  <si>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</si>
  <si>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</si>
  <si>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</si>
  <si>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</si>
  <si>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</si>
  <si>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</si>
  <si>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</si>
  <si>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</si>
  <si>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</si>
  <si>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</si>
  <si>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</si>
  <si>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</si>
  <si>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</si>
  <si>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</si>
  <si>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</si>
  <si>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</si>
  <si>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</si>
  <si>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</si>
  <si>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</si>
  <si>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</si>
  <si>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</si>
  <si>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</si>
  <si>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</si>
  <si>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</si>
  <si>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</si>
  <si>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</si>
  <si>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</si>
  <si>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</si>
  <si>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</si>
  <si>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</si>
  <si>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</si>
  <si>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</si>
  <si>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</si>
  <si>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</si>
  <si>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</si>
  <si>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</si>
  <si>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</si>
  <si>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</si>
  <si>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</si>
  <si>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</si>
  <si>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</si>
  <si>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</si>
  <si>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</si>
  <si>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</si>
  <si>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</si>
  <si>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</si>
  <si>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</si>
  <si>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</si>
  <si>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</si>
  <si>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</si>
  <si>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</si>
  <si>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</si>
  <si>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</si>
  <si>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</si>
  <si>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</si>
  <si>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</si>
  <si>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</si>
  <si>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</si>
  <si>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</si>
  <si>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</si>
  <si>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</si>
  <si>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</si>
  <si>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</si>
  <si>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</si>
  <si>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</si>
  <si>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</si>
  <si>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</si>
  <si>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</si>
  <si>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</si>
  <si>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</si>
  <si>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</si>
  <si>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</si>
  <si>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</si>
  <si>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</si>
  <si>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</si>
  <si>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</si>
  <si>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</si>
  <si>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</si>
  <si>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</si>
  <si>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</si>
  <si>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</si>
  <si>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</si>
  <si>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</si>
  <si>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</si>
  <si>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</si>
  <si>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</si>
  <si>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</si>
  <si>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</si>
  <si>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</si>
  <si>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</si>
  <si>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</si>
  <si>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</si>
  <si>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</si>
  <si>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</si>
  <si>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</si>
  <si>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</si>
  <si>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</si>
  <si>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</si>
  <si>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</si>
  <si>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</si>
  <si>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</si>
  <si>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</si>
  <si>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</si>
  <si>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</si>
  <si>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</si>
  <si>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</si>
  <si>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</si>
  <si>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</si>
  <si>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</si>
  <si>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</si>
  <si>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</si>
  <si>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</si>
  <si>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</si>
  <si>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</si>
  <si>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</si>
  <si>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</si>
  <si>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</si>
  <si>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</si>
  <si>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</si>
  <si>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</si>
  <si>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</si>
  <si>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</si>
  <si>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</si>
  <si>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</si>
  <si>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</si>
  <si>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</si>
  <si>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</si>
  <si>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</si>
  <si>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</si>
  <si>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</si>
  <si>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</si>
  <si>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</si>
  <si>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</si>
  <si>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</si>
  <si>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</si>
  <si>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</si>
  <si>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</si>
  <si>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</si>
  <si>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</si>
  <si>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</si>
  <si>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</si>
  <si>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</si>
  <si>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</si>
  <si>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</si>
  <si>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</si>
  <si>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</si>
  <si>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</si>
  <si>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</si>
  <si>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</si>
  <si>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</si>
  <si>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</si>
  <si>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</si>
  <si>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</si>
  <si>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</si>
  <si>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</si>
  <si>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</si>
  <si>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</si>
  <si>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</si>
  <si>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</si>
  <si>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</si>
  <si>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</si>
  <si>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</si>
  <si>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</si>
  <si>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</si>
  <si>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</si>
  <si>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</si>
  <si>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</si>
  <si>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</si>
  <si>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</si>
  <si>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</si>
  <si>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</si>
  <si>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</si>
  <si>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</si>
  <si>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</si>
  <si>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</si>
  <si>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SEBASTIAN ALVAREZ</t>
  </si>
  <si>
    <t>Jones, Jessica Valeria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</si>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</sst>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79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3" fillId="0" borderId="11" xfId="0" applyFont="1" applyBorder="1"/>
    <xf numFmtId="0" fontId="36" fillId="0" borderId="6" xfId="0" applyFont="1" applyBorder="1" applyProtection="1">
      <protection locked="0"/>
    </xf>
    <xf numFmtId="0" fontId="33" fillId="0" borderId="16" xfId="0" applyFont="1" applyBorder="1"/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wrapText="1"/>
    </xf>
    <xf numFmtId="1" fontId="11" fillId="0" borderId="0" xfId="0" applyNumberFormat="1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wrapTex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wrapText="1"/>
    </xf>
    <xf numFmtId="0" fontId="24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wrapText="1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1" fontId="11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  <xf numFmtId="0" fontId="5" fillId="0" borderId="0" xfId="1" applyFont="1" applyFill="1" applyBorder="1" applyAlignment="1">
      <alignment horizontal="center" vertical="center" wrapText="1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4" fillId="0" borderId="33" xfId="0" applyFont="1" applyBorder="1" applyAlignment="1" applyProtection="1">
      <alignment horizontal="left"/>
      <protection hidden="1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PEDIDOS/BASE%20RED%20COMER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RED COMERCIAL"/>
    </sheetNames>
    <sheetDataSet>
      <sheetData sheetId="0">
        <row r="2">
          <cell r="A2" t="str">
            <v>B0000</v>
          </cell>
          <cell r="B2" t="str">
            <v>BUENOS AIRES</v>
          </cell>
          <cell r="C2" t="str">
            <v>GENERAL SAN MARTIN</v>
          </cell>
          <cell r="D2" t="str">
            <v>GENERAL SAN MARTIN</v>
          </cell>
          <cell r="E2" t="str">
            <v>INTE A M CAMPOS</v>
          </cell>
          <cell r="F2">
            <v>1951</v>
          </cell>
          <cell r="H2" t="str">
            <v>SAN MARTIN</v>
          </cell>
          <cell r="I2" t="str">
            <v>B1650ZAB</v>
          </cell>
        </row>
        <row r="3">
          <cell r="A3" t="str">
            <v>B0001</v>
          </cell>
          <cell r="B3" t="str">
            <v>BUENOS AIRES</v>
          </cell>
          <cell r="C3" t="str">
            <v>TIGRE</v>
          </cell>
          <cell r="D3" t="str">
            <v>TIGRE</v>
          </cell>
          <cell r="E3" t="str">
            <v>AV DANIEL M CAZON</v>
          </cell>
          <cell r="F3">
            <v>1140</v>
          </cell>
          <cell r="H3" t="str">
            <v>TIGRE</v>
          </cell>
          <cell r="I3" t="str">
            <v>B1648ZAB</v>
          </cell>
        </row>
        <row r="4">
          <cell r="A4" t="str">
            <v>B0002</v>
          </cell>
          <cell r="B4" t="str">
            <v>BUENOS AIRES</v>
          </cell>
          <cell r="C4" t="str">
            <v>VICENTE LOPEZ</v>
          </cell>
          <cell r="D4" t="str">
            <v>VICENTE LOPEZ</v>
          </cell>
          <cell r="E4" t="str">
            <v>AV DEL LIBERTADOR</v>
          </cell>
          <cell r="F4">
            <v>1202</v>
          </cell>
          <cell r="H4" t="str">
            <v>VICENTE LOPEZ</v>
          </cell>
          <cell r="I4" t="str">
            <v>B1638ZAC</v>
          </cell>
        </row>
        <row r="5">
          <cell r="A5" t="str">
            <v>B0003</v>
          </cell>
          <cell r="B5" t="str">
            <v>BUENOS AIRES</v>
          </cell>
          <cell r="C5" t="str">
            <v>SAN ISIDRO</v>
          </cell>
          <cell r="D5" t="str">
            <v>VILLA ADELINA</v>
          </cell>
          <cell r="E5" t="str">
            <v>AV PARANA</v>
          </cell>
          <cell r="F5">
            <v>6001</v>
          </cell>
          <cell r="H5" t="str">
            <v>VILLA ADELINA</v>
          </cell>
          <cell r="I5" t="str">
            <v>B1607ZAB</v>
          </cell>
        </row>
        <row r="6">
          <cell r="A6" t="str">
            <v>B0004</v>
          </cell>
          <cell r="B6" t="str">
            <v>BUENOS AIRES</v>
          </cell>
          <cell r="C6" t="str">
            <v>GENERAL SAN MARTIN</v>
          </cell>
          <cell r="D6" t="str">
            <v>VILLA BALLESTER</v>
          </cell>
          <cell r="E6" t="str">
            <v>VICENTE LOPEZ</v>
          </cell>
          <cell r="F6">
            <v>3044</v>
          </cell>
          <cell r="H6" t="str">
            <v>VILLA BALLESTER</v>
          </cell>
          <cell r="I6" t="str">
            <v>B1653ZAA</v>
          </cell>
        </row>
        <row r="7">
          <cell r="A7" t="str">
            <v>B0005</v>
          </cell>
          <cell r="B7" t="str">
            <v>BUENOS AIRES</v>
          </cell>
          <cell r="C7" t="str">
            <v>VICENTE LOPEZ</v>
          </cell>
          <cell r="D7" t="str">
            <v>VILLA MARTELLI</v>
          </cell>
          <cell r="E7" t="str">
            <v>LAPRIDA</v>
          </cell>
          <cell r="F7">
            <v>3586</v>
          </cell>
          <cell r="H7" t="str">
            <v>VILLA MARTELLI</v>
          </cell>
          <cell r="I7" t="str">
            <v>B1603ZAA</v>
          </cell>
        </row>
        <row r="8">
          <cell r="A8" t="str">
            <v>B0006</v>
          </cell>
          <cell r="B8" t="str">
            <v>BUENOS AIRES</v>
          </cell>
          <cell r="C8" t="str">
            <v>GENERAL SAN MARTIN</v>
          </cell>
          <cell r="D8" t="str">
            <v>JOSE LEON SUAREZ</v>
          </cell>
          <cell r="E8" t="str">
            <v>BUENOS AIRES</v>
          </cell>
          <cell r="F8">
            <v>7479</v>
          </cell>
          <cell r="H8" t="str">
            <v>JOSE LEON SUAREZ</v>
          </cell>
          <cell r="I8" t="str">
            <v>B1653ZAB</v>
          </cell>
        </row>
        <row r="9">
          <cell r="A9" t="str">
            <v>B0007</v>
          </cell>
          <cell r="B9" t="str">
            <v>BUENOS AIRES</v>
          </cell>
          <cell r="C9" t="str">
            <v>TRES DE FEBRERO</v>
          </cell>
          <cell r="D9" t="str">
            <v>LOMA HERMOSA</v>
          </cell>
          <cell r="E9" t="str">
            <v>AV EVA PERON</v>
          </cell>
          <cell r="F9">
            <v>9718</v>
          </cell>
          <cell r="H9" t="str">
            <v>LOMA HERMOSA</v>
          </cell>
          <cell r="I9" t="str">
            <v>B1657ZAA</v>
          </cell>
        </row>
        <row r="10">
          <cell r="A10" t="str">
            <v>B0009</v>
          </cell>
          <cell r="B10" t="str">
            <v>BUENOS AIRES</v>
          </cell>
          <cell r="C10" t="str">
            <v>SAN ISIDRO</v>
          </cell>
          <cell r="D10" t="str">
            <v>ACASSUSO</v>
          </cell>
          <cell r="E10" t="str">
            <v>AV SANTA FE</v>
          </cell>
          <cell r="F10">
            <v>766</v>
          </cell>
          <cell r="H10" t="str">
            <v>ACASSUSO</v>
          </cell>
          <cell r="I10" t="str">
            <v>B1641ZAA</v>
          </cell>
        </row>
        <row r="11">
          <cell r="A11" t="str">
            <v>B0010</v>
          </cell>
          <cell r="B11" t="str">
            <v>BUENOS AIRES</v>
          </cell>
          <cell r="C11" t="str">
            <v>SAN ISIDRO</v>
          </cell>
          <cell r="D11" t="str">
            <v>BOULOGNE</v>
          </cell>
          <cell r="E11" t="str">
            <v>DR BERNARDO DE IRIGOYEN</v>
          </cell>
          <cell r="F11">
            <v>2647</v>
          </cell>
          <cell r="H11" t="str">
            <v>SOLEIL</v>
          </cell>
          <cell r="I11" t="str">
            <v>B1609ZAB</v>
          </cell>
        </row>
        <row r="12">
          <cell r="A12" t="str">
            <v>B0011</v>
          </cell>
          <cell r="B12" t="str">
            <v>BUENOS AIRES</v>
          </cell>
          <cell r="C12" t="str">
            <v>SAN ISIDRO</v>
          </cell>
          <cell r="D12" t="str">
            <v>MARTINEZ</v>
          </cell>
          <cell r="E12" t="str">
            <v>AV PARANA</v>
          </cell>
          <cell r="F12">
            <v>3745</v>
          </cell>
          <cell r="H12" t="str">
            <v>MARTINEZ UNICENTER</v>
          </cell>
          <cell r="I12" t="str">
            <v>B1640ZAB</v>
          </cell>
        </row>
        <row r="13">
          <cell r="A13" t="str">
            <v>B0012</v>
          </cell>
          <cell r="B13" t="str">
            <v>BUENOS AIRES</v>
          </cell>
          <cell r="C13" t="str">
            <v>QUILMES</v>
          </cell>
          <cell r="D13" t="str">
            <v>BERNAL ESTE</v>
          </cell>
          <cell r="E13" t="str">
            <v>9 DE JULIO</v>
          </cell>
          <cell r="F13">
            <v>14</v>
          </cell>
          <cell r="H13" t="str">
            <v>BERNAL</v>
          </cell>
          <cell r="I13" t="str">
            <v>B1876ZAA</v>
          </cell>
        </row>
        <row r="14">
          <cell r="A14" t="str">
            <v>B0013</v>
          </cell>
          <cell r="B14" t="str">
            <v>BUENOS AIRES</v>
          </cell>
          <cell r="C14" t="str">
            <v>SAN FERNANDO</v>
          </cell>
          <cell r="D14" t="str">
            <v>VICTORIA</v>
          </cell>
          <cell r="E14" t="str">
            <v>AV PTE J D PERON</v>
          </cell>
          <cell r="F14">
            <v>2579</v>
          </cell>
          <cell r="H14" t="str">
            <v>VICTORIA</v>
          </cell>
          <cell r="I14" t="str">
            <v>B1644ZAA</v>
          </cell>
        </row>
        <row r="15">
          <cell r="A15" t="str">
            <v>B0014</v>
          </cell>
          <cell r="B15" t="str">
            <v>BUENOS AIRES</v>
          </cell>
          <cell r="C15" t="str">
            <v>VICENTE LOPEZ</v>
          </cell>
          <cell r="D15" t="str">
            <v>FLORIDA</v>
          </cell>
          <cell r="E15" t="str">
            <v>AV GRAL SAN MARTIN</v>
          </cell>
          <cell r="F15">
            <v>2849</v>
          </cell>
          <cell r="H15" t="str">
            <v>FLORIDA</v>
          </cell>
          <cell r="I15" t="str">
            <v>B1602ZAA</v>
          </cell>
        </row>
        <row r="16">
          <cell r="A16" t="str">
            <v>B0015</v>
          </cell>
          <cell r="B16" t="str">
            <v>BUENOS AIRES</v>
          </cell>
          <cell r="C16" t="str">
            <v>TIGRE</v>
          </cell>
          <cell r="D16" t="str">
            <v>GENERAL PACHECO</v>
          </cell>
          <cell r="E16" t="str">
            <v>AV DE LOS CONSTITUYENTES</v>
          </cell>
          <cell r="F16">
            <v>532</v>
          </cell>
          <cell r="H16" t="str">
            <v>GENERAL PACHECO</v>
          </cell>
          <cell r="I16" t="str">
            <v>B1617ZAB</v>
          </cell>
        </row>
        <row r="17">
          <cell r="A17" t="str">
            <v>B0016</v>
          </cell>
          <cell r="B17" t="str">
            <v>BUENOS AIRES</v>
          </cell>
          <cell r="C17" t="str">
            <v>GENERAL SAN MARTIN</v>
          </cell>
          <cell r="D17" t="str">
            <v>VILLA LYNCH</v>
          </cell>
          <cell r="E17" t="str">
            <v>REPUBLICA DEL LIBANO</v>
          </cell>
          <cell r="F17">
            <v>4041</v>
          </cell>
          <cell r="H17" t="str">
            <v>VILLA LYNCH</v>
          </cell>
          <cell r="I17" t="str">
            <v>B1672ZAA</v>
          </cell>
        </row>
        <row r="18">
          <cell r="A18" t="str">
            <v>B0020</v>
          </cell>
          <cell r="B18" t="str">
            <v>BUENOS AIRES</v>
          </cell>
          <cell r="C18" t="str">
            <v>VICENTE LOPEZ</v>
          </cell>
          <cell r="D18" t="str">
            <v>OLIVOS</v>
          </cell>
          <cell r="E18" t="str">
            <v>AV MAIPU</v>
          </cell>
          <cell r="F18">
            <v>2683</v>
          </cell>
          <cell r="H18" t="str">
            <v>OLIVOS</v>
          </cell>
          <cell r="I18" t="str">
            <v>B1636ZAB</v>
          </cell>
        </row>
        <row r="19">
          <cell r="A19" t="str">
            <v>B0021</v>
          </cell>
          <cell r="B19" t="str">
            <v>BUENOS AIRES</v>
          </cell>
          <cell r="C19" t="str">
            <v>VICENTE LOPEZ</v>
          </cell>
          <cell r="D19" t="str">
            <v>FLORIDA</v>
          </cell>
          <cell r="E19" t="str">
            <v>AV MAIPU</v>
          </cell>
          <cell r="F19">
            <v>438</v>
          </cell>
          <cell r="H19" t="str">
            <v>PUENTE SAAVEDRA</v>
          </cell>
          <cell r="I19" t="str">
            <v>B1638ZAB</v>
          </cell>
        </row>
        <row r="20">
          <cell r="A20" t="str">
            <v>B0022</v>
          </cell>
          <cell r="B20" t="str">
            <v>BUENOS AIRES</v>
          </cell>
          <cell r="C20" t="str">
            <v>GENERAL SAN MARTIN</v>
          </cell>
          <cell r="D20" t="str">
            <v>SAN ANDRES</v>
          </cell>
          <cell r="E20" t="str">
            <v>DR ALEU</v>
          </cell>
          <cell r="F20">
            <v>3063</v>
          </cell>
          <cell r="H20" t="str">
            <v>SAN ANDRES</v>
          </cell>
          <cell r="I20" t="str">
            <v>B1651ZAB</v>
          </cell>
        </row>
        <row r="21">
          <cell r="A21" t="str">
            <v>B0023</v>
          </cell>
          <cell r="B21" t="str">
            <v>BUENOS AIRES</v>
          </cell>
          <cell r="C21" t="str">
            <v>SAN FERNANDO</v>
          </cell>
          <cell r="D21" t="str">
            <v>SAN FERNANDO</v>
          </cell>
          <cell r="E21" t="str">
            <v>CONSTITUCION</v>
          </cell>
          <cell r="F21">
            <v>555</v>
          </cell>
          <cell r="H21" t="str">
            <v>SAN FERNANDO</v>
          </cell>
          <cell r="I21" t="str">
            <v>B1646ZAB</v>
          </cell>
        </row>
        <row r="22">
          <cell r="A22" t="str">
            <v>B0024</v>
          </cell>
          <cell r="B22" t="str">
            <v>BUENOS AIRES</v>
          </cell>
          <cell r="C22" t="str">
            <v>SAN ISIDRO</v>
          </cell>
          <cell r="D22" t="str">
            <v>SAN ISIDRO</v>
          </cell>
          <cell r="E22" t="str">
            <v>ALSINA</v>
          </cell>
          <cell r="F22">
            <v>102</v>
          </cell>
          <cell r="H22" t="str">
            <v>SAN ISIDRO</v>
          </cell>
          <cell r="I22" t="str">
            <v>B1642ZAB</v>
          </cell>
        </row>
        <row r="23">
          <cell r="A23" t="str">
            <v>B0030</v>
          </cell>
          <cell r="B23" t="str">
            <v>BUENOS AIRES</v>
          </cell>
          <cell r="C23" t="str">
            <v>SAN MIGUEL</v>
          </cell>
          <cell r="D23" t="str">
            <v>SAN MIGUEL</v>
          </cell>
          <cell r="E23" t="str">
            <v>MANUEL BELGRANO</v>
          </cell>
          <cell r="F23">
            <v>1398</v>
          </cell>
          <cell r="H23" t="str">
            <v>SAN MIGUEL</v>
          </cell>
          <cell r="I23" t="str">
            <v>B1663ZAB</v>
          </cell>
        </row>
        <row r="24">
          <cell r="A24" t="str">
            <v>B0031</v>
          </cell>
          <cell r="B24" t="str">
            <v>BUENOS AIRES</v>
          </cell>
          <cell r="C24" t="str">
            <v>SAN MIGUEL</v>
          </cell>
          <cell r="D24" t="str">
            <v>BELLA VISTA</v>
          </cell>
          <cell r="E24" t="str">
            <v>AV SENADOR MORON</v>
          </cell>
          <cell r="F24">
            <v>1090</v>
          </cell>
          <cell r="H24" t="str">
            <v>BELLA VISTA</v>
          </cell>
          <cell r="I24" t="str">
            <v>B1661ZAA</v>
          </cell>
        </row>
        <row r="25">
          <cell r="A25" t="str">
            <v>B0032</v>
          </cell>
          <cell r="B25" t="str">
            <v>BUENOS AIRES</v>
          </cell>
          <cell r="C25" t="str">
            <v>SAN ISIDRO</v>
          </cell>
          <cell r="D25" t="str">
            <v>BOULOGNE</v>
          </cell>
          <cell r="E25" t="str">
            <v>AV AVELINO ROLON</v>
          </cell>
          <cell r="F25">
            <v>2384</v>
          </cell>
          <cell r="H25" t="str">
            <v>BOULOGNE</v>
          </cell>
          <cell r="I25" t="str">
            <v>B1609ZAA</v>
          </cell>
        </row>
        <row r="26">
          <cell r="A26" t="str">
            <v>B0033</v>
          </cell>
          <cell r="B26" t="str">
            <v>BUENOS AIRES</v>
          </cell>
          <cell r="C26" t="str">
            <v>HURLINGHAM</v>
          </cell>
          <cell r="D26" t="str">
            <v>HURLINGHAM</v>
          </cell>
          <cell r="E26" t="str">
            <v>PTE GRAL JULIO A ROCA</v>
          </cell>
          <cell r="F26">
            <v>1008</v>
          </cell>
          <cell r="H26" t="str">
            <v>HURLINGHAM</v>
          </cell>
          <cell r="I26" t="str">
            <v>B1686ZAB</v>
          </cell>
        </row>
        <row r="27">
          <cell r="A27" t="str">
            <v>B0034</v>
          </cell>
          <cell r="B27" t="str">
            <v>BUENOS AIRES</v>
          </cell>
          <cell r="C27" t="str">
            <v>JOSE CLEMENTE PAZ</v>
          </cell>
          <cell r="D27" t="str">
            <v>JOSE CLEMENTE PAZ</v>
          </cell>
          <cell r="E27" t="str">
            <v>ROQUE SAENZ PEÃ‘A</v>
          </cell>
          <cell r="F27">
            <v>5009</v>
          </cell>
          <cell r="H27" t="str">
            <v>JOSE C. PAZ</v>
          </cell>
          <cell r="I27" t="str">
            <v>B1665ZAB</v>
          </cell>
        </row>
        <row r="28">
          <cell r="A28" t="str">
            <v>B0035</v>
          </cell>
          <cell r="B28" t="str">
            <v>BUENOS AIRES</v>
          </cell>
          <cell r="C28" t="str">
            <v>HURLINGHAM</v>
          </cell>
          <cell r="D28" t="str">
            <v>VILLA SANTOS TESEI</v>
          </cell>
          <cell r="E28" t="str">
            <v>GRAL PEDRO DIAZ</v>
          </cell>
          <cell r="F28">
            <v>444</v>
          </cell>
          <cell r="H28" t="str">
            <v>SANTOS TESEI</v>
          </cell>
          <cell r="I28" t="str">
            <v>B1688ZAA</v>
          </cell>
        </row>
        <row r="29">
          <cell r="A29" t="str">
            <v>B0036</v>
          </cell>
          <cell r="B29" t="str">
            <v>BUENOS AIRES</v>
          </cell>
          <cell r="C29" t="str">
            <v>TIGRE</v>
          </cell>
          <cell r="D29" t="str">
            <v>DON TORCUATO</v>
          </cell>
          <cell r="E29" t="str">
            <v>AV ANGEL T DE ALVEAR</v>
          </cell>
          <cell r="F29">
            <v>1539</v>
          </cell>
          <cell r="H29" t="str">
            <v>DON TORCUATO</v>
          </cell>
          <cell r="I29" t="str">
            <v>B1611ZAB</v>
          </cell>
        </row>
        <row r="30">
          <cell r="A30" t="str">
            <v>B0037</v>
          </cell>
          <cell r="B30" t="str">
            <v>BUENOS AIRES</v>
          </cell>
          <cell r="C30" t="str">
            <v>MALVINAS ARGENTINAS</v>
          </cell>
          <cell r="D30" t="str">
            <v>GRAND BOURG</v>
          </cell>
          <cell r="E30" t="str">
            <v>ALTE FRANCISCO SEGUI</v>
          </cell>
          <cell r="F30">
            <v>1722</v>
          </cell>
          <cell r="H30" t="str">
            <v>GRAND BOURG</v>
          </cell>
          <cell r="I30" t="str">
            <v>B1615ZAB</v>
          </cell>
        </row>
        <row r="31">
          <cell r="A31" t="str">
            <v>B0038</v>
          </cell>
          <cell r="B31" t="str">
            <v>BUENOS AIRES</v>
          </cell>
          <cell r="C31" t="str">
            <v>PILAR</v>
          </cell>
          <cell r="D31" t="str">
            <v>DEL VISO</v>
          </cell>
          <cell r="E31" t="str">
            <v>AV ING MADERO</v>
          </cell>
          <cell r="F31">
            <v>1395</v>
          </cell>
          <cell r="H31" t="str">
            <v>DEL VISO</v>
          </cell>
          <cell r="I31" t="str">
            <v>B1669ZAA</v>
          </cell>
        </row>
        <row r="32">
          <cell r="A32" t="str">
            <v>B0040</v>
          </cell>
          <cell r="B32" t="str">
            <v>BUENOS AIRES</v>
          </cell>
          <cell r="C32" t="str">
            <v>MALVINAS ARGENTINAS</v>
          </cell>
          <cell r="D32" t="str">
            <v>LOS POLVORINES</v>
          </cell>
          <cell r="E32" t="str">
            <v>25 DE MAYO</v>
          </cell>
          <cell r="F32">
            <v>2639</v>
          </cell>
          <cell r="H32" t="str">
            <v>LOS POLVORINES</v>
          </cell>
          <cell r="I32" t="str">
            <v>B1613ZAB</v>
          </cell>
        </row>
        <row r="33">
          <cell r="A33" t="str">
            <v>B0041</v>
          </cell>
          <cell r="B33" t="str">
            <v>BUENOS AIRES</v>
          </cell>
          <cell r="C33" t="str">
            <v>MALVINAS ARGENTINAS</v>
          </cell>
          <cell r="D33" t="str">
            <v>TORTUGUITAS</v>
          </cell>
          <cell r="E33" t="str">
            <v>AV TTE GRAL JUAN D PERON</v>
          </cell>
          <cell r="F33">
            <v>22</v>
          </cell>
          <cell r="H33" t="str">
            <v>TORTUGUITAS</v>
          </cell>
          <cell r="I33" t="str">
            <v>B1667ZAA</v>
          </cell>
        </row>
        <row r="34">
          <cell r="A34" t="str">
            <v>B0044</v>
          </cell>
          <cell r="B34" t="str">
            <v>BUENOS AIRES</v>
          </cell>
          <cell r="C34" t="str">
            <v>TIGRE</v>
          </cell>
          <cell r="D34" t="str">
            <v>BENAVIDEZ</v>
          </cell>
          <cell r="E34" t="str">
            <v>ITUZAINGO</v>
          </cell>
          <cell r="F34">
            <v>2882</v>
          </cell>
          <cell r="H34" t="str">
            <v>BENAVIDEZ</v>
          </cell>
          <cell r="I34" t="str">
            <v>B2701ZAB</v>
          </cell>
        </row>
        <row r="35">
          <cell r="A35" t="str">
            <v>B0051</v>
          </cell>
          <cell r="B35" t="str">
            <v>BUENOS AIRES</v>
          </cell>
          <cell r="C35" t="str">
            <v>AVELLANEDA</v>
          </cell>
          <cell r="D35" t="str">
            <v>CRUCESITA</v>
          </cell>
          <cell r="E35" t="str">
            <v>AV PRES BARTOLOME MITRE</v>
          </cell>
          <cell r="F35">
            <v>1899</v>
          </cell>
          <cell r="H35" t="str">
            <v>SARANDI</v>
          </cell>
          <cell r="I35" t="str">
            <v>B1872ZAA</v>
          </cell>
        </row>
        <row r="36">
          <cell r="A36" t="str">
            <v>B0061</v>
          </cell>
          <cell r="B36" t="str">
            <v>BUENOS AIRES</v>
          </cell>
          <cell r="C36" t="str">
            <v>EZEIZA</v>
          </cell>
          <cell r="D36" t="str">
            <v>AEROPUERTO EZEIZA</v>
          </cell>
          <cell r="E36" t="str">
            <v>AEROP INTERNACIONAL EZEIZA</v>
          </cell>
          <cell r="F36">
            <v>0</v>
          </cell>
          <cell r="H36" t="str">
            <v>AEROPUERTO EZEIZA</v>
          </cell>
          <cell r="I36" t="str">
            <v>B1802ZAA</v>
          </cell>
        </row>
        <row r="37">
          <cell r="A37" t="str">
            <v>B0062</v>
          </cell>
          <cell r="B37" t="str">
            <v>BUENOS AIRES</v>
          </cell>
          <cell r="C37" t="str">
            <v>ALMIRANTE BROWN</v>
          </cell>
          <cell r="D37" t="str">
            <v>ADROGUE</v>
          </cell>
          <cell r="E37" t="str">
            <v>ESTEBAN ADROGUE</v>
          </cell>
          <cell r="F37">
            <v>1076</v>
          </cell>
          <cell r="H37" t="str">
            <v>ALMIRANTE BROWN (ADROGUE)</v>
          </cell>
          <cell r="I37" t="str">
            <v>B1846ZAB</v>
          </cell>
        </row>
        <row r="38">
          <cell r="A38" t="str">
            <v>B0063</v>
          </cell>
          <cell r="B38" t="str">
            <v>BUENOS AIRES</v>
          </cell>
          <cell r="C38" t="str">
            <v>AVELLANEDA</v>
          </cell>
          <cell r="D38" t="str">
            <v>AVELLANEDA</v>
          </cell>
          <cell r="E38" t="str">
            <v>AV DR MANUEL BELGRANO</v>
          </cell>
          <cell r="F38">
            <v>390</v>
          </cell>
          <cell r="H38" t="str">
            <v>AVELLANEDA</v>
          </cell>
          <cell r="I38" t="str">
            <v>B1870ZAB</v>
          </cell>
        </row>
        <row r="39">
          <cell r="A39" t="str">
            <v>B0065</v>
          </cell>
          <cell r="B39" t="str">
            <v>BUENOS AIRES</v>
          </cell>
          <cell r="C39" t="str">
            <v>BERAZATEGUI</v>
          </cell>
          <cell r="D39" t="str">
            <v>BERAZATEGUI</v>
          </cell>
          <cell r="E39" t="str">
            <v>CALLE 15</v>
          </cell>
          <cell r="F39">
            <v>4751</v>
          </cell>
          <cell r="H39" t="str">
            <v>BERAZATEGUI</v>
          </cell>
          <cell r="I39" t="str">
            <v>B1880ZAB</v>
          </cell>
        </row>
        <row r="40">
          <cell r="A40" t="str">
            <v>B0066</v>
          </cell>
          <cell r="B40" t="str">
            <v>BUENOS AIRES</v>
          </cell>
          <cell r="C40" t="str">
            <v>LA MATANZA</v>
          </cell>
          <cell r="D40" t="str">
            <v>CIUDAD EVITA</v>
          </cell>
          <cell r="E40" t="str">
            <v>AV GRAL MARTIN M GUEMES</v>
          </cell>
          <cell r="F40">
            <v>4155</v>
          </cell>
          <cell r="H40" t="str">
            <v>CIUDAD EVITA</v>
          </cell>
          <cell r="I40" t="str">
            <v>B1778ZAA</v>
          </cell>
        </row>
        <row r="41">
          <cell r="A41" t="str">
            <v>B0068</v>
          </cell>
          <cell r="B41" t="str">
            <v>BUENOS AIRES</v>
          </cell>
          <cell r="C41" t="str">
            <v>FLORENCIO VARELA</v>
          </cell>
          <cell r="D41" t="str">
            <v>FLORENCIO VARELA</v>
          </cell>
          <cell r="E41" t="str">
            <v>ESPAÃ‘A</v>
          </cell>
          <cell r="F41">
            <v>3212</v>
          </cell>
          <cell r="H41" t="str">
            <v>FLORENCIO VARELA</v>
          </cell>
          <cell r="I41" t="str">
            <v>B1888ZAC</v>
          </cell>
        </row>
        <row r="42">
          <cell r="A42" t="str">
            <v>B0069</v>
          </cell>
          <cell r="B42" t="str">
            <v>BUENOS AIRES</v>
          </cell>
          <cell r="C42" t="str">
            <v>LANUS</v>
          </cell>
          <cell r="D42" t="str">
            <v>GERLI</v>
          </cell>
          <cell r="E42" t="str">
            <v>AV PTE H YRIGOYEN</v>
          </cell>
          <cell r="F42">
            <v>2317</v>
          </cell>
          <cell r="H42" t="str">
            <v>GERLI</v>
          </cell>
          <cell r="I42" t="str">
            <v>B1823ZAA</v>
          </cell>
        </row>
        <row r="43">
          <cell r="A43" t="str">
            <v>B0070</v>
          </cell>
          <cell r="B43" t="str">
            <v>BUENOS AIRES</v>
          </cell>
          <cell r="C43" t="str">
            <v>LA MATANZA</v>
          </cell>
          <cell r="D43" t="str">
            <v>ISIDRO CASANOVA</v>
          </cell>
          <cell r="E43" t="str">
            <v>AV BDIER J M DE ROSAS</v>
          </cell>
          <cell r="F43">
            <v>6801</v>
          </cell>
          <cell r="H43" t="str">
            <v>ISIDRO CASANOVA</v>
          </cell>
          <cell r="I43" t="str">
            <v>B1765ZAA</v>
          </cell>
        </row>
        <row r="44">
          <cell r="A44" t="str">
            <v>B0071</v>
          </cell>
          <cell r="B44" t="str">
            <v>BUENOS AIRES</v>
          </cell>
          <cell r="C44" t="str">
            <v>ALMIRANTE BROWN</v>
          </cell>
          <cell r="D44" t="str">
            <v>JOSE MARMOL</v>
          </cell>
          <cell r="E44" t="str">
            <v>MITRE</v>
          </cell>
          <cell r="F44">
            <v>2204</v>
          </cell>
          <cell r="H44" t="str">
            <v>JOSE MARMOL</v>
          </cell>
          <cell r="I44" t="str">
            <v>B1845ZAA</v>
          </cell>
        </row>
        <row r="45">
          <cell r="A45" t="str">
            <v>B0072</v>
          </cell>
          <cell r="B45" t="str">
            <v>BUENOS AIRES</v>
          </cell>
          <cell r="C45" t="str">
            <v>LANUS</v>
          </cell>
          <cell r="D45" t="str">
            <v>LANUS ESTE</v>
          </cell>
          <cell r="E45" t="str">
            <v>GRAL O HIGGINS</v>
          </cell>
          <cell r="F45">
            <v>2055</v>
          </cell>
          <cell r="H45" t="str">
            <v>LANUS</v>
          </cell>
          <cell r="I45" t="str">
            <v>B1824ZAB</v>
          </cell>
        </row>
        <row r="46">
          <cell r="A46" t="str">
            <v>B0073</v>
          </cell>
          <cell r="B46" t="str">
            <v>BUENOS AIRES</v>
          </cell>
          <cell r="C46" t="str">
            <v>LA MATANZA</v>
          </cell>
          <cell r="D46" t="str">
            <v>CIUDAD MADERO</v>
          </cell>
          <cell r="E46" t="str">
            <v>RIVERA</v>
          </cell>
          <cell r="F46">
            <v>2407</v>
          </cell>
          <cell r="H46" t="str">
            <v>VILLA CELINA</v>
          </cell>
          <cell r="I46" t="str">
            <v>B2701ZAA</v>
          </cell>
        </row>
        <row r="47">
          <cell r="A47" t="str">
            <v>B0075</v>
          </cell>
          <cell r="B47" t="str">
            <v>BUENOS AIRES</v>
          </cell>
          <cell r="C47" t="str">
            <v>LA MATANZA</v>
          </cell>
          <cell r="D47" t="str">
            <v>LOMAS DEL MIRADOR</v>
          </cell>
          <cell r="E47" t="str">
            <v>AV BDIER J M DE ROSAS</v>
          </cell>
          <cell r="F47">
            <v>691</v>
          </cell>
          <cell r="H47" t="str">
            <v>LOMAS DEL MIRADOR</v>
          </cell>
          <cell r="I47" t="str">
            <v>B1752ZAA</v>
          </cell>
        </row>
        <row r="48">
          <cell r="A48" t="str">
            <v>B0078</v>
          </cell>
          <cell r="B48" t="str">
            <v>BUENOS AIRES</v>
          </cell>
          <cell r="C48" t="str">
            <v>LANUS</v>
          </cell>
          <cell r="D48" t="str">
            <v>REMEDIOS DE ESCALADA</v>
          </cell>
          <cell r="E48" t="str">
            <v>AV PTE H YRIGOYEN</v>
          </cell>
          <cell r="F48">
            <v>6133</v>
          </cell>
          <cell r="H48" t="str">
            <v>REMEDIOS DE ESCALADA</v>
          </cell>
          <cell r="I48" t="str">
            <v>B1826ZAB</v>
          </cell>
        </row>
        <row r="49">
          <cell r="A49" t="str">
            <v>B0079</v>
          </cell>
          <cell r="B49" t="str">
            <v>BUENOS AIRES</v>
          </cell>
          <cell r="C49" t="str">
            <v>LA MATANZA</v>
          </cell>
          <cell r="D49" t="str">
            <v>SAN JUSTO</v>
          </cell>
          <cell r="E49" t="str">
            <v>ALMAFUERTE</v>
          </cell>
          <cell r="F49">
            <v>3171</v>
          </cell>
          <cell r="H49" t="str">
            <v>SAN JUSTO</v>
          </cell>
          <cell r="I49" t="str">
            <v>B1754ZAB</v>
          </cell>
        </row>
        <row r="50">
          <cell r="A50" t="str">
            <v>B0080</v>
          </cell>
          <cell r="B50" t="str">
            <v>BUENOS AIRES</v>
          </cell>
          <cell r="C50" t="str">
            <v>LA MATANZA</v>
          </cell>
          <cell r="D50" t="str">
            <v>LA TABLADA</v>
          </cell>
          <cell r="E50" t="str">
            <v>AV INT CROVARA</v>
          </cell>
          <cell r="F50">
            <v>3035</v>
          </cell>
          <cell r="H50" t="str">
            <v>LA TABLADA</v>
          </cell>
          <cell r="I50" t="str">
            <v>B1766ZAA</v>
          </cell>
        </row>
        <row r="51">
          <cell r="A51" t="str">
            <v>B0081</v>
          </cell>
          <cell r="B51" t="str">
            <v>BUENOS AIRES</v>
          </cell>
          <cell r="C51" t="str">
            <v>LA MATANZA</v>
          </cell>
          <cell r="D51" t="str">
            <v>CIUDAD MADERO</v>
          </cell>
          <cell r="E51" t="str">
            <v>EVITA</v>
          </cell>
          <cell r="F51">
            <v>13</v>
          </cell>
          <cell r="H51" t="str">
            <v>TAPIALES</v>
          </cell>
          <cell r="I51" t="str">
            <v>B1770ZAB</v>
          </cell>
        </row>
        <row r="52">
          <cell r="A52" t="str">
            <v>B0082</v>
          </cell>
          <cell r="B52" t="str">
            <v>BUENOS AIRES</v>
          </cell>
          <cell r="C52" t="str">
            <v>LOMAS DE ZAMORA</v>
          </cell>
          <cell r="D52" t="str">
            <v>TEMPERLEY</v>
          </cell>
          <cell r="E52" t="str">
            <v>AV ALTE G BROWN</v>
          </cell>
          <cell r="F52">
            <v>3394</v>
          </cell>
          <cell r="H52" t="str">
            <v>TEMPERLEY</v>
          </cell>
          <cell r="I52" t="str">
            <v>B1834ZAB</v>
          </cell>
        </row>
        <row r="53">
          <cell r="A53" t="str">
            <v>B0083</v>
          </cell>
          <cell r="B53" t="str">
            <v>BUENOS AIRES</v>
          </cell>
          <cell r="C53" t="str">
            <v>LANUS</v>
          </cell>
          <cell r="D53" t="str">
            <v>VALENTIN ALSINA</v>
          </cell>
          <cell r="E53" t="str">
            <v>JUAN FARREL</v>
          </cell>
          <cell r="F53">
            <v>664</v>
          </cell>
          <cell r="H53" t="str">
            <v>VALENTIN ALSINA</v>
          </cell>
          <cell r="I53" t="str">
            <v>B1822ZAB</v>
          </cell>
        </row>
        <row r="54">
          <cell r="A54" t="str">
            <v>B0084</v>
          </cell>
          <cell r="B54" t="str">
            <v>BUENOS AIRES</v>
          </cell>
          <cell r="C54" t="str">
            <v>ALMIRANTE BROWN</v>
          </cell>
          <cell r="D54" t="str">
            <v>RAFAEL CALZADA</v>
          </cell>
          <cell r="E54" t="str">
            <v>COLON</v>
          </cell>
          <cell r="F54">
            <v>3395</v>
          </cell>
          <cell r="H54" t="str">
            <v>RAFAEL CALZADA</v>
          </cell>
          <cell r="I54" t="str">
            <v>B1847ZAA</v>
          </cell>
        </row>
        <row r="55">
          <cell r="A55" t="str">
            <v>B0085</v>
          </cell>
          <cell r="B55" t="str">
            <v>BUENOS AIRES</v>
          </cell>
          <cell r="C55" t="str">
            <v>QUILMES</v>
          </cell>
          <cell r="D55" t="str">
            <v>QUILMES OESTE</v>
          </cell>
          <cell r="E55" t="str">
            <v>12 DE OCTUBRE</v>
          </cell>
          <cell r="F55">
            <v>2498</v>
          </cell>
          <cell r="H55" t="str">
            <v>QUILMES OESTE</v>
          </cell>
          <cell r="I55" t="str">
            <v>B1879ZAA</v>
          </cell>
        </row>
        <row r="56">
          <cell r="A56" t="str">
            <v>B0086</v>
          </cell>
          <cell r="B56" t="str">
            <v>BUENOS AIRES</v>
          </cell>
          <cell r="C56" t="str">
            <v>AVELLANEDA</v>
          </cell>
          <cell r="D56" t="str">
            <v>SARANDI</v>
          </cell>
          <cell r="E56" t="str">
            <v>AV PRES BARTOLOME MITRE</v>
          </cell>
          <cell r="F56">
            <v>3317</v>
          </cell>
          <cell r="H56" t="str">
            <v>VILLA DOMINICO</v>
          </cell>
          <cell r="I56" t="str">
            <v>B1874ZAA</v>
          </cell>
        </row>
        <row r="57">
          <cell r="A57" t="str">
            <v>B0087</v>
          </cell>
          <cell r="B57" t="str">
            <v>BUENOS AIRES</v>
          </cell>
          <cell r="C57" t="str">
            <v>LANUS</v>
          </cell>
          <cell r="D57" t="str">
            <v>LANUS OESTE</v>
          </cell>
          <cell r="E57" t="str">
            <v>CNEL D ELIA</v>
          </cell>
          <cell r="F57">
            <v>1638</v>
          </cell>
          <cell r="H57" t="str">
            <v>VILLA INDUSTRIALES</v>
          </cell>
          <cell r="I57" t="str">
            <v>B1824ZAC</v>
          </cell>
        </row>
        <row r="58">
          <cell r="A58" t="str">
            <v>B0088</v>
          </cell>
          <cell r="B58" t="str">
            <v>BUENOS AIRES</v>
          </cell>
          <cell r="C58" t="str">
            <v>LA MATANZA</v>
          </cell>
          <cell r="D58" t="str">
            <v>LA TABLADA</v>
          </cell>
          <cell r="E58" t="str">
            <v>SANCHEZ DE THOMPSON</v>
          </cell>
          <cell r="F58">
            <v>10</v>
          </cell>
          <cell r="H58" t="str">
            <v>VILLA MADERO</v>
          </cell>
          <cell r="I58" t="str">
            <v>B1768ZAA</v>
          </cell>
        </row>
        <row r="59">
          <cell r="A59" t="str">
            <v>B0089</v>
          </cell>
          <cell r="B59" t="str">
            <v>BUENOS AIRES</v>
          </cell>
          <cell r="C59" t="str">
            <v>AVELLANEDA</v>
          </cell>
          <cell r="D59" t="str">
            <v>PIÃ‘EYRO</v>
          </cell>
          <cell r="E59" t="str">
            <v>AV GALICIA</v>
          </cell>
          <cell r="F59">
            <v>635</v>
          </cell>
          <cell r="H59" t="str">
            <v>VILLA PORVENIR</v>
          </cell>
          <cell r="I59" t="str">
            <v>B1868ZAA</v>
          </cell>
        </row>
        <row r="60">
          <cell r="A60" t="str">
            <v>B0090</v>
          </cell>
          <cell r="B60" t="str">
            <v>BUENOS AIRES</v>
          </cell>
          <cell r="C60" t="str">
            <v>AVELLANEDA</v>
          </cell>
          <cell r="D60" t="str">
            <v>WILDE</v>
          </cell>
          <cell r="E60" t="str">
            <v>BRAGADO</v>
          </cell>
          <cell r="F60">
            <v>6185</v>
          </cell>
          <cell r="H60" t="str">
            <v>WILDE</v>
          </cell>
          <cell r="I60" t="str">
            <v>B1875ZAA</v>
          </cell>
        </row>
        <row r="61">
          <cell r="A61" t="str">
            <v>B0091</v>
          </cell>
          <cell r="B61" t="str">
            <v>BUENOS AIRES</v>
          </cell>
          <cell r="C61" t="str">
            <v>LANUS</v>
          </cell>
          <cell r="D61" t="str">
            <v>LANUS ESTE</v>
          </cell>
          <cell r="E61" t="str">
            <v>AV CENTENARIO URUGUAYO</v>
          </cell>
          <cell r="F61">
            <v>1471</v>
          </cell>
          <cell r="H61" t="str">
            <v>MONTE CHINGOLO</v>
          </cell>
          <cell r="I61" t="str">
            <v>B1825ZAA</v>
          </cell>
        </row>
        <row r="62">
          <cell r="A62" t="str">
            <v>B0093</v>
          </cell>
          <cell r="B62" t="str">
            <v>BUENOS AIRES</v>
          </cell>
          <cell r="C62" t="str">
            <v>QUILMES</v>
          </cell>
          <cell r="D62" t="str">
            <v>EZPELETA ESTE</v>
          </cell>
          <cell r="E62" t="str">
            <v>CHILE</v>
          </cell>
          <cell r="F62">
            <v>379</v>
          </cell>
          <cell r="H62" t="str">
            <v>EZPELETA</v>
          </cell>
          <cell r="I62" t="str">
            <v>B1882ZAA</v>
          </cell>
        </row>
        <row r="63">
          <cell r="A63" t="str">
            <v>B0094</v>
          </cell>
          <cell r="B63" t="str">
            <v>BUENOS AIRES</v>
          </cell>
          <cell r="C63" t="str">
            <v>LOMAS DE ZAMORA</v>
          </cell>
          <cell r="D63" t="str">
            <v>TURDERA</v>
          </cell>
          <cell r="E63" t="str">
            <v>AV ANTARTIDA ARGENTINA</v>
          </cell>
          <cell r="F63">
            <v>45</v>
          </cell>
          <cell r="H63" t="str">
            <v>TURDERA</v>
          </cell>
          <cell r="I63" t="str">
            <v>B1833ZAB</v>
          </cell>
        </row>
        <row r="64">
          <cell r="A64" t="str">
            <v>B0095</v>
          </cell>
          <cell r="B64" t="str">
            <v>BUENOS AIRES</v>
          </cell>
          <cell r="C64" t="str">
            <v>QUILMES</v>
          </cell>
          <cell r="D64" t="str">
            <v>SAN FRANCISCO SOLANO</v>
          </cell>
          <cell r="E64" t="str">
            <v>CALLE 897</v>
          </cell>
          <cell r="F64">
            <v>4115</v>
          </cell>
          <cell r="H64" t="str">
            <v>SAN FRANCISCO SOLANO</v>
          </cell>
          <cell r="I64" t="str">
            <v>B1881ZAA</v>
          </cell>
        </row>
        <row r="65">
          <cell r="A65" t="str">
            <v>B0096</v>
          </cell>
          <cell r="B65" t="str">
            <v>BUENOS AIRES</v>
          </cell>
          <cell r="C65" t="str">
            <v>LA MATANZA</v>
          </cell>
          <cell r="D65" t="str">
            <v>GREGORIO DE LAFERRERE</v>
          </cell>
          <cell r="E65" t="str">
            <v>E ECHEVERRIA</v>
          </cell>
          <cell r="F65">
            <v>6006</v>
          </cell>
          <cell r="H65" t="str">
            <v>LAFERRERE</v>
          </cell>
          <cell r="I65" t="str">
            <v>B1757ZAB</v>
          </cell>
        </row>
        <row r="66">
          <cell r="A66" t="str">
            <v>B0097</v>
          </cell>
          <cell r="B66" t="str">
            <v>BUENOS AIRES</v>
          </cell>
          <cell r="C66" t="str">
            <v>BERAZATEGUI</v>
          </cell>
          <cell r="D66" t="str">
            <v>RANELAGH</v>
          </cell>
          <cell r="E66" t="str">
            <v>AV DR ALBERTO SABIN</v>
          </cell>
          <cell r="F66">
            <v>2009</v>
          </cell>
          <cell r="H66" t="str">
            <v>RANELAGH</v>
          </cell>
          <cell r="I66" t="str">
            <v>B1886ZAC</v>
          </cell>
        </row>
        <row r="67">
          <cell r="A67" t="str">
            <v>B0098</v>
          </cell>
          <cell r="B67" t="str">
            <v>BUENOS AIRES</v>
          </cell>
          <cell r="C67" t="str">
            <v>LA MATANZA</v>
          </cell>
          <cell r="D67" t="str">
            <v>RAFAEL CASTILLO</v>
          </cell>
          <cell r="E67" t="str">
            <v>SANTA CRUZ</v>
          </cell>
          <cell r="F67">
            <v>1071</v>
          </cell>
          <cell r="H67" t="str">
            <v>RAFAEL CASTILLO</v>
          </cell>
          <cell r="I67" t="str">
            <v>B1755ZAA</v>
          </cell>
        </row>
        <row r="68">
          <cell r="A68" t="str">
            <v>B0099</v>
          </cell>
          <cell r="B68" t="str">
            <v>BUENOS AIRES</v>
          </cell>
          <cell r="C68" t="str">
            <v>ALMIRANTE BROWN</v>
          </cell>
          <cell r="D68" t="str">
            <v>BURZACO</v>
          </cell>
          <cell r="E68" t="str">
            <v>ROCA</v>
          </cell>
          <cell r="F68">
            <v>983</v>
          </cell>
          <cell r="H68" t="str">
            <v>BURZACO</v>
          </cell>
          <cell r="I68" t="str">
            <v>B1852ZAA</v>
          </cell>
        </row>
        <row r="69">
          <cell r="A69" t="str">
            <v>B0100</v>
          </cell>
          <cell r="B69" t="str">
            <v>BUENOS AIRES</v>
          </cell>
          <cell r="C69" t="str">
            <v>EZEIZA</v>
          </cell>
          <cell r="D69" t="str">
            <v>EZEIZA</v>
          </cell>
          <cell r="E69" t="str">
            <v>FRENCH</v>
          </cell>
          <cell r="F69">
            <v>198</v>
          </cell>
          <cell r="H69" t="str">
            <v>EZEIZA</v>
          </cell>
          <cell r="I69" t="str">
            <v>B1804ZAB</v>
          </cell>
        </row>
        <row r="70">
          <cell r="A70" t="str">
            <v>B0101</v>
          </cell>
          <cell r="B70" t="str">
            <v>BUENOS AIRES</v>
          </cell>
          <cell r="C70" t="str">
            <v>ALMIRANTE BROWN</v>
          </cell>
          <cell r="D70" t="str">
            <v>GLEW</v>
          </cell>
          <cell r="E70" t="str">
            <v>SARMIENTO</v>
          </cell>
          <cell r="F70">
            <v>50</v>
          </cell>
          <cell r="H70" t="str">
            <v>GLEW</v>
          </cell>
          <cell r="I70" t="str">
            <v>B1856ZAD</v>
          </cell>
        </row>
        <row r="71">
          <cell r="A71" t="str">
            <v>B0102</v>
          </cell>
          <cell r="B71" t="str">
            <v>BUENOS AIRES</v>
          </cell>
          <cell r="C71" t="str">
            <v>LA MATANZA</v>
          </cell>
          <cell r="D71" t="str">
            <v>GONZALEZ CATAN</v>
          </cell>
          <cell r="E71" t="str">
            <v>DR JOSE EQUIZA</v>
          </cell>
          <cell r="F71">
            <v>4491</v>
          </cell>
          <cell r="H71" t="str">
            <v>GONZALEZ CATAN</v>
          </cell>
          <cell r="I71" t="str">
            <v>B1759ZAB</v>
          </cell>
        </row>
        <row r="72">
          <cell r="A72" t="str">
            <v>B0103</v>
          </cell>
          <cell r="B72" t="str">
            <v>BUENOS AIRES</v>
          </cell>
          <cell r="C72" t="str">
            <v>BERAZATEGUI</v>
          </cell>
          <cell r="D72" t="str">
            <v>GUILLERMO E HUDSON</v>
          </cell>
          <cell r="E72" t="str">
            <v>BOMBERO ESTEVEZ</v>
          </cell>
          <cell r="F72">
            <v>5443</v>
          </cell>
          <cell r="H72" t="str">
            <v>HUDSON</v>
          </cell>
          <cell r="I72" t="str">
            <v>B1885ZAB</v>
          </cell>
        </row>
        <row r="73">
          <cell r="A73" t="str">
            <v>B0104</v>
          </cell>
          <cell r="B73" t="str">
            <v>BUENOS AIRES</v>
          </cell>
          <cell r="C73" t="str">
            <v>LOMAS DE ZAMORA</v>
          </cell>
          <cell r="D73" t="str">
            <v>LLAVALLOL</v>
          </cell>
          <cell r="E73" t="str">
            <v>AV ANTARTIDA ARGENTINA</v>
          </cell>
          <cell r="F73">
            <v>1620</v>
          </cell>
          <cell r="H73" t="str">
            <v>LLAVALLOL</v>
          </cell>
          <cell r="I73" t="str">
            <v>B1836ZAA</v>
          </cell>
        </row>
        <row r="74">
          <cell r="A74" t="str">
            <v>B0105</v>
          </cell>
          <cell r="B74" t="str">
            <v>BUENOS AIRES</v>
          </cell>
          <cell r="C74" t="str">
            <v>ALMIRANTE BROWN</v>
          </cell>
          <cell r="D74" t="str">
            <v>LONGCHAMPS</v>
          </cell>
          <cell r="E74" t="str">
            <v>DR MANUEL BELGRANO</v>
          </cell>
          <cell r="F74">
            <v>1453</v>
          </cell>
          <cell r="H74" t="str">
            <v>LONGCHAMPS</v>
          </cell>
          <cell r="I74" t="str">
            <v>B1854ZAB</v>
          </cell>
        </row>
        <row r="75">
          <cell r="A75" t="str">
            <v>B0106</v>
          </cell>
          <cell r="B75" t="str">
            <v>BUENOS AIRES</v>
          </cell>
          <cell r="C75" t="str">
            <v>ESTEBAN ECHEVERRIA</v>
          </cell>
          <cell r="D75" t="str">
            <v>LUIS GUILLON</v>
          </cell>
          <cell r="E75" t="str">
            <v>BUENOS AIRES</v>
          </cell>
          <cell r="F75">
            <v>1758</v>
          </cell>
          <cell r="H75" t="str">
            <v>LUIS GUILLON</v>
          </cell>
          <cell r="I75" t="str">
            <v>B1838ZAA</v>
          </cell>
        </row>
        <row r="76">
          <cell r="A76" t="str">
            <v>B0107</v>
          </cell>
          <cell r="B76" t="str">
            <v>BUENOS AIRES</v>
          </cell>
          <cell r="C76" t="str">
            <v>ESTEBAN ECHEVERRIA</v>
          </cell>
          <cell r="D76" t="str">
            <v>MONTE GRANDE</v>
          </cell>
          <cell r="E76" t="str">
            <v>VICENTE LOPEZ</v>
          </cell>
          <cell r="F76">
            <v>448</v>
          </cell>
          <cell r="H76" t="str">
            <v>MONTE GRANDE</v>
          </cell>
          <cell r="I76" t="str">
            <v>B1842ZAB</v>
          </cell>
        </row>
        <row r="77">
          <cell r="A77" t="str">
            <v>B0110</v>
          </cell>
          <cell r="B77" t="str">
            <v>BUENOS AIRES</v>
          </cell>
          <cell r="C77" t="str">
            <v>LOMAS DE ZAMORA</v>
          </cell>
          <cell r="D77" t="str">
            <v>TEMPERLEY</v>
          </cell>
          <cell r="E77" t="str">
            <v>LA CALANDRIA</v>
          </cell>
          <cell r="F77">
            <v>3156</v>
          </cell>
          <cell r="H77" t="str">
            <v>BARRIO SAN JOSE</v>
          </cell>
          <cell r="I77" t="str">
            <v>B1834ZAC</v>
          </cell>
        </row>
        <row r="78">
          <cell r="A78" t="str">
            <v>B0111</v>
          </cell>
          <cell r="B78" t="str">
            <v>BUENOS AIRES</v>
          </cell>
          <cell r="C78" t="str">
            <v>BERAZATEGUI</v>
          </cell>
          <cell r="D78" t="str">
            <v>JUAN MARIA GUTIERREZ</v>
          </cell>
          <cell r="E78" t="str">
            <v>CALLE 455</v>
          </cell>
          <cell r="F78">
            <v>721</v>
          </cell>
          <cell r="H78" t="str">
            <v>JUAN MARIA GUTIERREZ</v>
          </cell>
          <cell r="I78" t="str">
            <v>B1890ZAD</v>
          </cell>
        </row>
        <row r="79">
          <cell r="A79" t="str">
            <v>B0112</v>
          </cell>
          <cell r="B79" t="str">
            <v>BUENOS AIRES</v>
          </cell>
          <cell r="C79" t="str">
            <v>LA MATANZA</v>
          </cell>
          <cell r="D79" t="str">
            <v>TAPIALES</v>
          </cell>
          <cell r="E79" t="str">
            <v>TTE GRAL PABLO RICCHIERI</v>
          </cell>
          <cell r="F79">
            <v>0</v>
          </cell>
          <cell r="H79" t="str">
            <v>MERCADO CENTRAL</v>
          </cell>
          <cell r="I79" t="str">
            <v>B1771ZAB</v>
          </cell>
        </row>
        <row r="80">
          <cell r="A80" t="str">
            <v>B0115</v>
          </cell>
          <cell r="B80" t="str">
            <v>BUENOS AIRES</v>
          </cell>
          <cell r="C80" t="str">
            <v>FLORENCIO VARELA</v>
          </cell>
          <cell r="D80" t="str">
            <v>FLORENCIO VARELA</v>
          </cell>
          <cell r="E80" t="str">
            <v>AV CNO GRAL BELGRANO</v>
          </cell>
          <cell r="F80">
            <v>6385</v>
          </cell>
          <cell r="H80" t="str">
            <v>CRUCE VARELA</v>
          </cell>
          <cell r="I80" t="str">
            <v>B1888ZAB</v>
          </cell>
        </row>
        <row r="81">
          <cell r="A81" t="str">
            <v>B0162</v>
          </cell>
          <cell r="B81" t="str">
            <v>BUENOS AIRES</v>
          </cell>
          <cell r="C81" t="str">
            <v>TRES DE FEBRERO</v>
          </cell>
          <cell r="D81" t="str">
            <v>CASEROS</v>
          </cell>
          <cell r="E81" t="str">
            <v>AV GRAL J J DE URQUIZA</v>
          </cell>
          <cell r="F81">
            <v>4826</v>
          </cell>
          <cell r="H81" t="str">
            <v>CASEROS</v>
          </cell>
          <cell r="I81" t="str">
            <v>B1678ZAB</v>
          </cell>
        </row>
        <row r="82">
          <cell r="A82" t="str">
            <v>B0163</v>
          </cell>
          <cell r="B82" t="str">
            <v>BUENOS AIRES</v>
          </cell>
          <cell r="C82" t="str">
            <v>MORON</v>
          </cell>
          <cell r="D82" t="str">
            <v>CASTELAR</v>
          </cell>
          <cell r="E82" t="str">
            <v>CNEL MARTIN IRIGOYEN</v>
          </cell>
          <cell r="F82">
            <v>484</v>
          </cell>
          <cell r="H82" t="str">
            <v>CASTELAR</v>
          </cell>
          <cell r="I82" t="str">
            <v>B1712ZAA</v>
          </cell>
        </row>
        <row r="83">
          <cell r="A83" t="str">
            <v>B0164</v>
          </cell>
          <cell r="B83" t="str">
            <v>BUENOS AIRES</v>
          </cell>
          <cell r="C83" t="str">
            <v>TRES DE FEBRERO</v>
          </cell>
          <cell r="D83" t="str">
            <v>CIUDADELA</v>
          </cell>
          <cell r="E83" t="str">
            <v>AV RIVADAVIA</v>
          </cell>
          <cell r="F83">
            <v>12580</v>
          </cell>
          <cell r="H83" t="str">
            <v>CIUDADELA</v>
          </cell>
          <cell r="I83" t="str">
            <v>B1702ZAA</v>
          </cell>
        </row>
        <row r="84">
          <cell r="A84" t="str">
            <v>B0166</v>
          </cell>
          <cell r="B84" t="str">
            <v>BUENOS AIRES</v>
          </cell>
          <cell r="C84" t="str">
            <v>TRES DE FEBRERO</v>
          </cell>
          <cell r="D84" t="str">
            <v>CIUDAD JARDIN DEL PALOMAR</v>
          </cell>
          <cell r="E84" t="str">
            <v>ING GUILLERMO MARCONI</v>
          </cell>
          <cell r="F84">
            <v>6595</v>
          </cell>
          <cell r="H84" t="str">
            <v>EL PALOMAR</v>
          </cell>
          <cell r="I84" t="str">
            <v>B1685ZAB</v>
          </cell>
        </row>
        <row r="85">
          <cell r="A85" t="str">
            <v>B0167</v>
          </cell>
          <cell r="B85" t="str">
            <v>BUENOS AIRES</v>
          </cell>
          <cell r="C85" t="str">
            <v>ITUZAINGO</v>
          </cell>
          <cell r="D85" t="str">
            <v>ITUZAINGO</v>
          </cell>
          <cell r="E85" t="str">
            <v>GRAL FELIX DE OLAZABAL</v>
          </cell>
          <cell r="F85">
            <v>728</v>
          </cell>
          <cell r="H85" t="str">
            <v>ITUZAINGO</v>
          </cell>
          <cell r="I85" t="str">
            <v>B1714ZAB</v>
          </cell>
        </row>
        <row r="86">
          <cell r="A86" t="str">
            <v>B0168</v>
          </cell>
          <cell r="B86" t="str">
            <v>BUENOS AIRES</v>
          </cell>
          <cell r="C86" t="str">
            <v>MERLO</v>
          </cell>
          <cell r="D86" t="str">
            <v>LIBERTAD</v>
          </cell>
          <cell r="E86" t="str">
            <v>J B JUSTO</v>
          </cell>
          <cell r="F86">
            <v>2670</v>
          </cell>
          <cell r="H86" t="str">
            <v>LIBERTAD</v>
          </cell>
          <cell r="I86" t="str">
            <v>B1716ZAA</v>
          </cell>
        </row>
        <row r="87">
          <cell r="A87" t="str">
            <v>B0169</v>
          </cell>
          <cell r="B87" t="str">
            <v>BUENOS AIRES</v>
          </cell>
          <cell r="C87" t="str">
            <v>MORON</v>
          </cell>
          <cell r="D87" t="str">
            <v>HAEDO</v>
          </cell>
          <cell r="E87" t="str">
            <v>AV RIVADAVIA</v>
          </cell>
          <cell r="F87">
            <v>16380</v>
          </cell>
          <cell r="H87" t="str">
            <v>HAEDO</v>
          </cell>
          <cell r="I87" t="str">
            <v>B1706ZAB</v>
          </cell>
        </row>
        <row r="88">
          <cell r="A88" t="str">
            <v>B0170</v>
          </cell>
          <cell r="B88" t="str">
            <v>BUENOS AIRES</v>
          </cell>
          <cell r="C88" t="str">
            <v>MERLO</v>
          </cell>
          <cell r="D88" t="str">
            <v>MERLO</v>
          </cell>
          <cell r="E88" t="str">
            <v>AV DEL LIBERTADOR</v>
          </cell>
          <cell r="F88">
            <v>556</v>
          </cell>
          <cell r="H88" t="str">
            <v>MERLO</v>
          </cell>
          <cell r="I88" t="str">
            <v>B1722ZAB</v>
          </cell>
        </row>
        <row r="89">
          <cell r="A89" t="str">
            <v>B0171</v>
          </cell>
          <cell r="B89" t="str">
            <v>BUENOS AIRES</v>
          </cell>
          <cell r="C89" t="str">
            <v>MORENO</v>
          </cell>
          <cell r="D89" t="str">
            <v>MORENO</v>
          </cell>
          <cell r="E89" t="str">
            <v>AV BME MITRE</v>
          </cell>
          <cell r="F89">
            <v>2402</v>
          </cell>
          <cell r="H89" t="str">
            <v>MORENO</v>
          </cell>
          <cell r="I89" t="str">
            <v>B1744ZAB</v>
          </cell>
        </row>
        <row r="90">
          <cell r="A90" t="str">
            <v>B0172</v>
          </cell>
          <cell r="B90" t="str">
            <v>BUENOS AIRES</v>
          </cell>
          <cell r="C90" t="str">
            <v>LA MATANZA</v>
          </cell>
          <cell r="D90" t="str">
            <v>RAMOS MEJIA</v>
          </cell>
          <cell r="E90" t="str">
            <v>AV RIVADAVIA</v>
          </cell>
          <cell r="F90">
            <v>14178</v>
          </cell>
          <cell r="H90" t="str">
            <v>RAMOS MEJIA</v>
          </cell>
          <cell r="I90" t="str">
            <v>B1704ZAB</v>
          </cell>
        </row>
        <row r="91">
          <cell r="A91" t="str">
            <v>B0173</v>
          </cell>
          <cell r="B91" t="str">
            <v>BUENOS AIRES</v>
          </cell>
          <cell r="C91" t="str">
            <v>TRES DE FEBRERO</v>
          </cell>
          <cell r="D91" t="str">
            <v>SANTOS LUGARES</v>
          </cell>
          <cell r="E91" t="str">
            <v>RODRIGUEZ PEÃ‘A</v>
          </cell>
          <cell r="F91">
            <v>1846</v>
          </cell>
          <cell r="H91" t="str">
            <v>SANTOS LUGARES</v>
          </cell>
          <cell r="I91" t="str">
            <v>B1676ZAA</v>
          </cell>
        </row>
        <row r="92">
          <cell r="A92" t="str">
            <v>B0174</v>
          </cell>
          <cell r="B92" t="str">
            <v>BUENOS AIRES</v>
          </cell>
          <cell r="C92" t="str">
            <v>MERLO</v>
          </cell>
          <cell r="D92" t="str">
            <v>SAN ANTONIO DE PADUA</v>
          </cell>
          <cell r="E92" t="str">
            <v>DIRECTORIO</v>
          </cell>
          <cell r="F92">
            <v>202</v>
          </cell>
          <cell r="H92" t="str">
            <v>SAN ANTONIO DE PADUA</v>
          </cell>
          <cell r="I92" t="str">
            <v>B1718ZAA</v>
          </cell>
        </row>
        <row r="93">
          <cell r="A93" t="str">
            <v>B0175</v>
          </cell>
          <cell r="B93" t="str">
            <v>BUENOS AIRES</v>
          </cell>
          <cell r="C93" t="str">
            <v>TRES DE FEBRERO</v>
          </cell>
          <cell r="D93" t="str">
            <v>VILLA BOSCH</v>
          </cell>
          <cell r="E93" t="str">
            <v>SANTOS VEGA</v>
          </cell>
          <cell r="F93">
            <v>6121</v>
          </cell>
          <cell r="H93" t="str">
            <v>VILLA BOSCH</v>
          </cell>
          <cell r="I93" t="str">
            <v>B1682ZAB</v>
          </cell>
        </row>
        <row r="94">
          <cell r="A94" t="str">
            <v>B0176</v>
          </cell>
          <cell r="B94" t="str">
            <v>BUENOS AIRES</v>
          </cell>
          <cell r="C94" t="str">
            <v>MORENO</v>
          </cell>
          <cell r="D94" t="str">
            <v>PASO DEL REY</v>
          </cell>
          <cell r="E94" t="str">
            <v>DR S M DEL CARRIL</v>
          </cell>
          <cell r="F94">
            <v>52</v>
          </cell>
          <cell r="H94" t="str">
            <v>PASO DEL REY</v>
          </cell>
          <cell r="I94" t="str">
            <v>B1742ZAA</v>
          </cell>
        </row>
        <row r="95">
          <cell r="A95" t="str">
            <v>B0177</v>
          </cell>
          <cell r="B95" t="str">
            <v>BUENOS AIRES</v>
          </cell>
          <cell r="C95" t="str">
            <v>MORENO</v>
          </cell>
          <cell r="D95" t="str">
            <v>FRANCISCO ALVAREZ</v>
          </cell>
          <cell r="E95" t="str">
            <v>DIARIO LA NACION</v>
          </cell>
          <cell r="F95">
            <v>2052</v>
          </cell>
          <cell r="H95" t="str">
            <v>FRANCISCO ALVAREZ</v>
          </cell>
          <cell r="I95" t="str">
            <v>B2701ZAC</v>
          </cell>
        </row>
        <row r="96">
          <cell r="A96" t="str">
            <v>B0178</v>
          </cell>
          <cell r="B96" t="str">
            <v>BUENOS AIRES</v>
          </cell>
          <cell r="C96" t="str">
            <v>MERLO</v>
          </cell>
          <cell r="D96" t="str">
            <v>MARIANO ACOSTA</v>
          </cell>
          <cell r="E96" t="str">
            <v>TAGLE</v>
          </cell>
          <cell r="F96">
            <v>507</v>
          </cell>
          <cell r="H96" t="str">
            <v>MARIANO ACOSTA</v>
          </cell>
          <cell r="I96" t="str">
            <v>B2701ZAD</v>
          </cell>
        </row>
        <row r="97">
          <cell r="A97" t="str">
            <v>B0200</v>
          </cell>
          <cell r="B97" t="str">
            <v>BUENOS AIRES</v>
          </cell>
          <cell r="C97" t="str">
            <v>LA PLATA</v>
          </cell>
          <cell r="D97" t="str">
            <v>LA PLATA</v>
          </cell>
          <cell r="E97" t="str">
            <v>AV 51</v>
          </cell>
          <cell r="F97">
            <v>456</v>
          </cell>
          <cell r="H97" t="str">
            <v>LA PLATA</v>
          </cell>
          <cell r="I97" t="str">
            <v>B1902ZAA</v>
          </cell>
        </row>
        <row r="98">
          <cell r="A98" t="str">
            <v>B0201</v>
          </cell>
          <cell r="B98" t="str">
            <v>BUENOS AIRES</v>
          </cell>
          <cell r="C98" t="str">
            <v>LA PLATA</v>
          </cell>
          <cell r="D98" t="str">
            <v>LA PLATA</v>
          </cell>
          <cell r="E98" t="str">
            <v>CALLE 48</v>
          </cell>
          <cell r="F98">
            <v>915</v>
          </cell>
          <cell r="H98" t="str">
            <v>LA PLATA 1</v>
          </cell>
          <cell r="I98" t="str">
            <v>B1900ZAA</v>
          </cell>
        </row>
        <row r="99">
          <cell r="A99" t="str">
            <v>B0202</v>
          </cell>
          <cell r="B99" t="str">
            <v>BUENOS AIRES</v>
          </cell>
          <cell r="C99" t="str">
            <v>LA PLATA</v>
          </cell>
          <cell r="D99" t="str">
            <v>LA PLATA</v>
          </cell>
          <cell r="E99" t="str">
            <v>CALLE 42</v>
          </cell>
          <cell r="F99">
            <v>443</v>
          </cell>
          <cell r="H99" t="str">
            <v>LA PLATA TERMINAL DE OMNIBUS</v>
          </cell>
          <cell r="I99" t="str">
            <v>B1902ZAC</v>
          </cell>
        </row>
        <row r="100">
          <cell r="A100" t="str">
            <v>B0203</v>
          </cell>
          <cell r="B100" t="str">
            <v>BUENOS AIRES</v>
          </cell>
          <cell r="C100" t="str">
            <v>LA PLATA</v>
          </cell>
          <cell r="D100" t="str">
            <v>LA PLATA</v>
          </cell>
          <cell r="E100" t="str">
            <v>AV 44</v>
          </cell>
          <cell r="F100">
            <v>1871</v>
          </cell>
          <cell r="H100" t="str">
            <v>LA PLATA 3</v>
          </cell>
          <cell r="I100" t="str">
            <v>B1908ZAA</v>
          </cell>
        </row>
        <row r="101">
          <cell r="A101" t="str">
            <v>B0204</v>
          </cell>
          <cell r="B101" t="str">
            <v>BUENOS AIRES</v>
          </cell>
          <cell r="C101" t="str">
            <v>LA PLATA</v>
          </cell>
          <cell r="D101" t="str">
            <v>LA PLATA</v>
          </cell>
          <cell r="E101" t="str">
            <v>AV 7</v>
          </cell>
          <cell r="F101">
            <v>1921</v>
          </cell>
          <cell r="H101" t="str">
            <v>LA PLATA 4</v>
          </cell>
          <cell r="I101" t="str">
            <v>B1906ZAA</v>
          </cell>
        </row>
        <row r="102">
          <cell r="A102" t="str">
            <v>B0205</v>
          </cell>
          <cell r="B102" t="str">
            <v>BUENOS AIRES</v>
          </cell>
          <cell r="C102" t="str">
            <v>LA PLATA</v>
          </cell>
          <cell r="D102" t="str">
            <v>LA PLATA</v>
          </cell>
          <cell r="E102" t="str">
            <v>CALLE 12</v>
          </cell>
          <cell r="F102">
            <v>1493</v>
          </cell>
          <cell r="H102" t="str">
            <v>LA PLATA 5</v>
          </cell>
          <cell r="I102" t="str">
            <v>B1900ZAC</v>
          </cell>
        </row>
        <row r="103">
          <cell r="A103" t="str">
            <v>B0206</v>
          </cell>
          <cell r="B103" t="str">
            <v>BUENOS AIRES</v>
          </cell>
          <cell r="C103" t="str">
            <v>LA PLATA</v>
          </cell>
          <cell r="D103" t="str">
            <v>LA PLATA</v>
          </cell>
          <cell r="E103" t="str">
            <v>CALLE 138</v>
          </cell>
          <cell r="F103">
            <v>1398</v>
          </cell>
          <cell r="H103" t="str">
            <v>LA PLATA 6</v>
          </cell>
          <cell r="I103" t="str">
            <v>B1910ZAA</v>
          </cell>
        </row>
        <row r="104">
          <cell r="A104" t="str">
            <v>B0207</v>
          </cell>
          <cell r="B104" t="str">
            <v>BUENOS AIRES</v>
          </cell>
          <cell r="C104" t="str">
            <v>LA PLATA</v>
          </cell>
          <cell r="D104" t="str">
            <v>LA PLATA</v>
          </cell>
          <cell r="E104" t="str">
            <v>AV 520</v>
          </cell>
          <cell r="F104">
            <v>1422</v>
          </cell>
          <cell r="H104" t="str">
            <v>LA PLATA 7</v>
          </cell>
          <cell r="I104" t="str">
            <v>B1900ZAD</v>
          </cell>
        </row>
        <row r="105">
          <cell r="A105" t="str">
            <v>B0209</v>
          </cell>
          <cell r="B105" t="str">
            <v>BUENOS AIRES</v>
          </cell>
          <cell r="C105" t="str">
            <v>SAN VICENTE</v>
          </cell>
          <cell r="D105" t="str">
            <v>ALEJANDRO KORN</v>
          </cell>
          <cell r="E105" t="str">
            <v>PTE J D PERON</v>
          </cell>
          <cell r="F105">
            <v>4984</v>
          </cell>
          <cell r="H105" t="str">
            <v>ALEJANDRO KORN</v>
          </cell>
          <cell r="I105" t="str">
            <v>B1864ZAA</v>
          </cell>
        </row>
        <row r="106">
          <cell r="A106" t="str">
            <v>B0211</v>
          </cell>
          <cell r="B106" t="str">
            <v>BUENOS AIRES</v>
          </cell>
          <cell r="C106" t="str">
            <v>AYACUCHO</v>
          </cell>
          <cell r="D106" t="str">
            <v>AYACUCHO</v>
          </cell>
          <cell r="E106" t="str">
            <v>PTE H YRIGOYEN</v>
          </cell>
          <cell r="F106">
            <v>744</v>
          </cell>
          <cell r="H106" t="str">
            <v>AYACUCHO</v>
          </cell>
          <cell r="I106" t="str">
            <v>B7150ZAA</v>
          </cell>
        </row>
        <row r="107">
          <cell r="A107" t="str">
            <v>B0213</v>
          </cell>
          <cell r="B107" t="str">
            <v>BUENOS AIRES</v>
          </cell>
          <cell r="C107" t="str">
            <v>BERISSO</v>
          </cell>
          <cell r="D107" t="str">
            <v>BERISSO</v>
          </cell>
          <cell r="E107" t="str">
            <v>CALLAO</v>
          </cell>
          <cell r="F107">
            <v>4419</v>
          </cell>
          <cell r="H107" t="str">
            <v>BERISSO</v>
          </cell>
          <cell r="I107" t="str">
            <v>B1923ZAA</v>
          </cell>
        </row>
        <row r="108">
          <cell r="A108" t="str">
            <v>B0214</v>
          </cell>
          <cell r="B108" t="str">
            <v>BUENOS AIRES</v>
          </cell>
          <cell r="C108" t="str">
            <v>BENITO JUAREZ</v>
          </cell>
          <cell r="D108" t="str">
            <v>VILLA CACIQUE</v>
          </cell>
          <cell r="E108" t="str">
            <v>URUGUAY</v>
          </cell>
          <cell r="F108">
            <v>120</v>
          </cell>
          <cell r="H108" t="str">
            <v>VILLA CACIQUE</v>
          </cell>
          <cell r="I108" t="str">
            <v>B7005ZAA</v>
          </cell>
        </row>
        <row r="109">
          <cell r="A109" t="str">
            <v>B0215</v>
          </cell>
          <cell r="B109" t="str">
            <v>BUENOS AIRES</v>
          </cell>
          <cell r="C109" t="str">
            <v>CAÃ‘UELAS</v>
          </cell>
          <cell r="D109" t="str">
            <v>CAÃ‘UELAS</v>
          </cell>
          <cell r="E109" t="str">
            <v>SAN MARTIN</v>
          </cell>
          <cell r="F109">
            <v>466</v>
          </cell>
          <cell r="H109" t="str">
            <v>CAÃ‘UELAS</v>
          </cell>
          <cell r="I109" t="str">
            <v>B1814ZAA</v>
          </cell>
        </row>
        <row r="110">
          <cell r="A110" t="str">
            <v>B0216</v>
          </cell>
          <cell r="B110" t="str">
            <v>BUENOS AIRES</v>
          </cell>
          <cell r="C110" t="str">
            <v>AZUL</v>
          </cell>
          <cell r="D110" t="str">
            <v>CACHARI</v>
          </cell>
          <cell r="E110" t="str">
            <v>MANUEL BELGRANO</v>
          </cell>
          <cell r="F110">
            <v>1611</v>
          </cell>
          <cell r="H110" t="str">
            <v>CACHARI</v>
          </cell>
          <cell r="I110" t="str">
            <v>B7214ZAA</v>
          </cell>
        </row>
        <row r="111">
          <cell r="A111" t="str">
            <v>B0218</v>
          </cell>
          <cell r="B111" t="str">
            <v>BUENOS AIRES</v>
          </cell>
          <cell r="C111" t="str">
            <v>CASTELLI</v>
          </cell>
          <cell r="D111" t="str">
            <v>CASTELLI</v>
          </cell>
          <cell r="E111" t="str">
            <v>RIVADAVIA</v>
          </cell>
          <cell r="F111">
            <v>210</v>
          </cell>
          <cell r="H111" t="str">
            <v>CASTELLI</v>
          </cell>
          <cell r="I111" t="str">
            <v>B7114ZAA</v>
          </cell>
        </row>
        <row r="112">
          <cell r="A112" t="str">
            <v>B0220</v>
          </cell>
          <cell r="B112" t="str">
            <v>BUENOS AIRES</v>
          </cell>
          <cell r="C112" t="str">
            <v>CHASCOMUS</v>
          </cell>
          <cell r="D112" t="str">
            <v>CHASCOMUS</v>
          </cell>
          <cell r="E112" t="str">
            <v>DORREGO</v>
          </cell>
          <cell r="F112">
            <v>211</v>
          </cell>
          <cell r="H112" t="str">
            <v>CHASCOMUS</v>
          </cell>
          <cell r="I112" t="str">
            <v>B7130ZAA</v>
          </cell>
        </row>
        <row r="113">
          <cell r="A113" t="str">
            <v>B0222</v>
          </cell>
          <cell r="B113" t="str">
            <v>BUENOS AIRES</v>
          </cell>
          <cell r="C113" t="str">
            <v>LA PLATA</v>
          </cell>
          <cell r="D113" t="str">
            <v>CITY BELL</v>
          </cell>
          <cell r="E113" t="str">
            <v>CALLE 473 BIS</v>
          </cell>
          <cell r="F113">
            <v>1357</v>
          </cell>
          <cell r="H113" t="str">
            <v>CITY BELL</v>
          </cell>
          <cell r="I113" t="str">
            <v>B1896ZAA</v>
          </cell>
        </row>
        <row r="114">
          <cell r="A114" t="str">
            <v>B0224</v>
          </cell>
          <cell r="B114" t="str">
            <v>BUENOS AIRES</v>
          </cell>
          <cell r="C114" t="str">
            <v>BRANDSEN</v>
          </cell>
          <cell r="D114" t="str">
            <v>BRANDSEN</v>
          </cell>
          <cell r="E114" t="str">
            <v>AV ITUZAINGO</v>
          </cell>
          <cell r="F114">
            <v>1167</v>
          </cell>
          <cell r="H114" t="str">
            <v>CORONEL BRANDSEN</v>
          </cell>
          <cell r="I114" t="str">
            <v>B1980ZAA</v>
          </cell>
        </row>
        <row r="115">
          <cell r="A115" t="str">
            <v>B0228</v>
          </cell>
          <cell r="B115" t="str">
            <v>BUENOS AIRES</v>
          </cell>
          <cell r="C115" t="str">
            <v>DOLORES</v>
          </cell>
          <cell r="D115" t="str">
            <v>DOLORES</v>
          </cell>
          <cell r="E115" t="str">
            <v>BUENOS AIRES</v>
          </cell>
          <cell r="F115">
            <v>132</v>
          </cell>
          <cell r="H115" t="str">
            <v>DOLORES</v>
          </cell>
          <cell r="I115" t="str">
            <v>B7100ZAA</v>
          </cell>
        </row>
        <row r="116">
          <cell r="A116" t="str">
            <v>B0232</v>
          </cell>
          <cell r="B116" t="str">
            <v>BUENOS AIRES</v>
          </cell>
          <cell r="C116" t="str">
            <v>ENSENADA</v>
          </cell>
          <cell r="D116" t="str">
            <v>ENSENADA</v>
          </cell>
          <cell r="E116" t="str">
            <v>NUESTRA SRA DE LA MERCED</v>
          </cell>
          <cell r="F116">
            <v>110</v>
          </cell>
          <cell r="H116" t="str">
            <v>ENSENADA</v>
          </cell>
          <cell r="I116" t="str">
            <v>B1925ZAA</v>
          </cell>
        </row>
        <row r="117">
          <cell r="A117" t="str">
            <v>B0234</v>
          </cell>
          <cell r="B117" t="str">
            <v>BUENOS AIRES</v>
          </cell>
          <cell r="C117" t="str">
            <v>ENSENADA</v>
          </cell>
          <cell r="D117" t="str">
            <v>ESC NAV MILITAR RIO SANTIAGO</v>
          </cell>
          <cell r="E117" t="str">
            <v>ESCUELA NAVAL RIO SANTIAGO</v>
          </cell>
          <cell r="H117" t="str">
            <v>ESCUELA NAVAL RIO SANTIAGO</v>
          </cell>
          <cell r="I117" t="str">
            <v>B1927ZAA</v>
          </cell>
        </row>
        <row r="118">
          <cell r="A118" t="str">
            <v>B0236</v>
          </cell>
          <cell r="B118" t="str">
            <v>BUENOS AIRES</v>
          </cell>
          <cell r="C118" t="str">
            <v>GENERAL ALVEAR</v>
          </cell>
          <cell r="D118" t="str">
            <v>GENERAL ALVEAR</v>
          </cell>
          <cell r="E118" t="str">
            <v>AV GRAL SAN MARTIN</v>
          </cell>
          <cell r="F118">
            <v>1191</v>
          </cell>
          <cell r="H118" t="str">
            <v>GENERAL ALVEAR</v>
          </cell>
          <cell r="I118" t="str">
            <v>B7263ZAA</v>
          </cell>
        </row>
        <row r="119">
          <cell r="A119" t="str">
            <v>B0238</v>
          </cell>
          <cell r="B119" t="str">
            <v>BUENOS AIRES</v>
          </cell>
          <cell r="C119" t="str">
            <v>GENERAL BELGRANO</v>
          </cell>
          <cell r="D119" t="str">
            <v>GENERAL BELGRANO</v>
          </cell>
          <cell r="E119" t="str">
            <v>AV LARREA</v>
          </cell>
          <cell r="F119">
            <v>632</v>
          </cell>
          <cell r="H119" t="str">
            <v>GRAL. BELGRANO</v>
          </cell>
          <cell r="I119" t="str">
            <v>B7223ZAA</v>
          </cell>
        </row>
        <row r="120">
          <cell r="A120" t="str">
            <v>B0240</v>
          </cell>
          <cell r="B120" t="str">
            <v>BUENOS AIRES</v>
          </cell>
          <cell r="C120" t="str">
            <v>TORDILLO</v>
          </cell>
          <cell r="D120" t="str">
            <v>GENERAL CONESA</v>
          </cell>
          <cell r="E120" t="str">
            <v>BDIER J M DE ROSAS</v>
          </cell>
          <cell r="F120">
            <v>86</v>
          </cell>
          <cell r="H120" t="str">
            <v>GRAL. CONESA</v>
          </cell>
          <cell r="I120" t="str">
            <v>B7101ZAA</v>
          </cell>
        </row>
        <row r="121">
          <cell r="A121" t="str">
            <v>B0242</v>
          </cell>
          <cell r="B121" t="str">
            <v>BUENOS AIRES</v>
          </cell>
          <cell r="C121" t="str">
            <v>PRESIDENTE PERON</v>
          </cell>
          <cell r="D121" t="str">
            <v>GUERNICA</v>
          </cell>
          <cell r="E121" t="str">
            <v>CALLE 5</v>
          </cell>
          <cell r="F121">
            <v>260</v>
          </cell>
          <cell r="H121" t="str">
            <v>GUERNICA</v>
          </cell>
          <cell r="I121" t="str">
            <v>B1862ZAA</v>
          </cell>
        </row>
        <row r="122">
          <cell r="A122" t="str">
            <v>B0244</v>
          </cell>
          <cell r="B122" t="str">
            <v>BUENOS AIRES</v>
          </cell>
          <cell r="C122" t="str">
            <v>BRANDSEN</v>
          </cell>
          <cell r="D122" t="str">
            <v>JEPPENER</v>
          </cell>
          <cell r="E122" t="str">
            <v>GRAL SAN MARTIN</v>
          </cell>
          <cell r="F122">
            <v>562</v>
          </cell>
          <cell r="H122" t="str">
            <v>JEPPENER</v>
          </cell>
          <cell r="I122" t="str">
            <v>B1986ZAA</v>
          </cell>
        </row>
        <row r="123">
          <cell r="A123" t="str">
            <v>B0246</v>
          </cell>
          <cell r="B123" t="str">
            <v>BUENOS AIRES</v>
          </cell>
          <cell r="C123" t="str">
            <v>LA COSTA</v>
          </cell>
          <cell r="D123" t="str">
            <v>LAS TONINAS</v>
          </cell>
          <cell r="E123" t="str">
            <v>AV 26</v>
          </cell>
          <cell r="F123">
            <v>899</v>
          </cell>
          <cell r="H123" t="str">
            <v>LAS TONINAS</v>
          </cell>
          <cell r="I123" t="str">
            <v>B7106ZAA</v>
          </cell>
        </row>
        <row r="124">
          <cell r="A124" t="str">
            <v>B0262</v>
          </cell>
          <cell r="B124" t="str">
            <v>BUENOS AIRES</v>
          </cell>
          <cell r="C124" t="str">
            <v>LAS FLORES</v>
          </cell>
          <cell r="D124" t="str">
            <v>LAS FLORES</v>
          </cell>
          <cell r="E124" t="str">
            <v>AV AVELLANEDA</v>
          </cell>
          <cell r="F124">
            <v>564</v>
          </cell>
          <cell r="H124" t="str">
            <v>LAS FLORES</v>
          </cell>
          <cell r="I124" t="str">
            <v>B7200ZAA</v>
          </cell>
        </row>
        <row r="125">
          <cell r="A125" t="str">
            <v>B0264</v>
          </cell>
          <cell r="B125" t="str">
            <v>BUENOS AIRES</v>
          </cell>
          <cell r="C125" t="str">
            <v>GENERAL LAS HERAS</v>
          </cell>
          <cell r="D125" t="str">
            <v>GENERAL LAS HERAS</v>
          </cell>
          <cell r="E125" t="str">
            <v>LAS HERAS</v>
          </cell>
          <cell r="F125">
            <v>969</v>
          </cell>
          <cell r="H125" t="str">
            <v>GRAL. LAS HERAS</v>
          </cell>
          <cell r="I125" t="str">
            <v>B1741ZAA</v>
          </cell>
        </row>
        <row r="126">
          <cell r="A126" t="str">
            <v>B0266</v>
          </cell>
          <cell r="B126" t="str">
            <v>BUENOS AIRES</v>
          </cell>
          <cell r="C126" t="str">
            <v>LEZAMA</v>
          </cell>
          <cell r="D126" t="str">
            <v>LEZAMA</v>
          </cell>
          <cell r="E126" t="str">
            <v>DOMINGO LASTRA</v>
          </cell>
          <cell r="F126">
            <v>132</v>
          </cell>
          <cell r="H126" t="str">
            <v>LEZAMA</v>
          </cell>
          <cell r="I126" t="str">
            <v>B7116ZAA</v>
          </cell>
        </row>
        <row r="127">
          <cell r="A127" t="str">
            <v>B0268</v>
          </cell>
          <cell r="B127" t="str">
            <v>BUENOS AIRES</v>
          </cell>
          <cell r="C127" t="str">
            <v>LA PLATA</v>
          </cell>
          <cell r="D127" t="str">
            <v>LISANDRO OLMOS ETCHEVERRY</v>
          </cell>
          <cell r="E127" t="str">
            <v>AV 44</v>
          </cell>
          <cell r="F127">
            <v>5278</v>
          </cell>
          <cell r="H127" t="str">
            <v>LISANDRO OLMOS</v>
          </cell>
          <cell r="I127" t="str">
            <v>B1901ZAA</v>
          </cell>
        </row>
        <row r="128">
          <cell r="A128" t="str">
            <v>B0270</v>
          </cell>
          <cell r="B128" t="str">
            <v>BUENOS AIRES</v>
          </cell>
          <cell r="C128" t="str">
            <v>LOBOS</v>
          </cell>
          <cell r="D128" t="str">
            <v>LOBOS</v>
          </cell>
          <cell r="E128" t="str">
            <v>CHACABUCO</v>
          </cell>
          <cell r="F128">
            <v>299</v>
          </cell>
          <cell r="H128" t="str">
            <v>LOBOS</v>
          </cell>
          <cell r="I128" t="str">
            <v>B7240ZAA</v>
          </cell>
        </row>
        <row r="129">
          <cell r="A129" t="str">
            <v>B0272</v>
          </cell>
          <cell r="B129" t="str">
            <v>BUENOS AIRES</v>
          </cell>
          <cell r="C129" t="str">
            <v>LA PLATA</v>
          </cell>
          <cell r="D129" t="str">
            <v>MELCHOR ROMERO</v>
          </cell>
          <cell r="E129" t="str">
            <v>CALLE 519</v>
          </cell>
          <cell r="F129">
            <v>7476</v>
          </cell>
          <cell r="H129" t="str">
            <v>MELCHOR ROMERO</v>
          </cell>
          <cell r="I129" t="str">
            <v>B1903ZAA</v>
          </cell>
        </row>
        <row r="130">
          <cell r="A130" t="str">
            <v>B0274</v>
          </cell>
          <cell r="B130" t="str">
            <v>BUENOS AIRES</v>
          </cell>
          <cell r="C130" t="str">
            <v>MAGDALENA</v>
          </cell>
          <cell r="D130" t="str">
            <v>MAGDALENA</v>
          </cell>
          <cell r="E130" t="str">
            <v>DR PEDRO GOENAGA</v>
          </cell>
          <cell r="F130">
            <v>811</v>
          </cell>
          <cell r="H130" t="str">
            <v>MAGDALENA</v>
          </cell>
          <cell r="I130" t="str">
            <v>B1913ZAA</v>
          </cell>
        </row>
        <row r="131">
          <cell r="A131" t="str">
            <v>B0276</v>
          </cell>
          <cell r="B131" t="str">
            <v>BUENOS AIRES</v>
          </cell>
          <cell r="C131" t="str">
            <v>MARCOS PAZ</v>
          </cell>
          <cell r="D131" t="str">
            <v>MARCOS PAZ</v>
          </cell>
          <cell r="E131" t="str">
            <v>DR MANUEL BELGRANO</v>
          </cell>
          <cell r="F131">
            <v>2097</v>
          </cell>
          <cell r="H131" t="str">
            <v>MARCOS PAZ</v>
          </cell>
          <cell r="I131" t="str">
            <v>B1727ZAA</v>
          </cell>
        </row>
        <row r="132">
          <cell r="A132" t="str">
            <v>B0278</v>
          </cell>
          <cell r="B132" t="str">
            <v>BUENOS AIRES</v>
          </cell>
          <cell r="C132" t="str">
            <v>MONTE</v>
          </cell>
          <cell r="D132" t="str">
            <v>SAN MIGUEL DEL MONTE</v>
          </cell>
          <cell r="E132" t="str">
            <v>JOSE AICARDI</v>
          </cell>
          <cell r="F132">
            <v>878</v>
          </cell>
          <cell r="H132" t="str">
            <v>SAN MIGUEL DEL MONTE</v>
          </cell>
          <cell r="I132" t="str">
            <v>B7220ZAA</v>
          </cell>
        </row>
        <row r="133">
          <cell r="A133" t="str">
            <v>B0280</v>
          </cell>
          <cell r="B133" t="str">
            <v>BUENOS AIRES</v>
          </cell>
          <cell r="C133" t="str">
            <v>LA PLATA</v>
          </cell>
          <cell r="D133" t="str">
            <v>MANUEL B GONNET</v>
          </cell>
          <cell r="E133" t="str">
            <v>CALLE 502</v>
          </cell>
          <cell r="F133">
            <v>2032</v>
          </cell>
          <cell r="H133" t="str">
            <v>MANUEL B. GONNET</v>
          </cell>
          <cell r="I133" t="str">
            <v>B1897ZAA</v>
          </cell>
        </row>
        <row r="134">
          <cell r="A134" t="str">
            <v>B0300</v>
          </cell>
          <cell r="B134" t="str">
            <v>BUENOS AIRES</v>
          </cell>
          <cell r="C134" t="str">
            <v>MERCEDES</v>
          </cell>
          <cell r="D134" t="str">
            <v>MERCEDES</v>
          </cell>
          <cell r="E134" t="str">
            <v>AV 29</v>
          </cell>
          <cell r="F134">
            <v>645</v>
          </cell>
          <cell r="H134" t="str">
            <v>MERCEDES</v>
          </cell>
          <cell r="I134" t="str">
            <v>B6600ZAA</v>
          </cell>
        </row>
        <row r="135">
          <cell r="A135" t="str">
            <v>B0305</v>
          </cell>
          <cell r="B135" t="str">
            <v>BUENOS AIRES</v>
          </cell>
          <cell r="C135" t="str">
            <v>GENERAL VILLEGAS</v>
          </cell>
          <cell r="D135" t="str">
            <v>VILLA SAUZE</v>
          </cell>
          <cell r="E135" t="str">
            <v>CORDOBA</v>
          </cell>
          <cell r="F135">
            <v>187</v>
          </cell>
          <cell r="H135" t="str">
            <v>VILLA SAUZE</v>
          </cell>
          <cell r="I135" t="str">
            <v>B6235ZAA</v>
          </cell>
        </row>
        <row r="136">
          <cell r="A136" t="str">
            <v>B0307</v>
          </cell>
          <cell r="B136" t="str">
            <v>BUENOS AIRES</v>
          </cell>
          <cell r="C136" t="str">
            <v>ALBERTI</v>
          </cell>
          <cell r="D136" t="str">
            <v>ALBERTI</v>
          </cell>
          <cell r="E136" t="str">
            <v>SAN MARTIN</v>
          </cell>
          <cell r="F136">
            <v>152</v>
          </cell>
          <cell r="H136" t="str">
            <v>ALBERTI</v>
          </cell>
          <cell r="I136" t="str">
            <v>B6634ZAA</v>
          </cell>
        </row>
        <row r="137">
          <cell r="A137" t="str">
            <v>B0308</v>
          </cell>
          <cell r="B137" t="str">
            <v>BUENOS AIRES</v>
          </cell>
          <cell r="C137" t="str">
            <v>FLORENTINO AMEGHINO</v>
          </cell>
          <cell r="D137" t="str">
            <v>FLORENTINO AMEGHINO</v>
          </cell>
          <cell r="E137" t="str">
            <v>CALLE 9</v>
          </cell>
          <cell r="F137">
            <v>670</v>
          </cell>
          <cell r="H137" t="str">
            <v>AMEGHINO</v>
          </cell>
          <cell r="I137" t="str">
            <v>B6064ZAA</v>
          </cell>
        </row>
        <row r="138">
          <cell r="A138" t="str">
            <v>B0309</v>
          </cell>
          <cell r="B138" t="str">
            <v>BUENOS AIRES</v>
          </cell>
          <cell r="C138" t="str">
            <v>RIVADAVIA</v>
          </cell>
          <cell r="D138" t="str">
            <v>AMERICA</v>
          </cell>
          <cell r="E138" t="str">
            <v>VIAMONTE</v>
          </cell>
          <cell r="F138">
            <v>221</v>
          </cell>
          <cell r="H138" t="str">
            <v>AMERICA</v>
          </cell>
          <cell r="I138" t="str">
            <v>B6237ZAA</v>
          </cell>
        </row>
        <row r="139">
          <cell r="A139" t="str">
            <v>B0310</v>
          </cell>
          <cell r="B139" t="str">
            <v>BUENOS AIRES</v>
          </cell>
          <cell r="C139" t="str">
            <v>LINCOLN</v>
          </cell>
          <cell r="D139" t="str">
            <v>ARENAZA</v>
          </cell>
          <cell r="E139" t="str">
            <v>MALVINAS ARGENTINAS</v>
          </cell>
          <cell r="F139">
            <v>264</v>
          </cell>
          <cell r="H139" t="str">
            <v>ARENAZA</v>
          </cell>
          <cell r="I139" t="str">
            <v>B6075ZAA</v>
          </cell>
        </row>
        <row r="140">
          <cell r="A140" t="str">
            <v>B0311</v>
          </cell>
          <cell r="B140" t="str">
            <v>BUENOS AIRES</v>
          </cell>
          <cell r="C140" t="str">
            <v>GENERAL ARENALES</v>
          </cell>
          <cell r="D140" t="str">
            <v>ARRIBEÃ‘OS</v>
          </cell>
          <cell r="E140" t="str">
            <v>DOMINGO SARMIENTO</v>
          </cell>
          <cell r="F140">
            <v>30</v>
          </cell>
          <cell r="H140" t="str">
            <v>ARRIBEÃ‘OS</v>
          </cell>
          <cell r="I140" t="str">
            <v>B6007ZAA</v>
          </cell>
        </row>
        <row r="141">
          <cell r="A141" t="str">
            <v>B0312</v>
          </cell>
          <cell r="B141" t="str">
            <v>BUENOS AIRES</v>
          </cell>
          <cell r="C141" t="str">
            <v>SALTO</v>
          </cell>
          <cell r="D141" t="str">
            <v>ARROYO DULCE</v>
          </cell>
          <cell r="E141" t="str">
            <v>AV RIVADAVIA</v>
          </cell>
          <cell r="F141">
            <v>0</v>
          </cell>
          <cell r="H141" t="str">
            <v>ARROYO DULCE</v>
          </cell>
          <cell r="I141" t="str">
            <v>B2743ZAA</v>
          </cell>
        </row>
        <row r="142">
          <cell r="A142" t="str">
            <v>B0313</v>
          </cell>
          <cell r="B142" t="str">
            <v>BUENOS AIRES</v>
          </cell>
          <cell r="C142" t="str">
            <v>GENERAL ARENALES</v>
          </cell>
          <cell r="D142" t="str">
            <v>ASCENCION</v>
          </cell>
          <cell r="E142" t="str">
            <v>AV LIBERTAD</v>
          </cell>
          <cell r="F142">
            <v>36</v>
          </cell>
          <cell r="H142" t="str">
            <v>ASCENSION</v>
          </cell>
          <cell r="I142" t="str">
            <v>B6003ZAA</v>
          </cell>
        </row>
        <row r="143">
          <cell r="A143" t="str">
            <v>B0314</v>
          </cell>
          <cell r="B143" t="str">
            <v>BUENOS AIRES</v>
          </cell>
          <cell r="C143" t="str">
            <v>GENERAL VIAMONTE</v>
          </cell>
          <cell r="D143" t="str">
            <v>BAIGORRITA</v>
          </cell>
          <cell r="E143" t="str">
            <v>GRAL SAN MARTIN</v>
          </cell>
          <cell r="F143">
            <v>206</v>
          </cell>
          <cell r="H143" t="str">
            <v>BAIGORRITA</v>
          </cell>
          <cell r="I143" t="str">
            <v>B6013ZAA</v>
          </cell>
        </row>
        <row r="144">
          <cell r="A144" t="str">
            <v>B0315</v>
          </cell>
          <cell r="B144" t="str">
            <v>BUENOS AIRES</v>
          </cell>
          <cell r="C144" t="str">
            <v>GENERAL VILLEGAS</v>
          </cell>
          <cell r="D144" t="str">
            <v>BANDERALO</v>
          </cell>
          <cell r="E144" t="str">
            <v>1 DE SEPTIEMBRE</v>
          </cell>
          <cell r="F144">
            <v>105</v>
          </cell>
          <cell r="H144" t="str">
            <v>BANDERALO</v>
          </cell>
          <cell r="I144" t="str">
            <v>B6244ZAA</v>
          </cell>
        </row>
        <row r="145">
          <cell r="A145" t="str">
            <v>B0316</v>
          </cell>
          <cell r="B145" t="str">
            <v>BUENOS AIRES</v>
          </cell>
          <cell r="C145" t="str">
            <v>LINCOLN</v>
          </cell>
          <cell r="D145" t="str">
            <v>BAYAUCA</v>
          </cell>
          <cell r="E145" t="str">
            <v>15 DE MAYO</v>
          </cell>
          <cell r="F145">
            <v>0</v>
          </cell>
          <cell r="H145" t="str">
            <v>BAYAUCA</v>
          </cell>
          <cell r="I145" t="str">
            <v>B6078ZAA</v>
          </cell>
        </row>
        <row r="146">
          <cell r="A146" t="str">
            <v>B0317</v>
          </cell>
          <cell r="B146" t="str">
            <v>BUENOS AIRES</v>
          </cell>
          <cell r="C146" t="str">
            <v>TRENQUE LAUQUEN</v>
          </cell>
          <cell r="D146" t="str">
            <v>BERUTI</v>
          </cell>
          <cell r="E146" t="str">
            <v>GRAL CORNELIO SAAVEDRA</v>
          </cell>
          <cell r="F146">
            <v>551</v>
          </cell>
          <cell r="H146" t="str">
            <v>BERUTTI</v>
          </cell>
          <cell r="I146" t="str">
            <v>B6424ZAA</v>
          </cell>
        </row>
        <row r="147">
          <cell r="A147" t="str">
            <v>B0318</v>
          </cell>
          <cell r="B147" t="str">
            <v>BUENOS AIRES</v>
          </cell>
          <cell r="C147" t="str">
            <v>FLORENTINO AMEGHINO</v>
          </cell>
          <cell r="D147" t="str">
            <v>BLAQUIER</v>
          </cell>
          <cell r="E147" t="str">
            <v>CORDOBA</v>
          </cell>
          <cell r="F147">
            <v>174</v>
          </cell>
          <cell r="H147" t="str">
            <v>BLAQUIER</v>
          </cell>
          <cell r="I147" t="str">
            <v>B6065ZAA</v>
          </cell>
        </row>
        <row r="148">
          <cell r="A148" t="str">
            <v>B0319</v>
          </cell>
          <cell r="B148" t="str">
            <v>BUENOS AIRES</v>
          </cell>
          <cell r="C148" t="str">
            <v>BOLIVAR</v>
          </cell>
          <cell r="D148" t="str">
            <v>BOLIVAR</v>
          </cell>
          <cell r="E148" t="str">
            <v>GRAL ALVEAR</v>
          </cell>
          <cell r="F148">
            <v>202</v>
          </cell>
          <cell r="H148" t="str">
            <v>BOLIVAR</v>
          </cell>
          <cell r="I148" t="str">
            <v>B6550ZAA</v>
          </cell>
        </row>
        <row r="149">
          <cell r="A149" t="str">
            <v>B0320</v>
          </cell>
          <cell r="B149" t="str">
            <v>BUENOS AIRES</v>
          </cell>
          <cell r="C149" t="str">
            <v>BRAGADO</v>
          </cell>
          <cell r="D149" t="str">
            <v>BRAGADO</v>
          </cell>
          <cell r="E149" t="str">
            <v>DR MANUEL BELGRANO</v>
          </cell>
          <cell r="F149">
            <v>1101</v>
          </cell>
          <cell r="H149" t="str">
            <v>BRAGADO</v>
          </cell>
          <cell r="I149" t="str">
            <v>B6640ZAA</v>
          </cell>
        </row>
        <row r="150">
          <cell r="A150" t="str">
            <v>B0321</v>
          </cell>
          <cell r="B150" t="str">
            <v>BUENOS AIRES</v>
          </cell>
          <cell r="C150" t="str">
            <v>GENERAL VILLEGAS</v>
          </cell>
          <cell r="D150" t="str">
            <v>CAÃ‘ADA SECA</v>
          </cell>
          <cell r="E150" t="str">
            <v>JUAN B ALBERDI</v>
          </cell>
          <cell r="F150">
            <v>317</v>
          </cell>
          <cell r="H150" t="str">
            <v>CAÃ‘ADA SECA</v>
          </cell>
          <cell r="I150" t="str">
            <v>B6105ZAA</v>
          </cell>
        </row>
        <row r="151">
          <cell r="A151" t="str">
            <v>B0322</v>
          </cell>
          <cell r="B151" t="str">
            <v>BUENOS AIRES</v>
          </cell>
          <cell r="C151" t="str">
            <v>CARLOS CASARES</v>
          </cell>
          <cell r="D151" t="str">
            <v>CARLOS CASARES</v>
          </cell>
          <cell r="E151" t="str">
            <v>AV ANTONIO MAYA</v>
          </cell>
          <cell r="F151">
            <v>253</v>
          </cell>
          <cell r="H151" t="str">
            <v>CARLOS CASARES</v>
          </cell>
          <cell r="I151" t="str">
            <v>B6530ZAA</v>
          </cell>
        </row>
        <row r="152">
          <cell r="A152" t="str">
            <v>B0323</v>
          </cell>
          <cell r="B152" t="str">
            <v>BUENOS AIRES</v>
          </cell>
          <cell r="C152" t="str">
            <v>9 DE JULIO</v>
          </cell>
          <cell r="D152" t="str">
            <v>CARLOS MARIA NAON</v>
          </cell>
          <cell r="E152" t="str">
            <v>11 DE NOVIEMBRE</v>
          </cell>
          <cell r="F152">
            <v>0</v>
          </cell>
          <cell r="H152" t="str">
            <v>CARLOS M. NAON</v>
          </cell>
          <cell r="I152" t="str">
            <v>B6515ZAA</v>
          </cell>
        </row>
        <row r="153">
          <cell r="A153" t="str">
            <v>B0324</v>
          </cell>
          <cell r="B153" t="str">
            <v>BUENOS AIRES</v>
          </cell>
          <cell r="C153" t="str">
            <v>CARLOS TEJEDOR</v>
          </cell>
          <cell r="D153" t="str">
            <v>CARLOS TEJEDOR</v>
          </cell>
          <cell r="E153" t="str">
            <v>ESTEBAN Y SGO GARRE</v>
          </cell>
          <cell r="F153">
            <v>251</v>
          </cell>
          <cell r="H153" t="str">
            <v>CARLOS TEJEDOR</v>
          </cell>
          <cell r="I153" t="str">
            <v>B6455ZAA</v>
          </cell>
        </row>
        <row r="154">
          <cell r="A154" t="str">
            <v>B0325</v>
          </cell>
          <cell r="B154" t="str">
            <v>BUENOS AIRES</v>
          </cell>
          <cell r="C154" t="str">
            <v>CARMEN DE ARECO</v>
          </cell>
          <cell r="D154" t="str">
            <v>CARMEN DE ARECO</v>
          </cell>
          <cell r="E154" t="str">
            <v>AV DOMINGO SARMIENTO</v>
          </cell>
          <cell r="F154">
            <v>621</v>
          </cell>
          <cell r="H154" t="str">
            <v>CARMEN DE ARECO</v>
          </cell>
          <cell r="I154" t="str">
            <v>B6725ZAA</v>
          </cell>
        </row>
        <row r="155">
          <cell r="A155" t="str">
            <v>B0327</v>
          </cell>
          <cell r="B155" t="str">
            <v>BUENOS AIRES</v>
          </cell>
          <cell r="C155" t="str">
            <v>CHACABUCO</v>
          </cell>
          <cell r="D155" t="str">
            <v>CHACABUCO</v>
          </cell>
          <cell r="E155" t="str">
            <v>JUAN B ALBERDI</v>
          </cell>
          <cell r="F155">
            <v>57</v>
          </cell>
          <cell r="H155" t="str">
            <v>CHACABUCO</v>
          </cell>
          <cell r="I155" t="str">
            <v>B6740ZAA</v>
          </cell>
        </row>
        <row r="156">
          <cell r="A156" t="str">
            <v>B0328</v>
          </cell>
          <cell r="B156" t="str">
            <v>BUENOS AIRES</v>
          </cell>
          <cell r="C156" t="str">
            <v>CHIVILCOY</v>
          </cell>
          <cell r="D156" t="str">
            <v>CHIVILCOY</v>
          </cell>
          <cell r="E156" t="str">
            <v>MANUEL BELGRANO</v>
          </cell>
          <cell r="F156">
            <v>7</v>
          </cell>
          <cell r="H156" t="str">
            <v>CHIVILCOY</v>
          </cell>
          <cell r="I156" t="str">
            <v>B6620ZAA</v>
          </cell>
        </row>
        <row r="157">
          <cell r="A157" t="str">
            <v>B0330</v>
          </cell>
          <cell r="B157" t="str">
            <v>BUENOS AIRES</v>
          </cell>
          <cell r="C157" t="str">
            <v>GENERAL VILLEGAS</v>
          </cell>
          <cell r="D157" t="str">
            <v>CORONEL CHARLONE</v>
          </cell>
          <cell r="E157" t="str">
            <v>CNEL ANZOATEGUI</v>
          </cell>
          <cell r="F157">
            <v>0</v>
          </cell>
          <cell r="H157" t="str">
            <v>CNEL. CHARLONE</v>
          </cell>
          <cell r="I157" t="str">
            <v>B6223ZAA</v>
          </cell>
        </row>
        <row r="158">
          <cell r="A158" t="str">
            <v>B0331</v>
          </cell>
          <cell r="B158" t="str">
            <v>BUENOS AIRES</v>
          </cell>
          <cell r="C158" t="str">
            <v>GENERAL PINTO</v>
          </cell>
          <cell r="D158" t="str">
            <v>CORONEL GRANADA</v>
          </cell>
          <cell r="E158" t="str">
            <v>ALMAFUERTE</v>
          </cell>
          <cell r="F158">
            <v>0</v>
          </cell>
          <cell r="H158" t="str">
            <v>CNEL. GRANADA</v>
          </cell>
          <cell r="I158" t="str">
            <v>B6062ZAA</v>
          </cell>
        </row>
        <row r="159">
          <cell r="A159" t="str">
            <v>B0332</v>
          </cell>
          <cell r="B159" t="str">
            <v>BUENOS AIRES</v>
          </cell>
          <cell r="C159" t="str">
            <v>ALBERTI</v>
          </cell>
          <cell r="D159" t="str">
            <v>CORONEL MOM</v>
          </cell>
          <cell r="E159" t="str">
            <v>SUIPACHA</v>
          </cell>
          <cell r="F159">
            <v>245</v>
          </cell>
          <cell r="H159" t="str">
            <v>CORONEL MOM</v>
          </cell>
          <cell r="I159" t="str">
            <v>B6628ZAA</v>
          </cell>
        </row>
        <row r="160">
          <cell r="A160" t="str">
            <v>B0333</v>
          </cell>
          <cell r="B160" t="str">
            <v>BUENOS AIRES</v>
          </cell>
          <cell r="C160" t="str">
            <v>25 DE MAYO</v>
          </cell>
          <cell r="D160" t="str">
            <v>DEL VALLE</v>
          </cell>
          <cell r="E160" t="str">
            <v>GRAL M DE AZCUENAGA</v>
          </cell>
          <cell r="F160">
            <v>0</v>
          </cell>
          <cell r="H160" t="str">
            <v>DEL VALLE</v>
          </cell>
          <cell r="I160" t="str">
            <v>B6509ZAA</v>
          </cell>
        </row>
        <row r="161">
          <cell r="A161" t="str">
            <v>B0334</v>
          </cell>
          <cell r="B161" t="str">
            <v>BUENOS AIRES</v>
          </cell>
          <cell r="C161" t="str">
            <v>9 DE JULIO</v>
          </cell>
          <cell r="D161" t="str">
            <v>DUDIGNAC</v>
          </cell>
          <cell r="E161" t="str">
            <v>DR A SAMPIETRO</v>
          </cell>
          <cell r="F161">
            <v>633</v>
          </cell>
          <cell r="H161" t="str">
            <v>DUDIGNAC</v>
          </cell>
          <cell r="I161" t="str">
            <v>B6505ZAA</v>
          </cell>
        </row>
        <row r="162">
          <cell r="A162" t="str">
            <v>B0335</v>
          </cell>
          <cell r="B162" t="str">
            <v>BUENOS AIRES</v>
          </cell>
          <cell r="C162" t="str">
            <v>LINCOLN</v>
          </cell>
          <cell r="D162" t="str">
            <v>EL TRIUNFO</v>
          </cell>
          <cell r="E162" t="str">
            <v>AV GRAL SAN MARTIN</v>
          </cell>
          <cell r="F162">
            <v>129</v>
          </cell>
          <cell r="H162" t="str">
            <v>EL TRIUNFO</v>
          </cell>
          <cell r="I162" t="str">
            <v>B6073ZAA</v>
          </cell>
        </row>
        <row r="163">
          <cell r="A163" t="str">
            <v>B0336</v>
          </cell>
          <cell r="B163" t="str">
            <v>BUENOS AIRES</v>
          </cell>
          <cell r="C163" t="str">
            <v>GENERAL VILLEGAS</v>
          </cell>
          <cell r="D163" t="str">
            <v>EMILIO BUNGE</v>
          </cell>
          <cell r="E163" t="str">
            <v>AV EMILIO VICENTE BUNGE</v>
          </cell>
          <cell r="F163">
            <v>616</v>
          </cell>
          <cell r="H163" t="str">
            <v>E. V. BUNGE</v>
          </cell>
          <cell r="I163" t="str">
            <v>B6241ZAA</v>
          </cell>
        </row>
        <row r="164">
          <cell r="A164" t="str">
            <v>B0337</v>
          </cell>
          <cell r="B164" t="str">
            <v>BUENOS AIRES</v>
          </cell>
          <cell r="C164" t="str">
            <v>GENERAL ARENALES</v>
          </cell>
          <cell r="D164" t="str">
            <v>FERRE</v>
          </cell>
          <cell r="E164" t="str">
            <v>BUENOS AIRES</v>
          </cell>
          <cell r="F164">
            <v>187</v>
          </cell>
          <cell r="H164" t="str">
            <v>FERRE</v>
          </cell>
          <cell r="I164" t="str">
            <v>B6027ZAA</v>
          </cell>
        </row>
        <row r="165">
          <cell r="A165" t="str">
            <v>B0338</v>
          </cell>
          <cell r="B165" t="str">
            <v>BUENOS AIRES</v>
          </cell>
          <cell r="C165" t="str">
            <v>RIVADAVIA</v>
          </cell>
          <cell r="D165" t="str">
            <v>FORTIN OLAVARRIA</v>
          </cell>
          <cell r="E165" t="str">
            <v>SARMIENTO</v>
          </cell>
          <cell r="F165">
            <v>1</v>
          </cell>
          <cell r="H165" t="str">
            <v>FORTIN OLAVARRIA</v>
          </cell>
          <cell r="I165" t="str">
            <v>B6403ZAA</v>
          </cell>
        </row>
        <row r="166">
          <cell r="A166" t="str">
            <v>B0339</v>
          </cell>
          <cell r="B166" t="str">
            <v>BUENOS AIRES</v>
          </cell>
          <cell r="C166" t="str">
            <v>PEHUAJO</v>
          </cell>
          <cell r="D166" t="str">
            <v>FRANCISCO MADERO</v>
          </cell>
          <cell r="E166" t="str">
            <v>PTE H YRIGOYEN</v>
          </cell>
          <cell r="F166">
            <v>1</v>
          </cell>
          <cell r="H166" t="str">
            <v>FRANCISCO MADERO</v>
          </cell>
          <cell r="I166" t="str">
            <v>B6472ZAA</v>
          </cell>
        </row>
        <row r="167">
          <cell r="A167" t="str">
            <v>B0340</v>
          </cell>
          <cell r="B167" t="str">
            <v>BUENOS AIRES</v>
          </cell>
          <cell r="C167" t="str">
            <v>9 DE JULIO</v>
          </cell>
          <cell r="D167" t="str">
            <v>FRENCH</v>
          </cell>
          <cell r="E167" t="str">
            <v>GRAL SAN MARTIN</v>
          </cell>
          <cell r="F167">
            <v>0</v>
          </cell>
          <cell r="H167" t="str">
            <v>FRENCH</v>
          </cell>
          <cell r="I167" t="str">
            <v>B6516ZAA</v>
          </cell>
        </row>
        <row r="168">
          <cell r="A168" t="str">
            <v>B0341</v>
          </cell>
          <cell r="B168" t="str">
            <v>BUENOS AIRES</v>
          </cell>
          <cell r="C168" t="str">
            <v>GENERAL ARENALES</v>
          </cell>
          <cell r="D168" t="str">
            <v>GENERAL ARENALES</v>
          </cell>
          <cell r="E168" t="str">
            <v>AV DR VALENTIN CURUTCHET</v>
          </cell>
          <cell r="F168">
            <v>145</v>
          </cell>
          <cell r="H168" t="str">
            <v>GRAL. ARENALES</v>
          </cell>
          <cell r="I168" t="str">
            <v>B6005ZAA</v>
          </cell>
        </row>
        <row r="169">
          <cell r="A169" t="str">
            <v>B0342</v>
          </cell>
          <cell r="B169" t="str">
            <v>BUENOS AIRES</v>
          </cell>
          <cell r="C169" t="str">
            <v>BRAGADO</v>
          </cell>
          <cell r="D169" t="str">
            <v>GENERAL O BRIEN</v>
          </cell>
          <cell r="E169" t="str">
            <v>25 DE MAYO</v>
          </cell>
          <cell r="F169">
            <v>48</v>
          </cell>
          <cell r="H169" t="str">
            <v>GENERAL O BRIEN</v>
          </cell>
          <cell r="I169" t="str">
            <v>B6646ZAA</v>
          </cell>
        </row>
        <row r="170">
          <cell r="A170" t="str">
            <v>B0343</v>
          </cell>
          <cell r="B170" t="str">
            <v>BUENOS AIRES</v>
          </cell>
          <cell r="C170" t="str">
            <v>GENERAL PINTO</v>
          </cell>
          <cell r="D170" t="str">
            <v>GENERAL PINTO</v>
          </cell>
          <cell r="E170" t="str">
            <v>AV GRAL SAN MARTIN</v>
          </cell>
          <cell r="F170">
            <v>339</v>
          </cell>
          <cell r="H170" t="str">
            <v>GRAL. PINTO</v>
          </cell>
          <cell r="I170" t="str">
            <v>B6050ZAA</v>
          </cell>
        </row>
        <row r="171">
          <cell r="A171" t="str">
            <v>B0344</v>
          </cell>
          <cell r="B171" t="str">
            <v>BUENOS AIRES</v>
          </cell>
          <cell r="C171" t="str">
            <v>GENERAL RODRIGUEZ</v>
          </cell>
          <cell r="D171" t="str">
            <v>GENERAL RODRIGUEZ</v>
          </cell>
          <cell r="E171" t="str">
            <v>AV DEL LIB G SAN MARTIN</v>
          </cell>
          <cell r="F171">
            <v>233</v>
          </cell>
          <cell r="H171" t="str">
            <v>GRAL. RODRIGUEZ</v>
          </cell>
          <cell r="I171" t="str">
            <v>B1748ZAA</v>
          </cell>
        </row>
        <row r="172">
          <cell r="A172" t="str">
            <v>B0345</v>
          </cell>
          <cell r="B172" t="str">
            <v>BUENOS AIRES</v>
          </cell>
          <cell r="C172" t="str">
            <v>GENERAL VILLEGAS</v>
          </cell>
          <cell r="D172" t="str">
            <v>GENERAL VILLEGAS</v>
          </cell>
          <cell r="E172" t="str">
            <v>GRAL SAN MARTIN</v>
          </cell>
          <cell r="F172">
            <v>453</v>
          </cell>
          <cell r="H172" t="str">
            <v>GRAL. VILLEGAS</v>
          </cell>
          <cell r="I172" t="str">
            <v>B6230ZAA</v>
          </cell>
        </row>
        <row r="173">
          <cell r="A173" t="str">
            <v>B0346</v>
          </cell>
          <cell r="B173" t="str">
            <v>BUENOS AIRES</v>
          </cell>
          <cell r="C173" t="str">
            <v>GENERAL PINTO</v>
          </cell>
          <cell r="D173" t="str">
            <v>GERMANIA</v>
          </cell>
          <cell r="E173" t="str">
            <v>BUENOS AIRES</v>
          </cell>
          <cell r="F173">
            <v>677</v>
          </cell>
          <cell r="H173" t="str">
            <v>GERMANIA</v>
          </cell>
          <cell r="I173" t="str">
            <v>B6053ZAA</v>
          </cell>
        </row>
        <row r="174">
          <cell r="A174" t="str">
            <v>B0347</v>
          </cell>
          <cell r="B174" t="str">
            <v>BUENOS AIRES</v>
          </cell>
          <cell r="C174" t="str">
            <v>25 DE MAYO</v>
          </cell>
          <cell r="D174" t="str">
            <v>GOBERNADOR UGARTE</v>
          </cell>
          <cell r="E174" t="str">
            <v>GRAL M BELGRANO</v>
          </cell>
          <cell r="F174">
            <v>209</v>
          </cell>
          <cell r="H174" t="str">
            <v>GOB. UGARTE</v>
          </cell>
          <cell r="I174" t="str">
            <v>B6621ZAA</v>
          </cell>
        </row>
        <row r="175">
          <cell r="A175" t="str">
            <v>B0348</v>
          </cell>
          <cell r="B175" t="str">
            <v>BUENOS AIRES</v>
          </cell>
          <cell r="C175" t="str">
            <v>RIVADAVIA</v>
          </cell>
          <cell r="D175" t="str">
            <v>GONZALEZ MORENO</v>
          </cell>
          <cell r="E175" t="str">
            <v>DR PEDRO BARGERO</v>
          </cell>
          <cell r="F175">
            <v>499</v>
          </cell>
          <cell r="H175" t="str">
            <v>GONZALEZ MORENO</v>
          </cell>
          <cell r="I175" t="str">
            <v>B6239ZAA</v>
          </cell>
        </row>
        <row r="176">
          <cell r="A176" t="str">
            <v>B0349</v>
          </cell>
          <cell r="B176" t="str">
            <v>BUENOS AIRES</v>
          </cell>
          <cell r="C176" t="str">
            <v>PEHUAJO</v>
          </cell>
          <cell r="D176" t="str">
            <v>SAN BERNARDO</v>
          </cell>
          <cell r="E176" t="str">
            <v>PTE GRAL JULIO A ROCA</v>
          </cell>
          <cell r="F176">
            <v>0</v>
          </cell>
          <cell r="H176" t="str">
            <v>SAN BERNARDO</v>
          </cell>
          <cell r="I176" t="str">
            <v>B6476ZAA</v>
          </cell>
        </row>
        <row r="177">
          <cell r="A177" t="str">
            <v>B0350</v>
          </cell>
          <cell r="B177" t="str">
            <v>BUENOS AIRES</v>
          </cell>
          <cell r="C177" t="str">
            <v>HIPOLITO YRIGOYEN</v>
          </cell>
          <cell r="D177" t="str">
            <v>HENDERSON</v>
          </cell>
          <cell r="E177" t="str">
            <v>ALMAFUERTE</v>
          </cell>
          <cell r="F177">
            <v>601</v>
          </cell>
          <cell r="H177" t="str">
            <v>HENDERSON</v>
          </cell>
          <cell r="I177" t="str">
            <v>B6465ZAA</v>
          </cell>
        </row>
        <row r="178">
          <cell r="A178" t="str">
            <v>B0351</v>
          </cell>
          <cell r="B178" t="str">
            <v>BUENOS AIRES</v>
          </cell>
          <cell r="C178" t="str">
            <v>SALTO</v>
          </cell>
          <cell r="D178" t="str">
            <v>INES INDART</v>
          </cell>
          <cell r="E178" t="str">
            <v>TORNATORE</v>
          </cell>
          <cell r="F178">
            <v>128</v>
          </cell>
          <cell r="H178" t="str">
            <v>INES INDART</v>
          </cell>
          <cell r="I178" t="str">
            <v>B2747ZAA</v>
          </cell>
        </row>
        <row r="179">
          <cell r="A179" t="str">
            <v>B0352</v>
          </cell>
          <cell r="B179" t="str">
            <v>BUENOS AIRES</v>
          </cell>
          <cell r="C179" t="str">
            <v>LUJAN</v>
          </cell>
          <cell r="D179" t="str">
            <v>JAUREGUI JOSE MARIA</v>
          </cell>
          <cell r="E179" t="str">
            <v>DEL COLEGIO</v>
          </cell>
          <cell r="F179">
            <v>248</v>
          </cell>
          <cell r="H179" t="str">
            <v>J. M . JAUREGUI</v>
          </cell>
          <cell r="I179" t="str">
            <v>B6706ZAA</v>
          </cell>
        </row>
        <row r="180">
          <cell r="A180" t="str">
            <v>B0353</v>
          </cell>
          <cell r="B180" t="str">
            <v>BUENOS AIRES</v>
          </cell>
          <cell r="C180" t="str">
            <v>LEANDRO N ALEM</v>
          </cell>
          <cell r="D180" t="str">
            <v>JUAN BAUTISTA ALBERDI</v>
          </cell>
          <cell r="E180" t="str">
            <v>B RIVADAVIA</v>
          </cell>
          <cell r="F180">
            <v>250</v>
          </cell>
          <cell r="H180" t="str">
            <v>J. B. ALBERDI</v>
          </cell>
          <cell r="I180" t="str">
            <v>B6034ZAA</v>
          </cell>
        </row>
        <row r="181">
          <cell r="A181" t="str">
            <v>B0354</v>
          </cell>
          <cell r="B181" t="str">
            <v>BUENOS AIRES</v>
          </cell>
          <cell r="C181" t="str">
            <v>PEHUAJO</v>
          </cell>
          <cell r="D181" t="str">
            <v>JUAN JOSE PASO</v>
          </cell>
          <cell r="E181" t="str">
            <v>GUIDO SPANO</v>
          </cell>
          <cell r="F181">
            <v>323</v>
          </cell>
          <cell r="H181" t="str">
            <v>J. J. PASO</v>
          </cell>
          <cell r="I181" t="str">
            <v>B6474ZAB</v>
          </cell>
        </row>
        <row r="182">
          <cell r="A182" t="str">
            <v>B0355</v>
          </cell>
          <cell r="B182" t="str">
            <v>BUENOS AIRES</v>
          </cell>
          <cell r="C182" t="str">
            <v>JUNIN</v>
          </cell>
          <cell r="D182" t="str">
            <v>JUNIN</v>
          </cell>
          <cell r="E182" t="str">
            <v>AV RIVADAVIA</v>
          </cell>
          <cell r="F182">
            <v>5</v>
          </cell>
          <cell r="H182" t="str">
            <v>JUNIN</v>
          </cell>
          <cell r="I182" t="str">
            <v>B6000ZAA</v>
          </cell>
        </row>
        <row r="183">
          <cell r="A183" t="str">
            <v>B0359</v>
          </cell>
          <cell r="B183" t="str">
            <v>BUENOS AIRES</v>
          </cell>
          <cell r="C183" t="str">
            <v>LEANDRO N ALEM</v>
          </cell>
          <cell r="D183" t="str">
            <v>LEANDRO N ALEM</v>
          </cell>
          <cell r="E183" t="str">
            <v>TENIENTE MAXIMO LAYERA</v>
          </cell>
          <cell r="F183">
            <v>573</v>
          </cell>
          <cell r="H183" t="str">
            <v>LEANDRO N. ALEM</v>
          </cell>
          <cell r="I183" t="str">
            <v>B6032ZAA</v>
          </cell>
        </row>
        <row r="184">
          <cell r="A184" t="str">
            <v>B0360</v>
          </cell>
          <cell r="B184" t="str">
            <v>BUENOS AIRES</v>
          </cell>
          <cell r="C184" t="str">
            <v>LINCOLN</v>
          </cell>
          <cell r="D184" t="str">
            <v>LINCOLN</v>
          </cell>
          <cell r="E184" t="str">
            <v>AV 25 DE MAYO</v>
          </cell>
          <cell r="F184">
            <v>98</v>
          </cell>
          <cell r="H184" t="str">
            <v>LINCOLN</v>
          </cell>
          <cell r="I184" t="str">
            <v>B6070ZAA</v>
          </cell>
        </row>
        <row r="185">
          <cell r="A185" t="str">
            <v>B0361</v>
          </cell>
          <cell r="B185" t="str">
            <v>BUENOS AIRES</v>
          </cell>
          <cell r="C185" t="str">
            <v>GENERAL VIAMONTE</v>
          </cell>
          <cell r="D185" t="str">
            <v>LOS TOLDOS</v>
          </cell>
          <cell r="E185" t="str">
            <v>AVELLANEDA</v>
          </cell>
          <cell r="F185">
            <v>464</v>
          </cell>
          <cell r="H185" t="str">
            <v>LOS TOLDOS</v>
          </cell>
          <cell r="I185" t="str">
            <v>B6015ZAA</v>
          </cell>
        </row>
        <row r="186">
          <cell r="A186" t="str">
            <v>B0362</v>
          </cell>
          <cell r="B186" t="str">
            <v>BUENOS AIRES</v>
          </cell>
          <cell r="C186" t="str">
            <v>LUJAN</v>
          </cell>
          <cell r="D186" t="str">
            <v>LUJAN</v>
          </cell>
          <cell r="E186" t="str">
            <v>BME MITRE</v>
          </cell>
          <cell r="F186">
            <v>571</v>
          </cell>
          <cell r="H186" t="str">
            <v>LUJAN</v>
          </cell>
          <cell r="I186" t="str">
            <v>B6700ZAA</v>
          </cell>
        </row>
        <row r="187">
          <cell r="A187" t="str">
            <v>B0363</v>
          </cell>
          <cell r="B187" t="str">
            <v>BUENOS AIRES</v>
          </cell>
          <cell r="C187" t="str">
            <v>BRAGADO</v>
          </cell>
          <cell r="D187" t="str">
            <v>MECHITA</v>
          </cell>
          <cell r="E187" t="str">
            <v>AV QUINTANA</v>
          </cell>
          <cell r="F187">
            <v>2015</v>
          </cell>
          <cell r="H187" t="str">
            <v>MECHITA</v>
          </cell>
          <cell r="I187" t="str">
            <v>B6648ZAA</v>
          </cell>
        </row>
        <row r="188">
          <cell r="A188" t="str">
            <v>B0365</v>
          </cell>
          <cell r="B188" t="str">
            <v>BUENOS AIRES</v>
          </cell>
          <cell r="C188" t="str">
            <v>CARLOS CASARES</v>
          </cell>
          <cell r="D188" t="str">
            <v>MOCTEZUMA</v>
          </cell>
          <cell r="E188" t="str">
            <v>AV SAN MARTIN</v>
          </cell>
          <cell r="F188">
            <v>0</v>
          </cell>
          <cell r="H188" t="str">
            <v>MOCTEZUMA</v>
          </cell>
          <cell r="I188" t="str">
            <v>B6531ZAA</v>
          </cell>
        </row>
        <row r="189">
          <cell r="A189" t="str">
            <v>B0366</v>
          </cell>
          <cell r="B189" t="str">
            <v>BUENOS AIRES</v>
          </cell>
          <cell r="C189" t="str">
            <v>PEHUAJO</v>
          </cell>
          <cell r="D189" t="str">
            <v>MONES CAZON</v>
          </cell>
          <cell r="E189" t="str">
            <v>DARDO ROCHA</v>
          </cell>
          <cell r="F189">
            <v>395</v>
          </cell>
          <cell r="H189" t="str">
            <v>MONES CAZON</v>
          </cell>
          <cell r="I189" t="str">
            <v>B6469ZAA</v>
          </cell>
        </row>
        <row r="190">
          <cell r="A190" t="str">
            <v>B0367</v>
          </cell>
          <cell r="B190" t="str">
            <v>BUENOS AIRES</v>
          </cell>
          <cell r="C190" t="str">
            <v>JUNIN</v>
          </cell>
          <cell r="D190" t="str">
            <v>MORSE</v>
          </cell>
          <cell r="E190" t="str">
            <v>AV DE LOS TILOS</v>
          </cell>
          <cell r="F190">
            <v>53</v>
          </cell>
          <cell r="H190" t="str">
            <v>MORSE</v>
          </cell>
          <cell r="I190" t="str">
            <v>B6049ZAA</v>
          </cell>
        </row>
        <row r="191">
          <cell r="A191" t="str">
            <v>B0368</v>
          </cell>
          <cell r="B191" t="str">
            <v>BUENOS AIRES</v>
          </cell>
          <cell r="C191" t="str">
            <v>25 DE MAYO</v>
          </cell>
          <cell r="D191" t="str">
            <v>NORBERTO DE LA RIESTRA</v>
          </cell>
          <cell r="E191" t="str">
            <v>BENIGNO LUGONES</v>
          </cell>
          <cell r="F191">
            <v>234</v>
          </cell>
          <cell r="H191" t="str">
            <v>N. DE LA RIESTRA</v>
          </cell>
          <cell r="I191" t="str">
            <v>B6663ZAA</v>
          </cell>
        </row>
        <row r="192">
          <cell r="A192" t="str">
            <v>B0369</v>
          </cell>
          <cell r="B192" t="str">
            <v>BUENOS AIRES</v>
          </cell>
          <cell r="C192" t="str">
            <v>9 DE JULIO</v>
          </cell>
          <cell r="D192" t="str">
            <v>9 DE JULIO</v>
          </cell>
          <cell r="E192" t="str">
            <v>AV BME MITRE</v>
          </cell>
          <cell r="F192">
            <v>794</v>
          </cell>
          <cell r="H192" t="str">
            <v>9 DE JULIO</v>
          </cell>
          <cell r="I192" t="str">
            <v>B6500ZAA</v>
          </cell>
        </row>
        <row r="193">
          <cell r="A193" t="str">
            <v>B0370</v>
          </cell>
          <cell r="B193" t="str">
            <v>BUENOS AIRES</v>
          </cell>
          <cell r="C193" t="str">
            <v>LUJAN</v>
          </cell>
          <cell r="D193" t="str">
            <v>OPEN DOOR</v>
          </cell>
          <cell r="E193" t="str">
            <v>AV DR DOMINGO CABRED</v>
          </cell>
          <cell r="F193">
            <v>589</v>
          </cell>
          <cell r="H193" t="str">
            <v>OPEN DOOR</v>
          </cell>
          <cell r="I193" t="str">
            <v>B6708ZAA</v>
          </cell>
        </row>
        <row r="194">
          <cell r="A194" t="str">
            <v>B0371</v>
          </cell>
          <cell r="B194" t="str">
            <v>BUENOS AIRES</v>
          </cell>
          <cell r="C194" t="str">
            <v>CHACABUCO</v>
          </cell>
          <cell r="D194" t="str">
            <v>O HIGGINS</v>
          </cell>
          <cell r="E194" t="str">
            <v>GRAL NICOLAS LEVALLE</v>
          </cell>
          <cell r="F194">
            <v>176</v>
          </cell>
          <cell r="H194" t="str">
            <v>O HIGGINS</v>
          </cell>
          <cell r="I194" t="str">
            <v>B6748ZAA</v>
          </cell>
        </row>
        <row r="195">
          <cell r="A195" t="str">
            <v>B0372</v>
          </cell>
          <cell r="B195" t="str">
            <v>BUENOS AIRES</v>
          </cell>
          <cell r="C195" t="str">
            <v>LINCOLN</v>
          </cell>
          <cell r="D195" t="str">
            <v>PASTEUR</v>
          </cell>
          <cell r="E195" t="str">
            <v>AV DR OSVALDO MONTES</v>
          </cell>
          <cell r="F195">
            <v>635</v>
          </cell>
          <cell r="H195" t="str">
            <v>PASTEUR</v>
          </cell>
          <cell r="I195" t="str">
            <v>B6077ZAA</v>
          </cell>
        </row>
        <row r="196">
          <cell r="A196" t="str">
            <v>B0373</v>
          </cell>
          <cell r="B196" t="str">
            <v>BUENOS AIRES</v>
          </cell>
          <cell r="C196" t="str">
            <v>25 DE MAYO</v>
          </cell>
          <cell r="D196" t="str">
            <v>PEDERNALES</v>
          </cell>
          <cell r="E196" t="str">
            <v>DR MANUEL BELGRANO</v>
          </cell>
          <cell r="F196">
            <v>401</v>
          </cell>
          <cell r="H196" t="str">
            <v>PEDERNALES</v>
          </cell>
          <cell r="I196" t="str">
            <v>B6665ZAA</v>
          </cell>
        </row>
        <row r="197">
          <cell r="A197" t="str">
            <v>B0374</v>
          </cell>
          <cell r="B197" t="str">
            <v>BUENOS AIRES</v>
          </cell>
          <cell r="C197" t="str">
            <v>PEHUAJO</v>
          </cell>
          <cell r="D197" t="str">
            <v>PEHUAJO</v>
          </cell>
          <cell r="E197" t="str">
            <v>RIVAROLA</v>
          </cell>
          <cell r="F197">
            <v>345</v>
          </cell>
          <cell r="H197" t="str">
            <v>PEHUAJO</v>
          </cell>
          <cell r="I197" t="str">
            <v>B6450ZAA</v>
          </cell>
        </row>
        <row r="198">
          <cell r="A198" t="str">
            <v>B0375</v>
          </cell>
          <cell r="B198" t="str">
            <v>BUENOS AIRES</v>
          </cell>
          <cell r="C198" t="str">
            <v>PELLEGRINI</v>
          </cell>
          <cell r="D198" t="str">
            <v>PELLEGRINI</v>
          </cell>
          <cell r="E198" t="str">
            <v>SAN MARTIN</v>
          </cell>
          <cell r="F198">
            <v>197</v>
          </cell>
          <cell r="H198" t="str">
            <v>PELLEGRINI</v>
          </cell>
          <cell r="I198" t="str">
            <v>B6346ZAA</v>
          </cell>
        </row>
        <row r="199">
          <cell r="A199" t="str">
            <v>B0376</v>
          </cell>
          <cell r="B199" t="str">
            <v>BUENOS AIRES</v>
          </cell>
          <cell r="C199" t="str">
            <v>GENERAL VILLEGAS</v>
          </cell>
          <cell r="D199" t="str">
            <v>PIEDRITAS</v>
          </cell>
          <cell r="E199" t="str">
            <v>SANTA FE</v>
          </cell>
          <cell r="F199">
            <v>624</v>
          </cell>
          <cell r="H199" t="str">
            <v>PIEDRITAS</v>
          </cell>
          <cell r="I199" t="str">
            <v>B6249ZAA</v>
          </cell>
        </row>
        <row r="200">
          <cell r="A200" t="str">
            <v>B0377</v>
          </cell>
          <cell r="B200" t="str">
            <v>BUENOS AIRES</v>
          </cell>
          <cell r="C200" t="str">
            <v>BOLIVAR</v>
          </cell>
          <cell r="D200" t="str">
            <v>PIROVANO</v>
          </cell>
          <cell r="E200" t="str">
            <v>MARCOS TAMBORENEA</v>
          </cell>
          <cell r="F200">
            <v>214</v>
          </cell>
          <cell r="H200" t="str">
            <v>PIROVANO</v>
          </cell>
          <cell r="I200" t="str">
            <v>B6551ZAA</v>
          </cell>
        </row>
        <row r="201">
          <cell r="A201" t="str">
            <v>B0379</v>
          </cell>
          <cell r="B201" t="str">
            <v>BUENOS AIRES</v>
          </cell>
          <cell r="C201" t="str">
            <v>SALLIQUELO</v>
          </cell>
          <cell r="D201" t="str">
            <v>QUENUMA</v>
          </cell>
          <cell r="E201" t="str">
            <v>BENEITEZ SINFORIANO</v>
          </cell>
          <cell r="F201">
            <v>3</v>
          </cell>
          <cell r="H201" t="str">
            <v>QUENUMA</v>
          </cell>
          <cell r="I201" t="str">
            <v>B6335ZAA</v>
          </cell>
        </row>
        <row r="202">
          <cell r="A202" t="str">
            <v>B0380</v>
          </cell>
          <cell r="B202" t="str">
            <v>BUENOS AIRES</v>
          </cell>
          <cell r="C202" t="str">
            <v>9 DE JULIO</v>
          </cell>
          <cell r="D202" t="str">
            <v>QUIROGA</v>
          </cell>
          <cell r="E202" t="str">
            <v>SAN LUIS</v>
          </cell>
          <cell r="F202">
            <v>517</v>
          </cell>
          <cell r="H202" t="str">
            <v>QUIROGA</v>
          </cell>
          <cell r="I202" t="str">
            <v>B6560ZAA</v>
          </cell>
        </row>
        <row r="203">
          <cell r="A203" t="str">
            <v>B0381</v>
          </cell>
          <cell r="B203" t="str">
            <v>BUENOS AIRES</v>
          </cell>
          <cell r="C203" t="str">
            <v>ROJAS</v>
          </cell>
          <cell r="D203" t="str">
            <v>RAFAEL OBLIGADO</v>
          </cell>
          <cell r="E203" t="str">
            <v>AV LUIS SAAVEDRA</v>
          </cell>
          <cell r="F203">
            <v>146</v>
          </cell>
          <cell r="H203" t="str">
            <v>RAFAEL OBLIGADO</v>
          </cell>
          <cell r="I203" t="str">
            <v>B6001ZAA</v>
          </cell>
        </row>
        <row r="204">
          <cell r="A204" t="str">
            <v>B0382</v>
          </cell>
          <cell r="B204" t="str">
            <v>BUENOS AIRES</v>
          </cell>
          <cell r="C204" t="str">
            <v>CHACABUCO</v>
          </cell>
          <cell r="D204" t="str">
            <v>RAWSON</v>
          </cell>
          <cell r="E204" t="str">
            <v>RIVADAVIA</v>
          </cell>
          <cell r="F204">
            <v>156</v>
          </cell>
          <cell r="H204" t="str">
            <v>RAWSON</v>
          </cell>
          <cell r="I204" t="str">
            <v>B6734ZAA</v>
          </cell>
        </row>
        <row r="205">
          <cell r="A205" t="str">
            <v>B0383</v>
          </cell>
          <cell r="B205" t="str">
            <v>BUENOS AIRES</v>
          </cell>
          <cell r="C205" t="str">
            <v>LINCOLN</v>
          </cell>
          <cell r="D205" t="str">
            <v>ROBERTS</v>
          </cell>
          <cell r="E205" t="str">
            <v>ANDREA DUGGAN</v>
          </cell>
          <cell r="F205">
            <v>1340</v>
          </cell>
          <cell r="H205" t="str">
            <v>ROBERTS</v>
          </cell>
          <cell r="I205" t="str">
            <v>B6079ZAA</v>
          </cell>
        </row>
        <row r="206">
          <cell r="A206" t="str">
            <v>B0384</v>
          </cell>
          <cell r="B206" t="str">
            <v>BUENOS AIRES</v>
          </cell>
          <cell r="C206" t="str">
            <v>ROJAS</v>
          </cell>
          <cell r="D206" t="str">
            <v>ROJAS</v>
          </cell>
          <cell r="E206" t="str">
            <v>AV 25 DE MAYO</v>
          </cell>
          <cell r="F206">
            <v>597</v>
          </cell>
          <cell r="H206" t="str">
            <v>ROJAS</v>
          </cell>
          <cell r="I206" t="str">
            <v>B2705ZAA</v>
          </cell>
        </row>
        <row r="207">
          <cell r="A207" t="str">
            <v>B0385</v>
          </cell>
          <cell r="B207" t="str">
            <v>BUENOS AIRES</v>
          </cell>
          <cell r="C207" t="str">
            <v>SALLIQUELO</v>
          </cell>
          <cell r="D207" t="str">
            <v>SALLIQUELO</v>
          </cell>
          <cell r="E207" t="str">
            <v>AV HUGO STROEDER</v>
          </cell>
          <cell r="F207">
            <v>5</v>
          </cell>
          <cell r="H207" t="str">
            <v>SALLIQUELO</v>
          </cell>
          <cell r="I207" t="str">
            <v>B6339ZAA</v>
          </cell>
        </row>
        <row r="208">
          <cell r="A208" t="str">
            <v>B0386</v>
          </cell>
          <cell r="B208" t="str">
            <v>BUENOS AIRES</v>
          </cell>
          <cell r="C208" t="str">
            <v>SALTO</v>
          </cell>
          <cell r="D208" t="str">
            <v>SALTO</v>
          </cell>
          <cell r="E208" t="str">
            <v>SARMIENTO</v>
          </cell>
          <cell r="F208">
            <v>86</v>
          </cell>
          <cell r="H208" t="str">
            <v>SALTO</v>
          </cell>
          <cell r="I208" t="str">
            <v>B2741ZAA</v>
          </cell>
        </row>
        <row r="209">
          <cell r="A209" t="str">
            <v>B0387</v>
          </cell>
          <cell r="B209" t="str">
            <v>BUENOS AIRES</v>
          </cell>
          <cell r="C209" t="str">
            <v>SAN ANDRES DE GILES</v>
          </cell>
          <cell r="D209" t="str">
            <v>SAN ANDRES DE GILES</v>
          </cell>
          <cell r="E209" t="str">
            <v>MAESTRO SOULE SAN MARTIN</v>
          </cell>
          <cell r="F209">
            <v>501</v>
          </cell>
          <cell r="H209" t="str">
            <v>SAN ANDRES DE GILES</v>
          </cell>
          <cell r="I209" t="str">
            <v>B6720ZAA</v>
          </cell>
        </row>
        <row r="210">
          <cell r="A210" t="str">
            <v>B0388</v>
          </cell>
          <cell r="B210" t="str">
            <v>BUENOS AIRES</v>
          </cell>
          <cell r="C210" t="str">
            <v>GENERAL VILLEGAS</v>
          </cell>
          <cell r="D210" t="str">
            <v>SANTA REGINA</v>
          </cell>
          <cell r="E210" t="str">
            <v>LIBERTAD</v>
          </cell>
          <cell r="F210">
            <v>0</v>
          </cell>
          <cell r="H210" t="str">
            <v>SANTA REGINA</v>
          </cell>
          <cell r="I210" t="str">
            <v>B6107ZAA</v>
          </cell>
        </row>
        <row r="211">
          <cell r="A211" t="str">
            <v>B0389</v>
          </cell>
          <cell r="B211" t="str">
            <v>BUENOS AIRES</v>
          </cell>
          <cell r="C211" t="str">
            <v>SUIPACHA</v>
          </cell>
          <cell r="D211" t="str">
            <v>SUIPACHA</v>
          </cell>
          <cell r="E211" t="str">
            <v>SAN MARTIN</v>
          </cell>
          <cell r="F211">
            <v>213</v>
          </cell>
          <cell r="H211" t="str">
            <v>SUIPACHA</v>
          </cell>
          <cell r="I211" t="str">
            <v>B6612ZAA</v>
          </cell>
        </row>
        <row r="212">
          <cell r="A212" t="str">
            <v>B0390</v>
          </cell>
          <cell r="B212" t="str">
            <v>BUENOS AIRES</v>
          </cell>
          <cell r="C212" t="str">
            <v>CARLOS TEJEDOR</v>
          </cell>
          <cell r="D212" t="str">
            <v>TIMOTE</v>
          </cell>
          <cell r="E212" t="str">
            <v>LEOPOLDO LUGONES</v>
          </cell>
          <cell r="F212">
            <v>268</v>
          </cell>
          <cell r="H212" t="str">
            <v>TIMOTE</v>
          </cell>
          <cell r="I212" t="str">
            <v>B6457ZAA</v>
          </cell>
        </row>
        <row r="213">
          <cell r="A213" t="str">
            <v>B0391</v>
          </cell>
          <cell r="B213" t="str">
            <v>BUENOS AIRES</v>
          </cell>
          <cell r="C213" t="str">
            <v>LUJAN</v>
          </cell>
          <cell r="D213" t="str">
            <v>TORRES</v>
          </cell>
          <cell r="E213" t="str">
            <v>JOSE MARIA CRIADO ALONSO</v>
          </cell>
          <cell r="F213">
            <v>757</v>
          </cell>
          <cell r="H213" t="str">
            <v>TORRES</v>
          </cell>
          <cell r="I213" t="str">
            <v>B6703ZAA</v>
          </cell>
        </row>
        <row r="214">
          <cell r="A214" t="str">
            <v>B0392</v>
          </cell>
          <cell r="B214" t="str">
            <v>BUENOS AIRES</v>
          </cell>
          <cell r="C214" t="str">
            <v>TRENQUE LAUQUEN</v>
          </cell>
          <cell r="D214" t="str">
            <v>30 DE AGOSTO</v>
          </cell>
          <cell r="E214" t="str">
            <v>ARISTOBULO DEL VALLE</v>
          </cell>
          <cell r="F214">
            <v>48</v>
          </cell>
          <cell r="H214" t="str">
            <v>30 DE AGOSTO</v>
          </cell>
          <cell r="I214" t="str">
            <v>B6405ZAA</v>
          </cell>
        </row>
        <row r="215">
          <cell r="A215" t="str">
            <v>B0393</v>
          </cell>
          <cell r="B215" t="str">
            <v>BUENOS AIRES</v>
          </cell>
          <cell r="C215" t="str">
            <v>TRENQUE LAUQUEN</v>
          </cell>
          <cell r="D215" t="str">
            <v>TRENQUE LAUQUEN</v>
          </cell>
          <cell r="E215" t="str">
            <v>AV PTE GRAL JULIO A ROCA</v>
          </cell>
          <cell r="F215">
            <v>542</v>
          </cell>
          <cell r="H215" t="str">
            <v>TRENQUE LAUQUEN</v>
          </cell>
          <cell r="I215" t="str">
            <v>B6400ZAA</v>
          </cell>
        </row>
        <row r="216">
          <cell r="A216" t="str">
            <v>B0394</v>
          </cell>
          <cell r="B216" t="str">
            <v>BUENOS AIRES</v>
          </cell>
          <cell r="C216" t="str">
            <v>CARLOS TEJEDOR</v>
          </cell>
          <cell r="D216" t="str">
            <v>TRES ALGARROBOS</v>
          </cell>
          <cell r="E216" t="str">
            <v>PTE H YRIGOYEN</v>
          </cell>
          <cell r="F216">
            <v>455</v>
          </cell>
          <cell r="H216" t="str">
            <v>TRES ALGARROBOS</v>
          </cell>
          <cell r="I216" t="str">
            <v>B6231ZAA</v>
          </cell>
        </row>
        <row r="217">
          <cell r="A217" t="str">
            <v>B0395</v>
          </cell>
          <cell r="B217" t="str">
            <v>BUENOS AIRES</v>
          </cell>
          <cell r="C217" t="str">
            <v>TRES LOMAS</v>
          </cell>
          <cell r="D217" t="str">
            <v>TRES LOMAS</v>
          </cell>
          <cell r="E217" t="str">
            <v>9 DE JULIO</v>
          </cell>
          <cell r="F217">
            <v>649</v>
          </cell>
          <cell r="H217" t="str">
            <v>TRES LOMAS</v>
          </cell>
          <cell r="I217" t="str">
            <v>B6409ZAA</v>
          </cell>
        </row>
        <row r="218">
          <cell r="A218" t="str">
            <v>B0396</v>
          </cell>
          <cell r="B218" t="str">
            <v>BUENOS AIRES</v>
          </cell>
          <cell r="C218" t="str">
            <v>BOLIVAR</v>
          </cell>
          <cell r="D218" t="str">
            <v>URDAMPILLETA</v>
          </cell>
          <cell r="E218" t="str">
            <v>AV B RIVADAVIA</v>
          </cell>
          <cell r="F218">
            <v>299</v>
          </cell>
          <cell r="H218" t="str">
            <v>URDAMPILLETA</v>
          </cell>
          <cell r="I218" t="str">
            <v>B6553ZAA</v>
          </cell>
        </row>
        <row r="219">
          <cell r="A219" t="str">
            <v>B0397</v>
          </cell>
          <cell r="B219" t="str">
            <v>BUENOS AIRES</v>
          </cell>
          <cell r="C219" t="str">
            <v>LEANDRO N ALEM</v>
          </cell>
          <cell r="D219" t="str">
            <v>VEDIA</v>
          </cell>
          <cell r="E219" t="str">
            <v>AV RODOLFO DUNCKLER</v>
          </cell>
          <cell r="F219">
            <v>102</v>
          </cell>
          <cell r="H219" t="str">
            <v>VEDIA</v>
          </cell>
          <cell r="I219" t="str">
            <v>B6030ZAA</v>
          </cell>
        </row>
        <row r="220">
          <cell r="A220" t="str">
            <v>B0398</v>
          </cell>
          <cell r="B220" t="str">
            <v>BUENOS AIRES</v>
          </cell>
          <cell r="C220" t="str">
            <v>25 DE MAYO</v>
          </cell>
          <cell r="D220" t="str">
            <v>25 DE MAYO</v>
          </cell>
          <cell r="E220" t="str">
            <v>CALLE 11</v>
          </cell>
          <cell r="F220">
            <v>825</v>
          </cell>
          <cell r="H220" t="str">
            <v>25 DE MAYO</v>
          </cell>
          <cell r="I220" t="str">
            <v>B6660ZAA</v>
          </cell>
        </row>
        <row r="221">
          <cell r="A221" t="str">
            <v>B0399</v>
          </cell>
          <cell r="B221" t="str">
            <v>BUENOS AIRES</v>
          </cell>
          <cell r="C221" t="str">
            <v>CHIVILCOY</v>
          </cell>
          <cell r="D221" t="str">
            <v>VILLA MOQUEHUA</v>
          </cell>
          <cell r="E221" t="str">
            <v>YAPEYU</v>
          </cell>
          <cell r="F221">
            <v>396</v>
          </cell>
          <cell r="H221" t="str">
            <v>VILLA MOQUEHUA</v>
          </cell>
          <cell r="I221" t="str">
            <v>B6625ZAA</v>
          </cell>
        </row>
        <row r="222">
          <cell r="A222" t="str">
            <v>B0400</v>
          </cell>
          <cell r="B222" t="str">
            <v>BUENOS AIRES</v>
          </cell>
          <cell r="C222" t="str">
            <v>PERGAMINO</v>
          </cell>
          <cell r="D222" t="str">
            <v>PERGAMINO</v>
          </cell>
          <cell r="E222" t="str">
            <v>MERCED</v>
          </cell>
          <cell r="F222">
            <v>173</v>
          </cell>
          <cell r="H222" t="str">
            <v>PERGAMINO</v>
          </cell>
          <cell r="I222" t="str">
            <v>B2700ZAA</v>
          </cell>
        </row>
        <row r="223">
          <cell r="A223" t="str">
            <v>B0402</v>
          </cell>
          <cell r="B223" t="str">
            <v>BUENOS AIRES</v>
          </cell>
          <cell r="C223" t="str">
            <v>PERGAMINO</v>
          </cell>
          <cell r="D223" t="str">
            <v>ACEVEDO</v>
          </cell>
          <cell r="E223" t="str">
            <v>AV CENTENARIO</v>
          </cell>
          <cell r="F223">
            <v>589</v>
          </cell>
          <cell r="H223" t="str">
            <v>ACEVEDO</v>
          </cell>
          <cell r="I223" t="str">
            <v>B2717ZAA</v>
          </cell>
        </row>
        <row r="224">
          <cell r="A224" t="str">
            <v>B0404</v>
          </cell>
          <cell r="B224" t="str">
            <v>BUENOS AIRES</v>
          </cell>
          <cell r="C224" t="str">
            <v>BARADERO</v>
          </cell>
          <cell r="D224" t="str">
            <v>ALSINA</v>
          </cell>
          <cell r="E224" t="str">
            <v>AV GRAL SAN MARTIN</v>
          </cell>
          <cell r="F224">
            <v>280</v>
          </cell>
          <cell r="H224" t="str">
            <v>ALSINA</v>
          </cell>
          <cell r="I224" t="str">
            <v>B2938ZAA</v>
          </cell>
        </row>
        <row r="225">
          <cell r="A225" t="str">
            <v>B0406</v>
          </cell>
          <cell r="B225" t="str">
            <v>BUENOS AIRES</v>
          </cell>
          <cell r="C225" t="str">
            <v>ARRECIFES</v>
          </cell>
          <cell r="D225" t="str">
            <v>ARRECIFES</v>
          </cell>
          <cell r="E225" t="str">
            <v>AV DR MANUEL BELGRANO</v>
          </cell>
          <cell r="F225">
            <v>42</v>
          </cell>
          <cell r="H225" t="str">
            <v>ARRECIFES</v>
          </cell>
          <cell r="I225" t="str">
            <v>B2740ZAA</v>
          </cell>
        </row>
        <row r="226">
          <cell r="A226" t="str">
            <v>B0408</v>
          </cell>
          <cell r="B226" t="str">
            <v>BUENOS AIRES</v>
          </cell>
          <cell r="C226" t="str">
            <v>BARADERO</v>
          </cell>
          <cell r="D226" t="str">
            <v>BARADERO</v>
          </cell>
          <cell r="E226" t="str">
            <v>PEDRO M ARAOZ</v>
          </cell>
          <cell r="F226">
            <v>999</v>
          </cell>
          <cell r="H226" t="str">
            <v>BARADERO</v>
          </cell>
          <cell r="I226" t="str">
            <v>B2942ZAA</v>
          </cell>
        </row>
        <row r="227">
          <cell r="A227" t="str">
            <v>B0412</v>
          </cell>
          <cell r="B227" t="str">
            <v>BUENOS AIRES</v>
          </cell>
          <cell r="C227" t="str">
            <v>CAMPANA</v>
          </cell>
          <cell r="D227" t="str">
            <v>CAMPANA</v>
          </cell>
          <cell r="E227" t="str">
            <v>SAN MARTIN</v>
          </cell>
          <cell r="F227">
            <v>274</v>
          </cell>
          <cell r="H227" t="str">
            <v>CAMPANA</v>
          </cell>
          <cell r="I227" t="str">
            <v>B2804ZAA</v>
          </cell>
        </row>
        <row r="228">
          <cell r="A228" t="str">
            <v>B0414</v>
          </cell>
          <cell r="B228" t="str">
            <v>BUENOS AIRES</v>
          </cell>
          <cell r="C228" t="str">
            <v>EXALTACION DE LA CRUZ</v>
          </cell>
          <cell r="D228" t="str">
            <v>CAPILLA DEL SEÃ‘OR</v>
          </cell>
          <cell r="E228" t="str">
            <v>PTE H YRIGOYEN</v>
          </cell>
          <cell r="F228">
            <v>709</v>
          </cell>
          <cell r="H228" t="str">
            <v>CAPILLA DEL SEÃ‘OR</v>
          </cell>
          <cell r="I228" t="str">
            <v>B2812ZAA</v>
          </cell>
        </row>
        <row r="229">
          <cell r="A229" t="str">
            <v>B0416</v>
          </cell>
          <cell r="B229" t="str">
            <v>BUENOS AIRES</v>
          </cell>
          <cell r="C229" t="str">
            <v>CAPITAN SARMIENTO</v>
          </cell>
          <cell r="D229" t="str">
            <v>CAPITAN SARMIENTO</v>
          </cell>
          <cell r="E229" t="str">
            <v>AV BME MITRE</v>
          </cell>
          <cell r="F229">
            <v>272</v>
          </cell>
          <cell r="H229" t="str">
            <v>CAP. SARMIENTO</v>
          </cell>
          <cell r="I229" t="str">
            <v>B2752ZAA</v>
          </cell>
        </row>
        <row r="230">
          <cell r="A230" t="str">
            <v>B0418</v>
          </cell>
          <cell r="B230" t="str">
            <v>BUENOS AIRES</v>
          </cell>
          <cell r="C230" t="str">
            <v>COLON</v>
          </cell>
          <cell r="D230" t="str">
            <v>COLON</v>
          </cell>
          <cell r="E230" t="str">
            <v>CALLE 47</v>
          </cell>
          <cell r="F230">
            <v>850</v>
          </cell>
          <cell r="H230" t="str">
            <v>COLON</v>
          </cell>
          <cell r="I230" t="str">
            <v>B2720ZAA</v>
          </cell>
        </row>
        <row r="231">
          <cell r="A231" t="str">
            <v>B0420</v>
          </cell>
          <cell r="B231" t="str">
            <v>BUENOS AIRES</v>
          </cell>
          <cell r="C231" t="str">
            <v>SAN NICOLAS</v>
          </cell>
          <cell r="D231" t="str">
            <v>GENERAL CONESA</v>
          </cell>
          <cell r="E231" t="str">
            <v>FORMOSA</v>
          </cell>
          <cell r="F231">
            <v>88</v>
          </cell>
          <cell r="H231" t="str">
            <v>CONESA</v>
          </cell>
          <cell r="I231" t="str">
            <v>B2907ZAA</v>
          </cell>
        </row>
        <row r="232">
          <cell r="A232" t="str">
            <v>B0422</v>
          </cell>
          <cell r="B232" t="str">
            <v>BUENOS AIRES</v>
          </cell>
          <cell r="C232" t="str">
            <v>RAMALLO</v>
          </cell>
          <cell r="D232" t="str">
            <v>EL PARAISO</v>
          </cell>
          <cell r="E232" t="str">
            <v>ELOY VELAZ</v>
          </cell>
          <cell r="F232">
            <v>0</v>
          </cell>
          <cell r="H232" t="str">
            <v>EL PARAISO</v>
          </cell>
          <cell r="I232" t="str">
            <v>B2916ZAA</v>
          </cell>
        </row>
        <row r="233">
          <cell r="A233" t="str">
            <v>B0424</v>
          </cell>
          <cell r="B233" t="str">
            <v>BUENOS AIRES</v>
          </cell>
          <cell r="C233" t="str">
            <v>PERGAMINO</v>
          </cell>
          <cell r="D233" t="str">
            <v>EL SOCORRO</v>
          </cell>
          <cell r="E233" t="str">
            <v>JOSE LORENZO MORENO</v>
          </cell>
          <cell r="F233">
            <v>630</v>
          </cell>
          <cell r="H233" t="str">
            <v>EL SOCORRO</v>
          </cell>
          <cell r="I233" t="str">
            <v>B2715ZAA</v>
          </cell>
        </row>
        <row r="234">
          <cell r="A234" t="str">
            <v>B0426</v>
          </cell>
          <cell r="B234" t="str">
            <v>BUENOS AIRES</v>
          </cell>
          <cell r="C234" t="str">
            <v>ESCOBAR</v>
          </cell>
          <cell r="D234" t="str">
            <v>BELEN DE ESCOBAR</v>
          </cell>
          <cell r="E234" t="str">
            <v>RIVADAVIA</v>
          </cell>
          <cell r="F234">
            <v>302</v>
          </cell>
          <cell r="H234" t="str">
            <v>ESCOBAR</v>
          </cell>
          <cell r="I234" t="str">
            <v>B1625ZAA</v>
          </cell>
        </row>
        <row r="235">
          <cell r="A235" t="str">
            <v>B0428</v>
          </cell>
          <cell r="B235" t="str">
            <v>BUENOS AIRES</v>
          </cell>
          <cell r="C235" t="str">
            <v>ESCOBAR</v>
          </cell>
          <cell r="D235" t="str">
            <v>GARIN</v>
          </cell>
          <cell r="E235" t="str">
            <v>CASTELAR</v>
          </cell>
          <cell r="F235">
            <v>974</v>
          </cell>
          <cell r="H235" t="str">
            <v>GARIN</v>
          </cell>
          <cell r="I235" t="str">
            <v>B1619ZAA</v>
          </cell>
        </row>
        <row r="236">
          <cell r="A236" t="str">
            <v>B0430</v>
          </cell>
          <cell r="B236" t="str">
            <v>BUENOS AIRES</v>
          </cell>
          <cell r="C236" t="str">
            <v>SAN NICOLAS</v>
          </cell>
          <cell r="D236" t="str">
            <v>GENERAL ROJO</v>
          </cell>
          <cell r="E236" t="str">
            <v>RAMALLO</v>
          </cell>
          <cell r="F236">
            <v>1</v>
          </cell>
          <cell r="H236" t="str">
            <v>GENERAL ROJO</v>
          </cell>
          <cell r="I236" t="str">
            <v>B2905ZAA</v>
          </cell>
        </row>
        <row r="237">
          <cell r="A237" t="str">
            <v>B0432</v>
          </cell>
          <cell r="B237" t="str">
            <v>BUENOS AIRES</v>
          </cell>
          <cell r="C237" t="str">
            <v>SAN PEDRO</v>
          </cell>
          <cell r="D237" t="str">
            <v>GOBERNADOR CASTRO</v>
          </cell>
          <cell r="E237" t="str">
            <v>GRAL M BELGRANO</v>
          </cell>
          <cell r="F237">
            <v>500</v>
          </cell>
          <cell r="H237" t="str">
            <v>GOB. CASTRO</v>
          </cell>
          <cell r="I237" t="str">
            <v>B2946ZAA</v>
          </cell>
        </row>
        <row r="238">
          <cell r="A238" t="str">
            <v>B0434</v>
          </cell>
          <cell r="B238" t="str">
            <v>BUENOS AIRES</v>
          </cell>
          <cell r="C238" t="str">
            <v>ESCOBAR</v>
          </cell>
          <cell r="D238" t="str">
            <v>INGENIERO MASCHWITZ</v>
          </cell>
          <cell r="E238" t="str">
            <v>LA PLATA</v>
          </cell>
          <cell r="F238">
            <v>1125</v>
          </cell>
          <cell r="H238" t="str">
            <v>ING. MASCHWITZ</v>
          </cell>
          <cell r="I238" t="str">
            <v>B1623ZAA</v>
          </cell>
        </row>
        <row r="239">
          <cell r="A239" t="str">
            <v>B0436</v>
          </cell>
          <cell r="B239" t="str">
            <v>BUENOS AIRES</v>
          </cell>
          <cell r="C239" t="str">
            <v>SAN NICOLAS</v>
          </cell>
          <cell r="D239" t="str">
            <v>SAN NICOLAS DE LOS ARROYOS</v>
          </cell>
          <cell r="E239" t="str">
            <v>JOSE CORDOBA</v>
          </cell>
          <cell r="F239">
            <v>335</v>
          </cell>
          <cell r="H239" t="str">
            <v>LA EMILIA</v>
          </cell>
          <cell r="I239" t="str">
            <v>B2901ZAA</v>
          </cell>
        </row>
        <row r="240">
          <cell r="A240" t="str">
            <v>B0438</v>
          </cell>
          <cell r="B240" t="str">
            <v>BUENOS AIRES</v>
          </cell>
          <cell r="C240" t="str">
            <v>ZARATE</v>
          </cell>
          <cell r="D240" t="str">
            <v>LIMA</v>
          </cell>
          <cell r="E240" t="str">
            <v>AV 11</v>
          </cell>
          <cell r="F240">
            <v>171</v>
          </cell>
          <cell r="H240" t="str">
            <v>LIMA</v>
          </cell>
          <cell r="I240" t="str">
            <v>B2806ZAA</v>
          </cell>
        </row>
        <row r="241">
          <cell r="A241" t="str">
            <v>B0440</v>
          </cell>
          <cell r="B241" t="str">
            <v>BUENOS AIRES</v>
          </cell>
          <cell r="C241" t="str">
            <v>ESCOBAR</v>
          </cell>
          <cell r="D241" t="str">
            <v>MATHEU</v>
          </cell>
          <cell r="E241" t="str">
            <v>MORENO</v>
          </cell>
          <cell r="F241">
            <v>226</v>
          </cell>
          <cell r="H241" t="str">
            <v>MATHEU</v>
          </cell>
          <cell r="I241" t="str">
            <v>B1627ZAA</v>
          </cell>
        </row>
        <row r="242">
          <cell r="A242" t="str">
            <v>B0442</v>
          </cell>
          <cell r="B242" t="str">
            <v>BUENOS AIRES</v>
          </cell>
          <cell r="C242" t="str">
            <v>ESCOBAR</v>
          </cell>
          <cell r="D242" t="str">
            <v>MAQUINISTA F SAVIO</v>
          </cell>
          <cell r="E242" t="str">
            <v>AV CONSTITUCION</v>
          </cell>
          <cell r="F242">
            <v>122</v>
          </cell>
          <cell r="H242" t="str">
            <v>MAQ.F. SAVIO</v>
          </cell>
          <cell r="I242" t="str">
            <v>B1620ZAA</v>
          </cell>
        </row>
        <row r="243">
          <cell r="A243" t="str">
            <v>B0444</v>
          </cell>
          <cell r="B243" t="str">
            <v>BUENOS AIRES</v>
          </cell>
          <cell r="C243" t="str">
            <v>RAMALLO</v>
          </cell>
          <cell r="D243" t="str">
            <v>PEREZ MILLAN</v>
          </cell>
          <cell r="E243" t="str">
            <v>AV DR MANFREDI</v>
          </cell>
          <cell r="F243">
            <v>672</v>
          </cell>
          <cell r="H243" t="str">
            <v>PEREZ MILLAN</v>
          </cell>
          <cell r="I243" t="str">
            <v>B2933ZAA</v>
          </cell>
        </row>
        <row r="244">
          <cell r="A244" t="str">
            <v>B0446</v>
          </cell>
          <cell r="B244" t="str">
            <v>BUENOS AIRES</v>
          </cell>
          <cell r="C244" t="str">
            <v>PILAR</v>
          </cell>
          <cell r="D244" t="str">
            <v>PILAR</v>
          </cell>
          <cell r="E244" t="str">
            <v>PEDRO LAGRAVE</v>
          </cell>
          <cell r="F244">
            <v>451</v>
          </cell>
          <cell r="H244" t="str">
            <v>PILAR</v>
          </cell>
          <cell r="I244" t="str">
            <v>B1629ZAA</v>
          </cell>
        </row>
        <row r="245">
          <cell r="A245" t="str">
            <v>B0448</v>
          </cell>
          <cell r="B245" t="str">
            <v>BUENOS AIRES</v>
          </cell>
          <cell r="C245" t="str">
            <v>PILAR</v>
          </cell>
          <cell r="D245" t="str">
            <v>PRESIDENTE DERQUI</v>
          </cell>
          <cell r="E245" t="str">
            <v>RIVADAVIA</v>
          </cell>
          <cell r="F245">
            <v>389</v>
          </cell>
          <cell r="H245" t="str">
            <v>PRESIDENTE DERQUI</v>
          </cell>
          <cell r="I245" t="str">
            <v>B1635ZAA</v>
          </cell>
        </row>
        <row r="246">
          <cell r="A246" t="str">
            <v>B0450</v>
          </cell>
          <cell r="B246" t="str">
            <v>BUENOS AIRES</v>
          </cell>
          <cell r="C246" t="str">
            <v>RAMALLO</v>
          </cell>
          <cell r="D246" t="str">
            <v>RAMALLO</v>
          </cell>
          <cell r="E246" t="str">
            <v>EVA PERON</v>
          </cell>
          <cell r="F246">
            <v>698</v>
          </cell>
          <cell r="H246" t="str">
            <v>RAMALLO</v>
          </cell>
          <cell r="I246" t="str">
            <v>B2915ZAA</v>
          </cell>
        </row>
        <row r="247">
          <cell r="A247" t="str">
            <v>B0452</v>
          </cell>
          <cell r="B247" t="str">
            <v>BUENOS AIRES</v>
          </cell>
          <cell r="C247" t="str">
            <v>SAN PEDRO</v>
          </cell>
          <cell r="D247" t="str">
            <v>RIO TALA</v>
          </cell>
          <cell r="E247" t="str">
            <v>B RIVADAVIA</v>
          </cell>
          <cell r="F247">
            <v>115</v>
          </cell>
          <cell r="H247" t="str">
            <v>RIO TALA</v>
          </cell>
          <cell r="I247" t="str">
            <v>B2944ZAA</v>
          </cell>
        </row>
        <row r="248">
          <cell r="A248" t="str">
            <v>B0454</v>
          </cell>
          <cell r="B248" t="str">
            <v>BUENOS AIRES</v>
          </cell>
          <cell r="C248" t="str">
            <v>SAN ANTONIO DE ARECO</v>
          </cell>
          <cell r="D248" t="str">
            <v>SAN ANTONIO DE ARECO</v>
          </cell>
          <cell r="E248" t="str">
            <v>ARISTOBULO DEL VALLE</v>
          </cell>
          <cell r="F248">
            <v>355</v>
          </cell>
          <cell r="H248" t="str">
            <v>SAN A. DE ARECO</v>
          </cell>
          <cell r="I248" t="str">
            <v>B2760ZAA</v>
          </cell>
        </row>
        <row r="249">
          <cell r="A249" t="str">
            <v>B0456</v>
          </cell>
          <cell r="B249" t="str">
            <v>BUENOS AIRES</v>
          </cell>
          <cell r="C249" t="str">
            <v>SAN NICOLAS</v>
          </cell>
          <cell r="D249" t="str">
            <v>SAN NICOLAS DE LOS ARROYOS</v>
          </cell>
          <cell r="E249" t="str">
            <v>DE LA NACION</v>
          </cell>
          <cell r="F249">
            <v>175</v>
          </cell>
          <cell r="H249" t="str">
            <v>SAN NICOLAS</v>
          </cell>
          <cell r="I249" t="str">
            <v>B2900ZAA</v>
          </cell>
        </row>
        <row r="250">
          <cell r="A250" t="str">
            <v>B0458</v>
          </cell>
          <cell r="B250" t="str">
            <v>BUENOS AIRES</v>
          </cell>
          <cell r="C250" t="str">
            <v>SAN NICOLAS</v>
          </cell>
          <cell r="D250" t="str">
            <v>SAN NICOLAS DE LOS ARROYOS</v>
          </cell>
          <cell r="E250" t="str">
            <v>AV LA PAZ</v>
          </cell>
          <cell r="F250">
            <v>629</v>
          </cell>
          <cell r="H250" t="str">
            <v>SAN NICOLAS 1</v>
          </cell>
          <cell r="I250" t="str">
            <v>B2900ZAB</v>
          </cell>
        </row>
        <row r="251">
          <cell r="A251" t="str">
            <v>B0460</v>
          </cell>
          <cell r="B251" t="str">
            <v>BUENOS AIRES</v>
          </cell>
          <cell r="C251" t="str">
            <v>SAN PEDRO</v>
          </cell>
          <cell r="D251" t="str">
            <v>SAN PEDRO</v>
          </cell>
          <cell r="E251" t="str">
            <v>RAFAEL OBLIGADO</v>
          </cell>
          <cell r="F251">
            <v>58</v>
          </cell>
          <cell r="H251" t="str">
            <v>SAN PEDRO</v>
          </cell>
          <cell r="I251" t="str">
            <v>B2930ZAA</v>
          </cell>
        </row>
        <row r="252">
          <cell r="A252" t="str">
            <v>B0462</v>
          </cell>
          <cell r="B252" t="str">
            <v>BUENOS AIRES</v>
          </cell>
          <cell r="C252" t="str">
            <v>SAN PEDRO</v>
          </cell>
          <cell r="D252" t="str">
            <v>SANTA LUCIA</v>
          </cell>
          <cell r="E252" t="str">
            <v>JUAN O FARREL</v>
          </cell>
          <cell r="F252">
            <v>498</v>
          </cell>
          <cell r="H252" t="str">
            <v>SANTA LUCIA</v>
          </cell>
          <cell r="I252" t="str">
            <v>B2935ZAA</v>
          </cell>
        </row>
        <row r="253">
          <cell r="A253" t="str">
            <v>B0464</v>
          </cell>
          <cell r="B253" t="str">
            <v>BUENOS AIRES</v>
          </cell>
          <cell r="C253" t="str">
            <v>RAMALLO</v>
          </cell>
          <cell r="D253" t="str">
            <v>VILLA RAMALLO</v>
          </cell>
          <cell r="E253" t="str">
            <v>RIVADAVIA</v>
          </cell>
          <cell r="F253">
            <v>711</v>
          </cell>
          <cell r="H253" t="str">
            <v>VILLA ESTACION RAMALLO</v>
          </cell>
          <cell r="I253" t="str">
            <v>B2914ZAA</v>
          </cell>
        </row>
        <row r="254">
          <cell r="A254" t="str">
            <v>B0466</v>
          </cell>
          <cell r="B254" t="str">
            <v>BUENOS AIRES</v>
          </cell>
          <cell r="C254" t="str">
            <v>ZARATE</v>
          </cell>
          <cell r="D254" t="str">
            <v>ZARATE</v>
          </cell>
          <cell r="E254" t="str">
            <v>FELIX PAGOLA</v>
          </cell>
          <cell r="F254">
            <v>35</v>
          </cell>
          <cell r="H254" t="str">
            <v>ZARATE</v>
          </cell>
          <cell r="I254" t="str">
            <v>B2800ZAA</v>
          </cell>
        </row>
        <row r="255">
          <cell r="A255" t="str">
            <v>B0500</v>
          </cell>
          <cell r="B255" t="str">
            <v>BUENOS AIRES</v>
          </cell>
          <cell r="C255" t="str">
            <v>BAHIA BLANCA</v>
          </cell>
          <cell r="D255" t="str">
            <v>BAHIA BLANCA</v>
          </cell>
          <cell r="E255" t="str">
            <v>MORENO</v>
          </cell>
          <cell r="F255">
            <v>34</v>
          </cell>
          <cell r="H255" t="str">
            <v>BAHIA BLANCA</v>
          </cell>
          <cell r="I255" t="str">
            <v>B8000ZAA</v>
          </cell>
        </row>
        <row r="256">
          <cell r="A256" t="str">
            <v>B0501</v>
          </cell>
          <cell r="B256" t="str">
            <v>BUENOS AIRES</v>
          </cell>
          <cell r="C256" t="str">
            <v>BAHIA BLANCA</v>
          </cell>
          <cell r="D256" t="str">
            <v>BAHIA BLANCA</v>
          </cell>
          <cell r="E256" t="str">
            <v>MAIPU</v>
          </cell>
          <cell r="F256">
            <v>1524</v>
          </cell>
          <cell r="H256" t="str">
            <v>BAHIA BLANCA 1</v>
          </cell>
          <cell r="I256" t="str">
            <v>B8001ZAA</v>
          </cell>
        </row>
        <row r="257">
          <cell r="A257" t="str">
            <v>B0502</v>
          </cell>
          <cell r="B257" t="str">
            <v>BUENOS AIRES</v>
          </cell>
          <cell r="C257" t="str">
            <v>BAHIA BLANCA</v>
          </cell>
          <cell r="D257" t="str">
            <v>BAHIA BLANCA</v>
          </cell>
          <cell r="E257" t="str">
            <v>DON BOSCO</v>
          </cell>
          <cell r="F257">
            <v>1021</v>
          </cell>
          <cell r="H257" t="str">
            <v>BAHIA BLANCA 2</v>
          </cell>
          <cell r="I257" t="str">
            <v>B8000ZAB</v>
          </cell>
        </row>
        <row r="258">
          <cell r="A258" t="str">
            <v>B0525</v>
          </cell>
          <cell r="B258" t="str">
            <v>BUENOS AIRES</v>
          </cell>
          <cell r="C258" t="str">
            <v>PATAGONES</v>
          </cell>
          <cell r="D258" t="str">
            <v>STROEDER</v>
          </cell>
          <cell r="E258" t="str">
            <v>AV HUGO STROEDER</v>
          </cell>
          <cell r="F258">
            <v>76</v>
          </cell>
          <cell r="H258" t="str">
            <v>STROEDER</v>
          </cell>
          <cell r="I258" t="str">
            <v>B8508ZAA</v>
          </cell>
        </row>
        <row r="259">
          <cell r="A259" t="str">
            <v>B0527</v>
          </cell>
          <cell r="B259" t="str">
            <v>BUENOS AIRES</v>
          </cell>
          <cell r="C259" t="str">
            <v>TORNQUIST</v>
          </cell>
          <cell r="D259" t="str">
            <v>TORNQUIST</v>
          </cell>
          <cell r="E259" t="str">
            <v>AV GRAL PAZ</v>
          </cell>
          <cell r="F259">
            <v>198</v>
          </cell>
          <cell r="H259" t="str">
            <v>TORNQUIST</v>
          </cell>
          <cell r="I259" t="str">
            <v>B8160ZAA</v>
          </cell>
        </row>
        <row r="260">
          <cell r="A260" t="str">
            <v>B0529</v>
          </cell>
          <cell r="B260" t="str">
            <v>BUENOS AIRES</v>
          </cell>
          <cell r="C260" t="str">
            <v>TRES ARROYOS</v>
          </cell>
          <cell r="D260" t="str">
            <v>TRES ARROYOS</v>
          </cell>
          <cell r="E260" t="str">
            <v>AV MORENO</v>
          </cell>
          <cell r="F260">
            <v>218</v>
          </cell>
          <cell r="H260" t="str">
            <v>TRES ARROYOS</v>
          </cell>
          <cell r="I260" t="str">
            <v>B7500ZAA</v>
          </cell>
        </row>
        <row r="261">
          <cell r="A261" t="str">
            <v>B0531</v>
          </cell>
          <cell r="B261" t="str">
            <v>BUENOS AIRES</v>
          </cell>
          <cell r="C261" t="str">
            <v>PUAN</v>
          </cell>
          <cell r="D261" t="str">
            <v>VILLA IRIS</v>
          </cell>
          <cell r="E261" t="str">
            <v>DR NICOLAS AVELLANEDA</v>
          </cell>
          <cell r="F261">
            <v>7</v>
          </cell>
          <cell r="H261" t="str">
            <v>VILLA IRIS</v>
          </cell>
          <cell r="I261" t="str">
            <v>B8126ZAA</v>
          </cell>
        </row>
        <row r="262">
          <cell r="A262" t="str">
            <v>B0533</v>
          </cell>
          <cell r="B262" t="str">
            <v>BUENOS AIRES</v>
          </cell>
          <cell r="C262" t="str">
            <v>PATAGONES</v>
          </cell>
          <cell r="D262" t="str">
            <v>VILLALONGA</v>
          </cell>
          <cell r="E262" t="str">
            <v>F URQUIJO DE SEXE</v>
          </cell>
          <cell r="F262">
            <v>170</v>
          </cell>
          <cell r="H262" t="str">
            <v>VILLALONGA</v>
          </cell>
          <cell r="I262" t="str">
            <v>B8512ZAA</v>
          </cell>
        </row>
        <row r="263">
          <cell r="A263" t="str">
            <v>B0535</v>
          </cell>
          <cell r="B263" t="str">
            <v>BUENOS AIRES</v>
          </cell>
          <cell r="C263" t="str">
            <v>ADOLFO GONZALES CHAVES</v>
          </cell>
          <cell r="D263" t="str">
            <v>ADOLFO GONZALES CHAVES</v>
          </cell>
          <cell r="E263" t="str">
            <v>GRAL PAZ</v>
          </cell>
          <cell r="F263">
            <v>267</v>
          </cell>
          <cell r="H263" t="str">
            <v>ADOLFO GONZALES CHAVES</v>
          </cell>
          <cell r="I263" t="str">
            <v>B7513ZAA</v>
          </cell>
        </row>
        <row r="264">
          <cell r="A264" t="str">
            <v>B0536</v>
          </cell>
          <cell r="B264" t="str">
            <v>BUENOS AIRES</v>
          </cell>
          <cell r="C264" t="str">
            <v>VILLARINO</v>
          </cell>
          <cell r="D264" t="str">
            <v>JUAN COUSTE</v>
          </cell>
          <cell r="E264" t="str">
            <v>D CLEMENTE PENE</v>
          </cell>
          <cell r="F264">
            <v>283</v>
          </cell>
          <cell r="H264" t="str">
            <v>JUAN COUSTE</v>
          </cell>
          <cell r="I264" t="str">
            <v>B8136ZAA</v>
          </cell>
        </row>
        <row r="265">
          <cell r="A265" t="str">
            <v>B0537</v>
          </cell>
          <cell r="B265" t="str">
            <v>BUENOS AIRES</v>
          </cell>
          <cell r="C265" t="str">
            <v>SAAVEDRA</v>
          </cell>
          <cell r="D265" t="str">
            <v>ARROYO CORTO</v>
          </cell>
          <cell r="E265" t="str">
            <v>GOSETTI Y BIGA</v>
          </cell>
          <cell r="F265">
            <v>57</v>
          </cell>
          <cell r="H265" t="str">
            <v>ARROYO CORTO</v>
          </cell>
          <cell r="I265" t="str">
            <v>B8172ZAA</v>
          </cell>
        </row>
        <row r="266">
          <cell r="A266" t="str">
            <v>B0538</v>
          </cell>
          <cell r="B266" t="str">
            <v>BUENOS AIRES</v>
          </cell>
          <cell r="C266" t="str">
            <v>AZUL</v>
          </cell>
          <cell r="D266" t="str">
            <v>AZUL</v>
          </cell>
          <cell r="E266" t="str">
            <v>IRIGOYEN</v>
          </cell>
          <cell r="F266">
            <v>549</v>
          </cell>
          <cell r="H266" t="str">
            <v>AZUL</v>
          </cell>
          <cell r="I266" t="str">
            <v>B7300ZAA</v>
          </cell>
        </row>
        <row r="267">
          <cell r="A267" t="str">
            <v>B0540</v>
          </cell>
          <cell r="B267" t="str">
            <v>BUENOS AIRES</v>
          </cell>
          <cell r="C267" t="str">
            <v>TRES ARROYOS</v>
          </cell>
          <cell r="D267" t="str">
            <v>BALNEARIO CLAROMECO</v>
          </cell>
          <cell r="E267" t="str">
            <v>CALLE 28</v>
          </cell>
          <cell r="F267">
            <v>375</v>
          </cell>
          <cell r="H267" t="str">
            <v>BALNEARIO CLAROMECO</v>
          </cell>
          <cell r="I267" t="str">
            <v>B7505ZAA</v>
          </cell>
        </row>
        <row r="268">
          <cell r="A268" t="str">
            <v>B0542</v>
          </cell>
          <cell r="B268" t="str">
            <v>BUENOS AIRES</v>
          </cell>
          <cell r="C268" t="str">
            <v>MONTE HERMOSO</v>
          </cell>
          <cell r="D268" t="str">
            <v>MONTE HERMOSO</v>
          </cell>
          <cell r="E268" t="str">
            <v>AV FARO RECALADA</v>
          </cell>
          <cell r="F268">
            <v>363</v>
          </cell>
          <cell r="H268" t="str">
            <v>MONTE HERMOSO</v>
          </cell>
          <cell r="I268" t="str">
            <v>B8153ZAA</v>
          </cell>
        </row>
        <row r="269">
          <cell r="A269" t="str">
            <v>B0543</v>
          </cell>
          <cell r="B269" t="str">
            <v>BUENOS AIRES</v>
          </cell>
          <cell r="C269" t="str">
            <v>BAHIA BLANCA</v>
          </cell>
          <cell r="D269" t="str">
            <v>BASE AERONAVAL CMTE ESPORA</v>
          </cell>
          <cell r="E269" t="str">
            <v>TENIENTE DE CORBETA DIEGO LOUVER JAMBERT</v>
          </cell>
          <cell r="H269" t="str">
            <v>BASE CTE. ESPORA</v>
          </cell>
          <cell r="I269" t="str">
            <v>B8107ZAA</v>
          </cell>
        </row>
        <row r="270">
          <cell r="A270" t="str">
            <v>B0544</v>
          </cell>
          <cell r="B270" t="str">
            <v>BUENOS AIRES</v>
          </cell>
          <cell r="C270" t="str">
            <v>CORONEL ROSALES</v>
          </cell>
          <cell r="D270" t="str">
            <v>BATERIAS</v>
          </cell>
          <cell r="E270" t="str">
            <v>HEROES DE MALVINAS S/N</v>
          </cell>
          <cell r="H270" t="str">
            <v>BATERIAS</v>
          </cell>
          <cell r="I270" t="str">
            <v>B8113ZAA</v>
          </cell>
        </row>
        <row r="271">
          <cell r="A271" t="str">
            <v>B0545</v>
          </cell>
          <cell r="B271" t="str">
            <v>BUENOS AIRES</v>
          </cell>
          <cell r="C271" t="str">
            <v>BENITO JUAREZ</v>
          </cell>
          <cell r="D271" t="str">
            <v>BENITO JUAREZ</v>
          </cell>
          <cell r="E271" t="str">
            <v>DR MARIANO MORENO</v>
          </cell>
          <cell r="F271">
            <v>2</v>
          </cell>
          <cell r="H271" t="str">
            <v>BENITO JUAREZ</v>
          </cell>
          <cell r="I271" t="str">
            <v>B7020ZAA</v>
          </cell>
        </row>
        <row r="272">
          <cell r="A272" t="str">
            <v>B0546</v>
          </cell>
          <cell r="B272" t="str">
            <v>BUENOS AIRES</v>
          </cell>
          <cell r="C272" t="str">
            <v>GUAMINI</v>
          </cell>
          <cell r="D272" t="str">
            <v>BONIFACIO</v>
          </cell>
          <cell r="E272" t="str">
            <v>ESPAÃ‘A 550</v>
          </cell>
          <cell r="H272" t="str">
            <v>BONIFACIO</v>
          </cell>
          <cell r="I272" t="str">
            <v>B6439ZAA</v>
          </cell>
        </row>
        <row r="273">
          <cell r="A273" t="str">
            <v>B0547</v>
          </cell>
          <cell r="B273" t="str">
            <v>BUENOS AIRES</v>
          </cell>
          <cell r="C273" t="str">
            <v>PUAN</v>
          </cell>
          <cell r="D273" t="str">
            <v>BORDENAVE</v>
          </cell>
          <cell r="E273" t="str">
            <v>CACIQUE PINCEN</v>
          </cell>
          <cell r="F273">
            <v>102</v>
          </cell>
          <cell r="H273" t="str">
            <v>BORDENAVE</v>
          </cell>
          <cell r="I273" t="str">
            <v>B8187ZAA</v>
          </cell>
        </row>
        <row r="274">
          <cell r="A274" t="str">
            <v>B0548</v>
          </cell>
          <cell r="B274" t="str">
            <v>BUENOS AIRES</v>
          </cell>
          <cell r="C274" t="str">
            <v>BAHIA BLANCA</v>
          </cell>
          <cell r="D274" t="str">
            <v>CABILDO</v>
          </cell>
          <cell r="E274" t="str">
            <v>AZCUENAGA</v>
          </cell>
          <cell r="F274">
            <v>2</v>
          </cell>
          <cell r="H274" t="str">
            <v>CABILDO</v>
          </cell>
          <cell r="I274" t="str">
            <v>B8118ZAA</v>
          </cell>
        </row>
        <row r="275">
          <cell r="A275" t="str">
            <v>B0549</v>
          </cell>
          <cell r="B275" t="str">
            <v>BUENOS AIRES</v>
          </cell>
          <cell r="C275" t="str">
            <v>ADOLFO ALSINA</v>
          </cell>
          <cell r="D275" t="str">
            <v>CARHUE</v>
          </cell>
          <cell r="E275" t="str">
            <v>BME MITRE</v>
          </cell>
          <cell r="F275">
            <v>998</v>
          </cell>
          <cell r="H275" t="str">
            <v>CARHUE</v>
          </cell>
          <cell r="I275" t="str">
            <v>B6430ZAA</v>
          </cell>
        </row>
        <row r="276">
          <cell r="A276" t="str">
            <v>B0550</v>
          </cell>
          <cell r="B276" t="str">
            <v>BUENOS AIRES</v>
          </cell>
          <cell r="C276" t="str">
            <v>PATAGONES</v>
          </cell>
          <cell r="D276" t="str">
            <v>CARMEN DE PATAGONES</v>
          </cell>
          <cell r="E276" t="str">
            <v>PARAGUAY</v>
          </cell>
          <cell r="F276">
            <v>38</v>
          </cell>
          <cell r="H276" t="str">
            <v>C. DE PATAGONES</v>
          </cell>
          <cell r="I276" t="str">
            <v>B8504ZAA</v>
          </cell>
        </row>
        <row r="277">
          <cell r="A277" t="str">
            <v>B0551</v>
          </cell>
          <cell r="B277" t="str">
            <v>BUENOS AIRES</v>
          </cell>
          <cell r="C277" t="str">
            <v>GUAMINI</v>
          </cell>
          <cell r="D277" t="str">
            <v>CASBAS</v>
          </cell>
          <cell r="E277" t="str">
            <v>DOMINGO SARMIENTO</v>
          </cell>
          <cell r="F277">
            <v>259</v>
          </cell>
          <cell r="H277" t="str">
            <v>CASBAS</v>
          </cell>
          <cell r="I277" t="str">
            <v>B6417ZAA</v>
          </cell>
        </row>
        <row r="278">
          <cell r="A278" t="str">
            <v>B0552</v>
          </cell>
          <cell r="B278" t="str">
            <v>BUENOS AIRES</v>
          </cell>
          <cell r="C278" t="str">
            <v>AZUL</v>
          </cell>
          <cell r="D278" t="str">
            <v>CHILLAR</v>
          </cell>
          <cell r="E278" t="str">
            <v>MARIO TEOFILO CORTAZAR</v>
          </cell>
          <cell r="F278">
            <v>1172</v>
          </cell>
          <cell r="H278" t="str">
            <v>CHILLAR</v>
          </cell>
          <cell r="I278" t="str">
            <v>B7311ZAA</v>
          </cell>
        </row>
        <row r="279">
          <cell r="A279" t="str">
            <v>B0553</v>
          </cell>
          <cell r="B279" t="str">
            <v>BUENOS AIRES</v>
          </cell>
          <cell r="C279" t="str">
            <v>TRES ARROYOS</v>
          </cell>
          <cell r="D279" t="str">
            <v>COPETONAS</v>
          </cell>
          <cell r="E279" t="str">
            <v>TTE GRAL ARAMBURU</v>
          </cell>
          <cell r="F279">
            <v>509</v>
          </cell>
          <cell r="H279" t="str">
            <v>COPETONAS</v>
          </cell>
          <cell r="I279" t="str">
            <v>B7511ZAA</v>
          </cell>
        </row>
        <row r="280">
          <cell r="A280" t="str">
            <v>B0554</v>
          </cell>
          <cell r="B280" t="str">
            <v>BUENOS AIRES</v>
          </cell>
          <cell r="C280" t="str">
            <v>CORONEL DORREGO</v>
          </cell>
          <cell r="D280" t="str">
            <v>CORONEL DORREGO</v>
          </cell>
          <cell r="E280" t="str">
            <v>AV DR NIRIDO E SANTAGADA</v>
          </cell>
          <cell r="F280">
            <v>645</v>
          </cell>
          <cell r="H280" t="str">
            <v>CNEL. DORREGO</v>
          </cell>
          <cell r="I280" t="str">
            <v>B8150ZAA</v>
          </cell>
        </row>
        <row r="281">
          <cell r="A281" t="str">
            <v>B0555</v>
          </cell>
          <cell r="B281" t="str">
            <v>BUENOS AIRES</v>
          </cell>
          <cell r="C281" t="str">
            <v>CORONEL PRINGLES</v>
          </cell>
          <cell r="D281" t="str">
            <v>CORONEL PRINGLES</v>
          </cell>
          <cell r="E281" t="str">
            <v>JUAN CABRERA</v>
          </cell>
          <cell r="F281">
            <v>405</v>
          </cell>
          <cell r="H281" t="str">
            <v>CNEL. PRINGLES</v>
          </cell>
          <cell r="I281" t="str">
            <v>B7530ZAA</v>
          </cell>
        </row>
        <row r="282">
          <cell r="A282" t="str">
            <v>B0556</v>
          </cell>
          <cell r="B282" t="str">
            <v>BUENOS AIRES</v>
          </cell>
          <cell r="C282" t="str">
            <v>CORONEL SUAREZ</v>
          </cell>
          <cell r="D282" t="str">
            <v>CORONEL SUAREZ</v>
          </cell>
          <cell r="E282" t="str">
            <v>AV DR A ALSINA</v>
          </cell>
          <cell r="F282">
            <v>270</v>
          </cell>
          <cell r="H282" t="str">
            <v>CORONEL SUAREZ</v>
          </cell>
          <cell r="I282" t="str">
            <v>B7540ZAA</v>
          </cell>
        </row>
        <row r="283">
          <cell r="A283" t="str">
            <v>B0557</v>
          </cell>
          <cell r="B283" t="str">
            <v>BUENOS AIRES</v>
          </cell>
          <cell r="C283" t="str">
            <v>DAIREAUX</v>
          </cell>
          <cell r="D283" t="str">
            <v>DAIREAUX</v>
          </cell>
          <cell r="E283" t="str">
            <v>GRAL NICOLAS LEVALLE</v>
          </cell>
          <cell r="F283">
            <v>53</v>
          </cell>
          <cell r="H283" t="str">
            <v>DAIREAUX</v>
          </cell>
          <cell r="I283" t="str">
            <v>B6555ZAA</v>
          </cell>
        </row>
        <row r="284">
          <cell r="A284" t="str">
            <v>B0558</v>
          </cell>
          <cell r="B284" t="str">
            <v>BUENOS AIRES</v>
          </cell>
          <cell r="C284" t="str">
            <v>PUAN</v>
          </cell>
          <cell r="D284" t="str">
            <v>DARREGUEIRA</v>
          </cell>
          <cell r="E284" t="str">
            <v>PADRE NIEHAUS</v>
          </cell>
          <cell r="F284">
            <v>195</v>
          </cell>
          <cell r="H284" t="str">
            <v>DARREGUEIRA</v>
          </cell>
          <cell r="I284" t="str">
            <v>B8183ZAA</v>
          </cell>
        </row>
        <row r="285">
          <cell r="A285" t="str">
            <v>B0559</v>
          </cell>
          <cell r="B285" t="str">
            <v>BUENOS AIRES</v>
          </cell>
          <cell r="C285" t="str">
            <v>ADOLFO GONZALES CHAVES</v>
          </cell>
          <cell r="D285" t="str">
            <v>DE LA GARMA</v>
          </cell>
          <cell r="E285" t="str">
            <v>AV ANTONIO CIANCAGLINI</v>
          </cell>
          <cell r="F285">
            <v>65</v>
          </cell>
          <cell r="H285" t="str">
            <v>DE LA GARMA</v>
          </cell>
          <cell r="I285" t="str">
            <v>B7515ZAA</v>
          </cell>
        </row>
        <row r="286">
          <cell r="A286" t="str">
            <v>B0561</v>
          </cell>
          <cell r="B286" t="str">
            <v>BUENOS AIRES</v>
          </cell>
          <cell r="C286" t="str">
            <v>SAAVEDRA</v>
          </cell>
          <cell r="D286" t="str">
            <v>ESPARTILLAR</v>
          </cell>
          <cell r="E286" t="str">
            <v>AUGUSTO BONDAZ</v>
          </cell>
          <cell r="F286">
            <v>441</v>
          </cell>
          <cell r="H286" t="str">
            <v>ESPARTILLAR</v>
          </cell>
          <cell r="I286" t="str">
            <v>B8171ZAA</v>
          </cell>
        </row>
        <row r="287">
          <cell r="A287" t="str">
            <v>B0563</v>
          </cell>
          <cell r="B287" t="str">
            <v>BUENOS AIRES</v>
          </cell>
          <cell r="C287" t="str">
            <v>PUAN</v>
          </cell>
          <cell r="D287" t="str">
            <v>FELIPE SOLA</v>
          </cell>
          <cell r="E287" t="str">
            <v>LINIERS</v>
          </cell>
          <cell r="F287">
            <v>362</v>
          </cell>
          <cell r="H287" t="str">
            <v>FELIPE SOLA</v>
          </cell>
          <cell r="I287" t="str">
            <v>B8129ZAA</v>
          </cell>
        </row>
        <row r="288">
          <cell r="A288" t="str">
            <v>B0564</v>
          </cell>
          <cell r="B288" t="str">
            <v>BUENOS AIRES</v>
          </cell>
          <cell r="C288" t="str">
            <v>TRENQUE LAUQUEN</v>
          </cell>
          <cell r="D288" t="str">
            <v>GARRE</v>
          </cell>
          <cell r="E288" t="str">
            <v>AV SAN MARTIN</v>
          </cell>
          <cell r="F288">
            <v>633</v>
          </cell>
          <cell r="H288" t="str">
            <v>GARRE</v>
          </cell>
          <cell r="I288" t="str">
            <v>B6411ZAA</v>
          </cell>
        </row>
        <row r="289">
          <cell r="A289" t="str">
            <v>B0565</v>
          </cell>
          <cell r="B289" t="str">
            <v>BUENOS AIRES</v>
          </cell>
          <cell r="C289" t="str">
            <v>BAHIA BLANCA</v>
          </cell>
          <cell r="D289" t="str">
            <v>GRAL DANIEL CERRI</v>
          </cell>
          <cell r="E289" t="str">
            <v>DR JUAN J PASO</v>
          </cell>
          <cell r="F289">
            <v>502</v>
          </cell>
          <cell r="H289" t="str">
            <v>GRAL. D. CERRI</v>
          </cell>
          <cell r="I289" t="str">
            <v>B8105ZAA</v>
          </cell>
        </row>
        <row r="290">
          <cell r="A290" t="str">
            <v>B0566</v>
          </cell>
          <cell r="B290" t="str">
            <v>BUENOS AIRES</v>
          </cell>
          <cell r="C290" t="str">
            <v>GENERAL LAMADRID</v>
          </cell>
          <cell r="D290" t="str">
            <v>GENERAL LAMADRID</v>
          </cell>
          <cell r="E290" t="str">
            <v>25 DE MAYO</v>
          </cell>
          <cell r="F290">
            <v>429</v>
          </cell>
          <cell r="H290" t="str">
            <v>GRAL. LAMADRID</v>
          </cell>
          <cell r="I290" t="str">
            <v>B7406ZAA</v>
          </cell>
        </row>
        <row r="291">
          <cell r="A291" t="str">
            <v>B0567</v>
          </cell>
          <cell r="B291" t="str">
            <v>BUENOS AIRES</v>
          </cell>
          <cell r="C291" t="str">
            <v>SAAVEDRA</v>
          </cell>
          <cell r="D291" t="str">
            <v>GOYENA</v>
          </cell>
          <cell r="E291" t="str">
            <v>ESPAÃ‘A</v>
          </cell>
          <cell r="F291">
            <v>213</v>
          </cell>
          <cell r="H291" t="str">
            <v>GOYENA</v>
          </cell>
          <cell r="I291" t="str">
            <v>B8175ZAA</v>
          </cell>
        </row>
        <row r="292">
          <cell r="A292" t="str">
            <v>B0568</v>
          </cell>
          <cell r="B292" t="str">
            <v>BUENOS AIRES</v>
          </cell>
          <cell r="C292" t="str">
            <v>GUAMINI</v>
          </cell>
          <cell r="D292" t="str">
            <v>GUAMINI</v>
          </cell>
          <cell r="E292" t="str">
            <v>ALSINA</v>
          </cell>
          <cell r="F292">
            <v>653</v>
          </cell>
          <cell r="H292" t="str">
            <v>GUAMINÃ</v>
          </cell>
          <cell r="I292" t="str">
            <v>B6435ZAA</v>
          </cell>
        </row>
        <row r="293">
          <cell r="A293" t="str">
            <v>B0569</v>
          </cell>
          <cell r="B293" t="str">
            <v>BUENOS AIRES</v>
          </cell>
          <cell r="C293" t="str">
            <v>VILLARINO</v>
          </cell>
          <cell r="D293" t="str">
            <v>HILARIO ASCASUBI</v>
          </cell>
          <cell r="E293" t="str">
            <v>CALLE 14</v>
          </cell>
          <cell r="F293">
            <v>61</v>
          </cell>
          <cell r="H293" t="str">
            <v>HILARIO ASCASUBI</v>
          </cell>
          <cell r="I293" t="str">
            <v>B8142ZAA</v>
          </cell>
        </row>
        <row r="294">
          <cell r="A294" t="str">
            <v>B0570</v>
          </cell>
          <cell r="B294" t="str">
            <v>BUENOS AIRES</v>
          </cell>
          <cell r="C294" t="str">
            <v>OLAVARRIA</v>
          </cell>
          <cell r="D294" t="str">
            <v>HINOJO</v>
          </cell>
          <cell r="E294" t="str">
            <v>CALLE 11</v>
          </cell>
          <cell r="F294">
            <v>0</v>
          </cell>
          <cell r="H294" t="str">
            <v>HINOJO</v>
          </cell>
          <cell r="I294" t="str">
            <v>B7318ZAA</v>
          </cell>
        </row>
        <row r="295">
          <cell r="A295" t="str">
            <v>B0571</v>
          </cell>
          <cell r="B295" t="str">
            <v>BUENOS AIRES</v>
          </cell>
          <cell r="C295" t="str">
            <v>CORONEL SUAREZ</v>
          </cell>
          <cell r="D295" t="str">
            <v>HUANGUELEN</v>
          </cell>
          <cell r="E295" t="str">
            <v>ALTE G BROWN</v>
          </cell>
          <cell r="F295">
            <v>364</v>
          </cell>
          <cell r="H295" t="str">
            <v>HUANGUELEN</v>
          </cell>
          <cell r="I295" t="str">
            <v>B7545ZAA</v>
          </cell>
        </row>
        <row r="296">
          <cell r="A296" t="str">
            <v>B0572</v>
          </cell>
          <cell r="B296" t="str">
            <v>BUENOS AIRES</v>
          </cell>
          <cell r="C296" t="str">
            <v>CORONEL PRINGLES</v>
          </cell>
          <cell r="D296" t="str">
            <v>INDIO RICO</v>
          </cell>
          <cell r="E296" t="str">
            <v>ANTONIO GOÃ‘I MORENO</v>
          </cell>
          <cell r="F296">
            <v>50</v>
          </cell>
          <cell r="H296" t="str">
            <v>INDIO RICO</v>
          </cell>
          <cell r="I296" t="str">
            <v>B7501ZAA</v>
          </cell>
        </row>
        <row r="297">
          <cell r="A297" t="str">
            <v>B0573</v>
          </cell>
          <cell r="B297" t="str">
            <v>BUENOS AIRES</v>
          </cell>
          <cell r="C297" t="str">
            <v>BAHIA BLANCA</v>
          </cell>
          <cell r="D297" t="str">
            <v>INGENIERO WHITE</v>
          </cell>
          <cell r="E297" t="str">
            <v>GRAL M BELGRANO</v>
          </cell>
          <cell r="F297">
            <v>3654</v>
          </cell>
          <cell r="H297" t="str">
            <v>ING. WHITE</v>
          </cell>
          <cell r="I297" t="str">
            <v>B8103ZAA</v>
          </cell>
        </row>
        <row r="298">
          <cell r="A298" t="str">
            <v>B0574</v>
          </cell>
          <cell r="B298" t="str">
            <v>BUENOS AIRES</v>
          </cell>
          <cell r="C298" t="str">
            <v>CORONEL DORREGO</v>
          </cell>
          <cell r="D298" t="str">
            <v>EL PERDIDO EST JOSE GUISASOLA</v>
          </cell>
          <cell r="E298" t="str">
            <v>ESPAÃ‘A</v>
          </cell>
          <cell r="F298">
            <v>948</v>
          </cell>
          <cell r="H298" t="str">
            <v>EL PERDIDO</v>
          </cell>
          <cell r="I298" t="str">
            <v>B8156ZAA</v>
          </cell>
        </row>
        <row r="299">
          <cell r="A299" t="str">
            <v>B0575</v>
          </cell>
          <cell r="B299" t="str">
            <v>BUENOS AIRES</v>
          </cell>
          <cell r="C299" t="str">
            <v>GENERAL LAMADRID</v>
          </cell>
          <cell r="D299" t="str">
            <v>LA COLINA</v>
          </cell>
          <cell r="E299" t="str">
            <v>ELISEO MAÃ‘AY</v>
          </cell>
          <cell r="F299">
            <v>75</v>
          </cell>
          <cell r="H299" t="str">
            <v>LA COLINA</v>
          </cell>
          <cell r="I299" t="str">
            <v>B7408ZAA</v>
          </cell>
        </row>
        <row r="300">
          <cell r="A300" t="str">
            <v>B0576</v>
          </cell>
          <cell r="B300" t="str">
            <v>BUENOS AIRES</v>
          </cell>
          <cell r="C300" t="str">
            <v>LAPRIDA</v>
          </cell>
          <cell r="D300" t="str">
            <v>LAPRIDA</v>
          </cell>
          <cell r="E300" t="str">
            <v>DR RAMON SANTAMARINA</v>
          </cell>
          <cell r="F300">
            <v>1133</v>
          </cell>
          <cell r="H300" t="str">
            <v>LAPRIDA</v>
          </cell>
          <cell r="I300" t="str">
            <v>B7414ZAA</v>
          </cell>
        </row>
        <row r="301">
          <cell r="A301" t="str">
            <v>B0577</v>
          </cell>
          <cell r="B301" t="str">
            <v>BUENOS AIRES</v>
          </cell>
          <cell r="C301" t="str">
            <v>VILLARINO</v>
          </cell>
          <cell r="D301" t="str">
            <v>MAYOR BURATOVICH</v>
          </cell>
          <cell r="E301" t="str">
            <v>AV JUAN M DE ROSAS</v>
          </cell>
          <cell r="F301">
            <v>1101</v>
          </cell>
          <cell r="H301" t="str">
            <v>MAYOR BURATOVICH</v>
          </cell>
          <cell r="I301" t="str">
            <v>B8146ZAA</v>
          </cell>
        </row>
        <row r="302">
          <cell r="A302" t="str">
            <v>B0578</v>
          </cell>
          <cell r="B302" t="str">
            <v>BUENOS AIRES</v>
          </cell>
          <cell r="C302" t="str">
            <v>ADOLFO ALSINA</v>
          </cell>
          <cell r="D302" t="str">
            <v>VILLA MAZA</v>
          </cell>
          <cell r="E302" t="str">
            <v>AV 25 DE MAYO</v>
          </cell>
          <cell r="F302">
            <v>265</v>
          </cell>
          <cell r="H302" t="str">
            <v>MAZA</v>
          </cell>
          <cell r="I302" t="str">
            <v>B6343ZAA</v>
          </cell>
        </row>
        <row r="303">
          <cell r="A303" t="str">
            <v>B0579</v>
          </cell>
          <cell r="B303" t="str">
            <v>BUENOS AIRES</v>
          </cell>
          <cell r="C303" t="str">
            <v>VILLARINO</v>
          </cell>
          <cell r="D303" t="str">
            <v>MEDANOS</v>
          </cell>
          <cell r="E303" t="str">
            <v>AV MITRE</v>
          </cell>
          <cell r="F303">
            <v>650</v>
          </cell>
          <cell r="H303" t="str">
            <v>MÃ‰DANOS</v>
          </cell>
          <cell r="I303" t="str">
            <v>B8132ZAA</v>
          </cell>
        </row>
        <row r="304">
          <cell r="A304" t="str">
            <v>B0580</v>
          </cell>
          <cell r="B304" t="str">
            <v>BUENOS AIRES</v>
          </cell>
          <cell r="C304" t="str">
            <v>TRES ARROYOS</v>
          </cell>
          <cell r="D304" t="str">
            <v>MICAELA CASCALLARES</v>
          </cell>
          <cell r="E304" t="str">
            <v>2 DE ABRIL</v>
          </cell>
          <cell r="F304">
            <v>300</v>
          </cell>
          <cell r="H304" t="str">
            <v>MICAELA CASCALLARES</v>
          </cell>
          <cell r="I304" t="str">
            <v>B7507ZAA</v>
          </cell>
        </row>
        <row r="305">
          <cell r="A305" t="str">
            <v>B0581</v>
          </cell>
          <cell r="B305" t="str">
            <v>BUENOS AIRES</v>
          </cell>
          <cell r="C305" t="str">
            <v>OLAVARRIA</v>
          </cell>
          <cell r="D305" t="str">
            <v>OLAVARRIA</v>
          </cell>
          <cell r="E305" t="str">
            <v>GRAL PAZ</v>
          </cell>
          <cell r="F305">
            <v>2973</v>
          </cell>
          <cell r="H305" t="str">
            <v>OLAVARRIA</v>
          </cell>
          <cell r="I305" t="str">
            <v>B7400ZAA</v>
          </cell>
        </row>
        <row r="306">
          <cell r="A306" t="str">
            <v>B0582</v>
          </cell>
          <cell r="B306" t="str">
            <v>BUENOS AIRES</v>
          </cell>
          <cell r="C306" t="str">
            <v>TRES ARROYOS</v>
          </cell>
          <cell r="D306" t="str">
            <v>ORENSE</v>
          </cell>
          <cell r="E306" t="str">
            <v>AV GRAL SAN MARTIN</v>
          </cell>
          <cell r="F306">
            <v>257</v>
          </cell>
          <cell r="H306" t="str">
            <v>ORENSE</v>
          </cell>
          <cell r="I306" t="str">
            <v>B7503ZAA</v>
          </cell>
        </row>
        <row r="307">
          <cell r="A307" t="str">
            <v>B0583</v>
          </cell>
          <cell r="B307" t="str">
            <v>BUENOS AIRES</v>
          </cell>
          <cell r="C307" t="str">
            <v>CORONEL DORREGO</v>
          </cell>
          <cell r="D307" t="str">
            <v>ORIENTE</v>
          </cell>
          <cell r="E307" t="str">
            <v>AV LIBERTADOR GRAL SAN MARTIN</v>
          </cell>
          <cell r="F307">
            <v>253</v>
          </cell>
          <cell r="H307" t="str">
            <v>ORIENTE</v>
          </cell>
          <cell r="I307" t="str">
            <v>B7509ZAA</v>
          </cell>
        </row>
        <row r="308">
          <cell r="A308" t="str">
            <v>B0584</v>
          </cell>
          <cell r="B308" t="str">
            <v>BUENOS AIRES</v>
          </cell>
          <cell r="C308" t="str">
            <v>VILLARINO</v>
          </cell>
          <cell r="D308" t="str">
            <v>PEDRO LURO</v>
          </cell>
          <cell r="E308" t="str">
            <v>CALLE 24</v>
          </cell>
          <cell r="F308">
            <v>141</v>
          </cell>
          <cell r="H308" t="str">
            <v>PEDRO LURO</v>
          </cell>
          <cell r="I308" t="str">
            <v>B8148ZAA</v>
          </cell>
        </row>
        <row r="309">
          <cell r="A309" t="str">
            <v>B0585</v>
          </cell>
          <cell r="B309" t="str">
            <v>BUENOS AIRES</v>
          </cell>
          <cell r="C309" t="str">
            <v>SAAVEDRA</v>
          </cell>
          <cell r="D309" t="str">
            <v>PIGUE</v>
          </cell>
          <cell r="E309" t="str">
            <v>DR BERNARDO DE IRIGOYEN</v>
          </cell>
          <cell r="F309">
            <v>47</v>
          </cell>
          <cell r="H309" t="str">
            <v>PIGUÃ‰</v>
          </cell>
          <cell r="I309" t="str">
            <v>B8170ZAA</v>
          </cell>
        </row>
        <row r="310">
          <cell r="A310" t="str">
            <v>B0586</v>
          </cell>
          <cell r="B310" t="str">
            <v>BUENOS AIRES</v>
          </cell>
          <cell r="C310" t="str">
            <v>PUAN</v>
          </cell>
          <cell r="D310" t="str">
            <v>PUAN</v>
          </cell>
          <cell r="E310" t="str">
            <v>MORENO</v>
          </cell>
          <cell r="F310">
            <v>682</v>
          </cell>
          <cell r="H310" t="str">
            <v>PUÃN</v>
          </cell>
          <cell r="I310" t="str">
            <v>B8180ZAA</v>
          </cell>
        </row>
        <row r="311">
          <cell r="A311" t="str">
            <v>B0587</v>
          </cell>
          <cell r="B311" t="str">
            <v>BUENOS AIRES</v>
          </cell>
          <cell r="C311" t="str">
            <v>CORONEL SUAREZ</v>
          </cell>
          <cell r="D311" t="str">
            <v>PUEBLO SAN JOSE</v>
          </cell>
          <cell r="E311" t="str">
            <v>AV ALEMANES DEL VOLGA</v>
          </cell>
          <cell r="F311">
            <v>4325</v>
          </cell>
          <cell r="H311" t="str">
            <v>PUEBLO SAN JOSE</v>
          </cell>
          <cell r="I311" t="str">
            <v>B7541ZAA</v>
          </cell>
        </row>
        <row r="312">
          <cell r="A312" t="str">
            <v>B0588</v>
          </cell>
          <cell r="B312" t="str">
            <v>BUENOS AIRES</v>
          </cell>
          <cell r="C312" t="str">
            <v>CORONEL ROSALES</v>
          </cell>
          <cell r="D312" t="str">
            <v>PUERTO BELGRANO</v>
          </cell>
          <cell r="E312" t="str">
            <v>AV AL TEMPLO</v>
          </cell>
          <cell r="F312">
            <v>0</v>
          </cell>
          <cell r="H312" t="str">
            <v>PUERTO BELGRANO</v>
          </cell>
          <cell r="I312" t="str">
            <v>B8111ZAA</v>
          </cell>
        </row>
        <row r="313">
          <cell r="A313" t="str">
            <v>B0589</v>
          </cell>
          <cell r="B313" t="str">
            <v>BUENOS AIRES</v>
          </cell>
          <cell r="C313" t="str">
            <v>CORONEL ROSALES</v>
          </cell>
          <cell r="D313" t="str">
            <v>PUNTA ALTA</v>
          </cell>
          <cell r="E313" t="str">
            <v>AVELLANEDA</v>
          </cell>
          <cell r="F313">
            <v>602</v>
          </cell>
          <cell r="H313" t="str">
            <v>PUNTA ALTA</v>
          </cell>
          <cell r="I313" t="str">
            <v>B8109ZAA</v>
          </cell>
        </row>
        <row r="314">
          <cell r="A314" t="str">
            <v>B0590</v>
          </cell>
          <cell r="B314" t="str">
            <v>BUENOS AIRES</v>
          </cell>
          <cell r="C314" t="str">
            <v>ADOLFO ALSINA</v>
          </cell>
          <cell r="D314" t="str">
            <v>RIVERA</v>
          </cell>
          <cell r="E314" t="str">
            <v>25 DE MAYO</v>
          </cell>
          <cell r="F314">
            <v>310</v>
          </cell>
          <cell r="H314" t="str">
            <v>RIVERA</v>
          </cell>
          <cell r="I314" t="str">
            <v>B6441ZAA</v>
          </cell>
        </row>
        <row r="315">
          <cell r="A315" t="str">
            <v>B0591</v>
          </cell>
          <cell r="B315" t="str">
            <v>BUENOS AIRES</v>
          </cell>
          <cell r="C315" t="str">
            <v>SAAVEDRA</v>
          </cell>
          <cell r="D315" t="str">
            <v>SAAVEDRA</v>
          </cell>
          <cell r="E315" t="str">
            <v>AV CECILIO LOPEZ</v>
          </cell>
          <cell r="F315">
            <v>300</v>
          </cell>
          <cell r="H315" t="str">
            <v>SAAVEDRA</v>
          </cell>
          <cell r="I315" t="str">
            <v>B8174ZAA</v>
          </cell>
        </row>
        <row r="316">
          <cell r="A316" t="str">
            <v>B0592</v>
          </cell>
          <cell r="B316" t="str">
            <v>BUENOS AIRES</v>
          </cell>
          <cell r="C316" t="str">
            <v>DAIREAUX</v>
          </cell>
          <cell r="D316" t="str">
            <v>SALAZAR</v>
          </cell>
          <cell r="E316" t="str">
            <v>AV DR ADOLFO BARCELO</v>
          </cell>
          <cell r="F316">
            <v>453</v>
          </cell>
          <cell r="H316" t="str">
            <v>SALAZAR</v>
          </cell>
          <cell r="I316" t="str">
            <v>B6471ZAA</v>
          </cell>
        </row>
        <row r="317">
          <cell r="A317" t="str">
            <v>B0593</v>
          </cell>
          <cell r="B317" t="str">
            <v>BUENOS AIRES</v>
          </cell>
          <cell r="C317" t="str">
            <v>TORNQUIST</v>
          </cell>
          <cell r="D317" t="str">
            <v>SALDUNGARAY</v>
          </cell>
          <cell r="E317" t="str">
            <v>LA PLATA</v>
          </cell>
          <cell r="F317">
            <v>324</v>
          </cell>
          <cell r="H317" t="str">
            <v>SALDUNGARAY</v>
          </cell>
          <cell r="I317" t="str">
            <v>B8166ZAA</v>
          </cell>
        </row>
        <row r="318">
          <cell r="A318" t="str">
            <v>B0594</v>
          </cell>
          <cell r="B318" t="str">
            <v>BUENOS AIRES</v>
          </cell>
          <cell r="C318" t="str">
            <v>TRES ARROYOS</v>
          </cell>
          <cell r="D318" t="str">
            <v>SAN FRANCISCO DE BELLOCQ</v>
          </cell>
          <cell r="E318" t="str">
            <v>AV DR ARNALDO GIRADO</v>
          </cell>
          <cell r="F318">
            <v>567</v>
          </cell>
          <cell r="H318" t="str">
            <v>SAN FCO. DE BELLOCQ</v>
          </cell>
          <cell r="I318" t="str">
            <v>B7520ZAA</v>
          </cell>
        </row>
        <row r="319">
          <cell r="A319" t="str">
            <v>B0595</v>
          </cell>
          <cell r="B319" t="str">
            <v>BUENOS AIRES</v>
          </cell>
          <cell r="C319" t="str">
            <v>ADOLFO ALSINA</v>
          </cell>
          <cell r="D319" t="str">
            <v>SAN MIGUEL ARCANGEL</v>
          </cell>
          <cell r="E319" t="str">
            <v>LOS FUNDADORES</v>
          </cell>
          <cell r="F319">
            <v>175</v>
          </cell>
          <cell r="H319" t="str">
            <v>SAN MIGUEL ARCANGEL</v>
          </cell>
          <cell r="I319" t="str">
            <v>B8185ZAA</v>
          </cell>
        </row>
        <row r="320">
          <cell r="A320" t="str">
            <v>B0596</v>
          </cell>
          <cell r="B320" t="str">
            <v>BUENOS AIRES</v>
          </cell>
          <cell r="C320" t="str">
            <v>TORNQUIST</v>
          </cell>
          <cell r="D320" t="str">
            <v>SIERRA DE LA VENTANA</v>
          </cell>
          <cell r="E320" t="str">
            <v>AV ROCA</v>
          </cell>
          <cell r="F320">
            <v>195</v>
          </cell>
          <cell r="H320" t="str">
            <v>SIERRA DE LA VENTANA</v>
          </cell>
          <cell r="I320" t="str">
            <v>B8168ZAA</v>
          </cell>
        </row>
        <row r="321">
          <cell r="A321" t="str">
            <v>B0597</v>
          </cell>
          <cell r="B321" t="str">
            <v>BUENOS AIRES</v>
          </cell>
          <cell r="C321" t="str">
            <v>OLAVARRIA</v>
          </cell>
          <cell r="D321" t="str">
            <v>SIERRAS BAYAS</v>
          </cell>
          <cell r="E321" t="str">
            <v>ALFONSO AUST</v>
          </cell>
          <cell r="F321">
            <v>2190</v>
          </cell>
          <cell r="H321" t="str">
            <v>SIERRAS BAYAS</v>
          </cell>
          <cell r="I321" t="str">
            <v>B7403ZAA</v>
          </cell>
        </row>
        <row r="322">
          <cell r="A322" t="str">
            <v>B0700</v>
          </cell>
          <cell r="B322" t="str">
            <v>BUENOS AIRES</v>
          </cell>
          <cell r="C322" t="str">
            <v>GENERAL PUEYRREDON</v>
          </cell>
          <cell r="D322" t="str">
            <v>MAR DEL PLATA</v>
          </cell>
          <cell r="E322" t="str">
            <v>ALTE G BROWN</v>
          </cell>
          <cell r="F322">
            <v>1958</v>
          </cell>
          <cell r="H322" t="str">
            <v>COLEGIO DE ABOGADOS</v>
          </cell>
          <cell r="I322" t="str">
            <v>B7600ZAB</v>
          </cell>
        </row>
        <row r="323">
          <cell r="A323" t="str">
            <v>B0715</v>
          </cell>
          <cell r="B323" t="str">
            <v>BUENOS AIRES</v>
          </cell>
          <cell r="C323" t="str">
            <v>GENERAL PUEYRREDON</v>
          </cell>
          <cell r="D323" t="str">
            <v>MAR DEL PLATA</v>
          </cell>
          <cell r="E323" t="str">
            <v>GRAL MARTIN M GUEMES</v>
          </cell>
          <cell r="F323">
            <v>2714</v>
          </cell>
          <cell r="H323" t="str">
            <v>GUEMES</v>
          </cell>
          <cell r="I323" t="str">
            <v>B7600ZAF</v>
          </cell>
        </row>
        <row r="324">
          <cell r="A324" t="str">
            <v>B0716</v>
          </cell>
          <cell r="B324" t="str">
            <v>BUENOS AIRES</v>
          </cell>
          <cell r="C324" t="str">
            <v>GENERAL PUEYRREDON</v>
          </cell>
          <cell r="D324" t="str">
            <v>MAR DEL PLATA</v>
          </cell>
          <cell r="E324" t="str">
            <v>HIPOLITO YRIGOYEN</v>
          </cell>
          <cell r="F324">
            <v>1333</v>
          </cell>
          <cell r="H324" t="str">
            <v>MAR DEL PLATA CENTRO</v>
          </cell>
          <cell r="I324" t="str">
            <v>B7600ZAD</v>
          </cell>
        </row>
        <row r="325">
          <cell r="A325" t="str">
            <v>B0717</v>
          </cell>
          <cell r="B325" t="str">
            <v>BUENOS AIRES</v>
          </cell>
          <cell r="C325" t="str">
            <v>VILLA GESELL</v>
          </cell>
          <cell r="D325" t="str">
            <v>VILLA GESELL</v>
          </cell>
          <cell r="E325" t="str">
            <v>AV 4</v>
          </cell>
          <cell r="F325">
            <v>4001</v>
          </cell>
          <cell r="H325" t="str">
            <v>VILLA GESELL</v>
          </cell>
          <cell r="I325" t="str">
            <v>B7165ZAC</v>
          </cell>
        </row>
        <row r="326">
          <cell r="A326" t="str">
            <v>B0719</v>
          </cell>
          <cell r="B326" t="str">
            <v>BUENOS AIRES</v>
          </cell>
          <cell r="C326" t="str">
            <v>SAN ISIDRO</v>
          </cell>
          <cell r="D326" t="str">
            <v>MARTINEZ</v>
          </cell>
          <cell r="E326" t="str">
            <v>AV SANTA FE</v>
          </cell>
          <cell r="F326">
            <v>2052</v>
          </cell>
          <cell r="H326" t="str">
            <v>MARTINEZ</v>
          </cell>
          <cell r="I326" t="str">
            <v>B1640ZAA</v>
          </cell>
        </row>
        <row r="327">
          <cell r="A327" t="str">
            <v>B0720</v>
          </cell>
          <cell r="B327" t="str">
            <v>BUENOS AIRES</v>
          </cell>
          <cell r="C327" t="str">
            <v>QUILMES</v>
          </cell>
          <cell r="D327" t="str">
            <v>QUILMES</v>
          </cell>
          <cell r="E327" t="str">
            <v>HIPOLITO YRIGOYEN</v>
          </cell>
          <cell r="F327">
            <v>405</v>
          </cell>
          <cell r="H327" t="str">
            <v>QUILMES</v>
          </cell>
          <cell r="I327" t="str">
            <v>B1878ZAC</v>
          </cell>
        </row>
        <row r="328">
          <cell r="A328" t="str">
            <v>B0721</v>
          </cell>
          <cell r="B328" t="str">
            <v>BUENOS AIRES</v>
          </cell>
          <cell r="C328" t="str">
            <v>VICENTE LOPEZ</v>
          </cell>
          <cell r="D328" t="str">
            <v>MUNRO</v>
          </cell>
          <cell r="E328" t="str">
            <v>AV DR VELEZ SARSFIELD</v>
          </cell>
          <cell r="F328">
            <v>4319</v>
          </cell>
          <cell r="H328" t="str">
            <v>MUNRO</v>
          </cell>
          <cell r="I328" t="str">
            <v>B1605ZAB</v>
          </cell>
        </row>
        <row r="329">
          <cell r="A329" t="str">
            <v>B0722</v>
          </cell>
          <cell r="B329" t="str">
            <v>BUENOS AIRES</v>
          </cell>
          <cell r="C329" t="str">
            <v>LOMAS DE ZAMORA</v>
          </cell>
          <cell r="D329" t="str">
            <v>LOMAS DE ZAMORA</v>
          </cell>
          <cell r="E329" t="str">
            <v>AV PTE H YRIGOYEN</v>
          </cell>
          <cell r="F329">
            <v>9109</v>
          </cell>
          <cell r="H329" t="str">
            <v>LOMAS DE ZAMORA</v>
          </cell>
          <cell r="I329" t="str">
            <v>B1832ZAB</v>
          </cell>
        </row>
        <row r="330">
          <cell r="A330" t="str">
            <v>B0725</v>
          </cell>
          <cell r="B330" t="str">
            <v>BUENOS AIRES</v>
          </cell>
          <cell r="C330" t="str">
            <v>MORON</v>
          </cell>
          <cell r="D330" t="str">
            <v>MORON</v>
          </cell>
          <cell r="E330" t="str">
            <v>GRAL M BELGRANO</v>
          </cell>
          <cell r="F330">
            <v>252</v>
          </cell>
          <cell r="H330" t="str">
            <v>MORON</v>
          </cell>
          <cell r="I330" t="str">
            <v>B1708ZAB</v>
          </cell>
        </row>
        <row r="331">
          <cell r="A331" t="str">
            <v>B0727</v>
          </cell>
          <cell r="B331" t="str">
            <v>BUENOS AIRES</v>
          </cell>
          <cell r="C331" t="str">
            <v>LOMAS DE ZAMORA</v>
          </cell>
          <cell r="D331" t="str">
            <v>BANFIELD</v>
          </cell>
          <cell r="E331" t="str">
            <v>DR A ALSINA</v>
          </cell>
          <cell r="F331">
            <v>658</v>
          </cell>
          <cell r="H331" t="str">
            <v>BANFIELD</v>
          </cell>
          <cell r="I331" t="str">
            <v>B1828ZAA</v>
          </cell>
        </row>
        <row r="332">
          <cell r="A332" t="str">
            <v>B0900</v>
          </cell>
          <cell r="B332" t="str">
            <v>BUENOS AIRES</v>
          </cell>
          <cell r="C332" t="str">
            <v>GENERAL PUEYRREDON</v>
          </cell>
          <cell r="D332" t="str">
            <v>MAR DEL PLATA</v>
          </cell>
          <cell r="E332" t="str">
            <v>AV PEDRO LURO</v>
          </cell>
          <cell r="F332">
            <v>2460</v>
          </cell>
          <cell r="H332" t="str">
            <v>MAR DEL PLATA</v>
          </cell>
          <cell r="I332" t="str">
            <v>B7600ZAA</v>
          </cell>
        </row>
        <row r="333">
          <cell r="A333" t="str">
            <v>B0901</v>
          </cell>
          <cell r="B333" t="str">
            <v>BUENOS AIRES</v>
          </cell>
          <cell r="C333" t="str">
            <v>GENERAL PUEYRREDON</v>
          </cell>
          <cell r="D333" t="str">
            <v>MAR DEL PLATA</v>
          </cell>
          <cell r="E333" t="str">
            <v>AV CRISTOBAL COLON</v>
          </cell>
          <cell r="F333">
            <v>5556</v>
          </cell>
          <cell r="H333" t="str">
            <v>MAR DEL PLATA 1</v>
          </cell>
          <cell r="I333" t="str">
            <v>B7604ZAB</v>
          </cell>
        </row>
        <row r="334">
          <cell r="A334" t="str">
            <v>B0902</v>
          </cell>
          <cell r="B334" t="str">
            <v>BUENOS AIRES</v>
          </cell>
          <cell r="C334" t="str">
            <v>GENERAL PUEYRREDON</v>
          </cell>
          <cell r="D334" t="str">
            <v>MAR DEL PLATA</v>
          </cell>
          <cell r="E334" t="str">
            <v>GRAL M ACHA</v>
          </cell>
          <cell r="F334">
            <v>350</v>
          </cell>
          <cell r="H334" t="str">
            <v>MAR DEL PLATA 2</v>
          </cell>
          <cell r="I334" t="str">
            <v>B7603ZAB</v>
          </cell>
        </row>
        <row r="335">
          <cell r="A335" t="str">
            <v>B0904</v>
          </cell>
          <cell r="B335" t="str">
            <v>BUENOS AIRES</v>
          </cell>
          <cell r="C335" t="str">
            <v>GENERAL PUEYRREDON</v>
          </cell>
          <cell r="D335" t="str">
            <v>MAR DEL PLATA</v>
          </cell>
          <cell r="E335" t="str">
            <v>AV JACINTO PERALTA RAMOS</v>
          </cell>
          <cell r="F335">
            <v>865</v>
          </cell>
          <cell r="H335" t="str">
            <v>MAR DEL PLATA 4</v>
          </cell>
          <cell r="I335" t="str">
            <v>B7608ZAA</v>
          </cell>
        </row>
        <row r="336">
          <cell r="A336" t="str">
            <v>B0905</v>
          </cell>
          <cell r="B336" t="str">
            <v>BUENOS AIRES</v>
          </cell>
          <cell r="C336" t="str">
            <v>GENERAL PUEYRREDON</v>
          </cell>
          <cell r="D336" t="str">
            <v>MAR DEL PLATA</v>
          </cell>
          <cell r="E336" t="str">
            <v>DOMINGO SARMIENTO</v>
          </cell>
          <cell r="F336">
            <v>2702</v>
          </cell>
          <cell r="H336" t="str">
            <v>MAR DEL PLATA 5</v>
          </cell>
          <cell r="I336" t="str">
            <v>B7600ZAG</v>
          </cell>
        </row>
        <row r="337">
          <cell r="A337" t="str">
            <v>B0910</v>
          </cell>
          <cell r="B337" t="str">
            <v>BUENOS AIRES</v>
          </cell>
          <cell r="C337" t="str">
            <v>GENERAL PUEYRREDON</v>
          </cell>
          <cell r="D337" t="str">
            <v>BARRIO BATAN</v>
          </cell>
          <cell r="E337" t="str">
            <v>CALLE 153</v>
          </cell>
          <cell r="F337">
            <v>4264</v>
          </cell>
          <cell r="H337" t="str">
            <v>BARRIO BATAN</v>
          </cell>
          <cell r="I337" t="str">
            <v>B7601ZAA</v>
          </cell>
        </row>
        <row r="338">
          <cell r="A338" t="str">
            <v>B0912</v>
          </cell>
          <cell r="B338" t="str">
            <v>BUENOS AIRES</v>
          </cell>
          <cell r="C338" t="str">
            <v>GENERAL ALVARADO</v>
          </cell>
          <cell r="D338" t="str">
            <v>COMANDANTE NICANOR OTAMENDI</v>
          </cell>
          <cell r="E338" t="str">
            <v>ENTRE RIOS</v>
          </cell>
          <cell r="F338">
            <v>2374</v>
          </cell>
          <cell r="H338" t="str">
            <v>CTE. OTAMENDI</v>
          </cell>
          <cell r="I338" t="str">
            <v>B7613ZAA</v>
          </cell>
        </row>
        <row r="339">
          <cell r="A339" t="str">
            <v>B0914</v>
          </cell>
          <cell r="B339" t="str">
            <v>BUENOS AIRES</v>
          </cell>
          <cell r="C339" t="str">
            <v>MAR CHIQUITA</v>
          </cell>
          <cell r="D339" t="str">
            <v>CORONEL VIDAL</v>
          </cell>
          <cell r="E339" t="str">
            <v>GRAL PAZ</v>
          </cell>
          <cell r="F339">
            <v>538</v>
          </cell>
          <cell r="H339" t="str">
            <v>CORONEL VIDAL</v>
          </cell>
          <cell r="I339" t="str">
            <v>B7174ZAA</v>
          </cell>
        </row>
        <row r="340">
          <cell r="A340" t="str">
            <v>B0916</v>
          </cell>
          <cell r="B340" t="str">
            <v>BUENOS AIRES</v>
          </cell>
          <cell r="C340" t="str">
            <v>GENERAL GUIDO</v>
          </cell>
          <cell r="D340" t="str">
            <v>GENERAL GUIDO</v>
          </cell>
          <cell r="E340" t="str">
            <v>25 DE MAYO</v>
          </cell>
          <cell r="F340">
            <v>250</v>
          </cell>
          <cell r="H340" t="str">
            <v>GRAL. GUIDO</v>
          </cell>
          <cell r="I340" t="str">
            <v>B7118ZAA</v>
          </cell>
        </row>
        <row r="341">
          <cell r="A341" t="str">
            <v>B0918</v>
          </cell>
          <cell r="B341" t="str">
            <v>BUENOS AIRES</v>
          </cell>
          <cell r="C341" t="str">
            <v>GENERAL LAVALLE</v>
          </cell>
          <cell r="D341" t="str">
            <v>GENERAL LAVALLE</v>
          </cell>
          <cell r="E341" t="str">
            <v>ART DE LA SERNA</v>
          </cell>
          <cell r="F341">
            <v>1186</v>
          </cell>
          <cell r="H341" t="str">
            <v>GRAL. LAVALLE</v>
          </cell>
          <cell r="I341" t="str">
            <v>B7103ZAA</v>
          </cell>
        </row>
        <row r="342">
          <cell r="A342" t="str">
            <v>B0920</v>
          </cell>
          <cell r="B342" t="str">
            <v>BUENOS AIRES</v>
          </cell>
          <cell r="C342" t="str">
            <v>GENERAL MADARIAGA</v>
          </cell>
          <cell r="D342" t="str">
            <v>GENERAL MADARIAGA</v>
          </cell>
          <cell r="E342" t="str">
            <v>MITRE</v>
          </cell>
          <cell r="F342">
            <v>712</v>
          </cell>
          <cell r="H342" t="str">
            <v>GRAL. MADARIAGA</v>
          </cell>
          <cell r="I342" t="str">
            <v>B7163ZAA</v>
          </cell>
        </row>
        <row r="343">
          <cell r="A343" t="str">
            <v>B0922</v>
          </cell>
          <cell r="B343" t="str">
            <v>BUENOS AIRES</v>
          </cell>
          <cell r="C343" t="str">
            <v>MAR CHIQUITA</v>
          </cell>
          <cell r="D343" t="str">
            <v>GENERAL PIRAN</v>
          </cell>
          <cell r="E343" t="str">
            <v>DR MARIANO MORENO</v>
          </cell>
          <cell r="F343">
            <v>599</v>
          </cell>
          <cell r="H343" t="str">
            <v>GRAL. PIRAN</v>
          </cell>
          <cell r="I343" t="str">
            <v>B7172ZAA</v>
          </cell>
        </row>
        <row r="344">
          <cell r="A344" t="str">
            <v>B0924</v>
          </cell>
          <cell r="B344" t="str">
            <v>BUENOS AIRES</v>
          </cell>
          <cell r="C344" t="str">
            <v>NECOCHEA</v>
          </cell>
          <cell r="D344" t="str">
            <v>JUAN N FERNANDEZ</v>
          </cell>
          <cell r="E344" t="str">
            <v>CALLE 37</v>
          </cell>
          <cell r="F344">
            <v>1298</v>
          </cell>
          <cell r="H344" t="str">
            <v>J.N. FERNANDEZ</v>
          </cell>
          <cell r="I344" t="str">
            <v>B7011ZAA</v>
          </cell>
        </row>
        <row r="345">
          <cell r="A345" t="str">
            <v>B0926</v>
          </cell>
          <cell r="B345" t="str">
            <v>BUENOS AIRES</v>
          </cell>
          <cell r="C345" t="str">
            <v>NECOCHEA</v>
          </cell>
          <cell r="D345" t="str">
            <v>LA DULCE</v>
          </cell>
          <cell r="E345" t="str">
            <v>CALLE 24</v>
          </cell>
          <cell r="F345">
            <v>875</v>
          </cell>
          <cell r="H345" t="str">
            <v>LA DULCE</v>
          </cell>
          <cell r="I345" t="str">
            <v>B7637ZAA</v>
          </cell>
        </row>
        <row r="346">
          <cell r="A346" t="str">
            <v>B0928</v>
          </cell>
          <cell r="B346" t="str">
            <v>BUENOS AIRES</v>
          </cell>
          <cell r="C346" t="str">
            <v>LOBERIA</v>
          </cell>
          <cell r="D346" t="str">
            <v>LOBERIA</v>
          </cell>
          <cell r="E346" t="str">
            <v>ITALIA</v>
          </cell>
          <cell r="F346">
            <v>49</v>
          </cell>
          <cell r="H346" t="str">
            <v>LOBERIA</v>
          </cell>
          <cell r="I346" t="str">
            <v>B7635ZAA</v>
          </cell>
        </row>
        <row r="347">
          <cell r="A347" t="str">
            <v>B0930</v>
          </cell>
          <cell r="B347" t="str">
            <v>BUENOS AIRES</v>
          </cell>
          <cell r="C347" t="str">
            <v>BALCARCE</v>
          </cell>
          <cell r="D347" t="str">
            <v>BALCARCE</v>
          </cell>
          <cell r="E347" t="str">
            <v>CALLE 19</v>
          </cell>
          <cell r="F347">
            <v>552</v>
          </cell>
          <cell r="H347" t="str">
            <v>BALCARCE</v>
          </cell>
          <cell r="I347" t="str">
            <v>B7620ZAA</v>
          </cell>
        </row>
        <row r="348">
          <cell r="A348" t="str">
            <v>B0940</v>
          </cell>
          <cell r="B348" t="str">
            <v>BUENOS AIRES</v>
          </cell>
          <cell r="C348" t="str">
            <v>GENERAL ALVARADO</v>
          </cell>
          <cell r="D348" t="str">
            <v>MIRAMAR</v>
          </cell>
          <cell r="E348" t="str">
            <v>CALLE 17</v>
          </cell>
          <cell r="F348">
            <v>1602</v>
          </cell>
          <cell r="H348" t="str">
            <v>MIRAMAR</v>
          </cell>
          <cell r="I348" t="str">
            <v>B7607ZAA</v>
          </cell>
        </row>
        <row r="349">
          <cell r="A349" t="str">
            <v>B0942</v>
          </cell>
          <cell r="B349" t="str">
            <v>BUENOS AIRES</v>
          </cell>
          <cell r="C349" t="str">
            <v>LA COSTA</v>
          </cell>
          <cell r="D349" t="str">
            <v>MAR DEL TUYU</v>
          </cell>
          <cell r="E349" t="str">
            <v>CALLE 2</v>
          </cell>
          <cell r="F349">
            <v>7454</v>
          </cell>
          <cell r="H349" t="str">
            <v>MAR DEL TUYU</v>
          </cell>
          <cell r="I349" t="str">
            <v>B7108ZAA</v>
          </cell>
        </row>
        <row r="350">
          <cell r="A350" t="str">
            <v>B0951</v>
          </cell>
          <cell r="B350" t="str">
            <v>BUENOS AIRES</v>
          </cell>
          <cell r="C350" t="str">
            <v>NECOCHEA</v>
          </cell>
          <cell r="D350" t="str">
            <v>NECOCHEA</v>
          </cell>
          <cell r="E350" t="str">
            <v>AV 58</v>
          </cell>
          <cell r="F350">
            <v>3088</v>
          </cell>
          <cell r="H350" t="str">
            <v>NECOCHEA</v>
          </cell>
          <cell r="I350" t="str">
            <v>B7630ZAA</v>
          </cell>
        </row>
        <row r="351">
          <cell r="A351" t="str">
            <v>B0952</v>
          </cell>
          <cell r="B351" t="str">
            <v>BUENOS AIRES</v>
          </cell>
          <cell r="C351" t="str">
            <v>NECOCHEA</v>
          </cell>
          <cell r="D351" t="str">
            <v>NECOCHEA</v>
          </cell>
          <cell r="E351" t="str">
            <v>CALLE 85</v>
          </cell>
          <cell r="F351">
            <v>337</v>
          </cell>
          <cell r="H351" t="str">
            <v>NECOCHEA 1</v>
          </cell>
          <cell r="I351" t="str">
            <v>B7630ZAB</v>
          </cell>
        </row>
        <row r="352">
          <cell r="A352" t="str">
            <v>B0953</v>
          </cell>
          <cell r="B352" t="str">
            <v>BUENOS AIRES</v>
          </cell>
          <cell r="C352" t="str">
            <v>LA COSTA</v>
          </cell>
          <cell r="D352" t="str">
            <v>SAN BERNARDO DEL TUYU</v>
          </cell>
          <cell r="E352" t="str">
            <v>J C CHIOZZA</v>
          </cell>
          <cell r="F352">
            <v>1660</v>
          </cell>
          <cell r="H352" t="str">
            <v>SAN BERNARDO DEL TUYU</v>
          </cell>
          <cell r="I352" t="str">
            <v>B7111ZAA</v>
          </cell>
        </row>
        <row r="353">
          <cell r="A353" t="str">
            <v>B0954</v>
          </cell>
          <cell r="B353" t="str">
            <v>BUENOS AIRES</v>
          </cell>
          <cell r="C353" t="str">
            <v>PINAMAR</v>
          </cell>
          <cell r="D353" t="str">
            <v>PINAMAR</v>
          </cell>
          <cell r="E353" t="str">
            <v>ENEAS</v>
          </cell>
          <cell r="F353">
            <v>51</v>
          </cell>
          <cell r="H353" t="str">
            <v>PINAMAR</v>
          </cell>
          <cell r="I353" t="str">
            <v>B7167ZAA</v>
          </cell>
        </row>
        <row r="354">
          <cell r="A354" t="str">
            <v>B0955</v>
          </cell>
          <cell r="B354" t="str">
            <v>BUENOS AIRES</v>
          </cell>
          <cell r="C354" t="str">
            <v>NECOCHEA</v>
          </cell>
          <cell r="D354" t="str">
            <v>QUEQUEN</v>
          </cell>
          <cell r="E354" t="str">
            <v>CALLE 519</v>
          </cell>
          <cell r="F354">
            <v>2602</v>
          </cell>
          <cell r="H354" t="str">
            <v>QUEQUEN</v>
          </cell>
          <cell r="I354" t="str">
            <v>B7631ZAA</v>
          </cell>
        </row>
        <row r="355">
          <cell r="A355" t="str">
            <v>B0956</v>
          </cell>
          <cell r="B355" t="str">
            <v>BUENOS AIRES</v>
          </cell>
          <cell r="C355" t="str">
            <v>SAN CAYETANO</v>
          </cell>
          <cell r="D355" t="str">
            <v>SAN CAYETANO</v>
          </cell>
          <cell r="E355" t="str">
            <v>BME MITRE</v>
          </cell>
          <cell r="F355">
            <v>325</v>
          </cell>
          <cell r="H355" t="str">
            <v>SAN CAYETANO</v>
          </cell>
          <cell r="I355" t="str">
            <v>B7521ZAA</v>
          </cell>
        </row>
        <row r="356">
          <cell r="A356" t="str">
            <v>B0957</v>
          </cell>
          <cell r="B356" t="str">
            <v>BUENOS AIRES</v>
          </cell>
          <cell r="C356" t="str">
            <v>LA COSTA</v>
          </cell>
          <cell r="D356" t="str">
            <v>SAN CLEMENTE DEL TUYU</v>
          </cell>
          <cell r="E356" t="str">
            <v>CALLE 4</v>
          </cell>
          <cell r="F356">
            <v>2037</v>
          </cell>
          <cell r="H356" t="str">
            <v>SAN CLEMENTE DEL TUYU</v>
          </cell>
          <cell r="I356" t="str">
            <v>B7105ZAA</v>
          </cell>
        </row>
        <row r="357">
          <cell r="A357" t="str">
            <v>B0958</v>
          </cell>
          <cell r="B357" t="str">
            <v>BUENOS AIRES</v>
          </cell>
          <cell r="C357" t="str">
            <v>LA COSTA</v>
          </cell>
          <cell r="D357" t="str">
            <v>SANTA TERESITA</v>
          </cell>
          <cell r="E357" t="str">
            <v>CALLE 37</v>
          </cell>
          <cell r="F357">
            <v>226</v>
          </cell>
          <cell r="H357" t="str">
            <v>SANTA TERESITA</v>
          </cell>
          <cell r="I357" t="str">
            <v>B7107ZAA</v>
          </cell>
        </row>
        <row r="358">
          <cell r="A358" t="str">
            <v>B0959</v>
          </cell>
          <cell r="B358" t="str">
            <v>BUENOS AIRES</v>
          </cell>
          <cell r="C358" t="str">
            <v>MAR CHIQUITA</v>
          </cell>
          <cell r="D358" t="str">
            <v>SANTA CLARA DEL MAR</v>
          </cell>
          <cell r="E358" t="str">
            <v>PUNTA LARA</v>
          </cell>
          <cell r="F358">
            <v>472</v>
          </cell>
          <cell r="H358" t="str">
            <v>SANTA CLARA DEL MAR</v>
          </cell>
          <cell r="I358" t="str">
            <v>B7609ZAA</v>
          </cell>
        </row>
        <row r="359">
          <cell r="A359" t="str">
            <v>B0960</v>
          </cell>
          <cell r="B359" t="str">
            <v>BUENOS AIRES</v>
          </cell>
          <cell r="C359" t="str">
            <v>VILLA GESELL</v>
          </cell>
          <cell r="D359" t="str">
            <v>VILLA GESELL</v>
          </cell>
          <cell r="E359" t="str">
            <v>AV 3</v>
          </cell>
          <cell r="F359">
            <v>806</v>
          </cell>
          <cell r="H359" t="str">
            <v>VILLA GESELL</v>
          </cell>
          <cell r="I359" t="str">
            <v>B7165ZAA</v>
          </cell>
        </row>
        <row r="360">
          <cell r="A360" t="str">
            <v>B0970</v>
          </cell>
          <cell r="B360" t="str">
            <v>BUENOS AIRES</v>
          </cell>
          <cell r="C360" t="str">
            <v>NAVARRO</v>
          </cell>
          <cell r="D360" t="str">
            <v>NAVARRO</v>
          </cell>
          <cell r="E360" t="str">
            <v>MONS MIGUEL DE ANDREA</v>
          </cell>
          <cell r="F360">
            <v>167</v>
          </cell>
          <cell r="H360" t="str">
            <v>NAVARRO</v>
          </cell>
          <cell r="I360" t="str">
            <v>B6605ZAA</v>
          </cell>
        </row>
        <row r="361">
          <cell r="A361" t="str">
            <v>B0971</v>
          </cell>
          <cell r="B361" t="str">
            <v>BUENOS AIRES</v>
          </cell>
          <cell r="C361" t="str">
            <v>PILA</v>
          </cell>
          <cell r="D361" t="str">
            <v>PILA</v>
          </cell>
          <cell r="E361" t="str">
            <v>PTE H YRIGOYEN</v>
          </cell>
          <cell r="F361">
            <v>117</v>
          </cell>
          <cell r="H361" t="str">
            <v>PILA</v>
          </cell>
          <cell r="I361" t="str">
            <v>B7120ZAA</v>
          </cell>
        </row>
        <row r="362">
          <cell r="A362" t="str">
            <v>B0972</v>
          </cell>
          <cell r="B362" t="str">
            <v>BUENOS AIRES</v>
          </cell>
          <cell r="C362" t="str">
            <v>GENERAL PAZ</v>
          </cell>
          <cell r="D362" t="str">
            <v>RANCHOS</v>
          </cell>
          <cell r="E362" t="str">
            <v>RAMON SEIJAS</v>
          </cell>
          <cell r="F362">
            <v>2836</v>
          </cell>
          <cell r="H362" t="str">
            <v>RANCHOS</v>
          </cell>
          <cell r="I362" t="str">
            <v>B1987ZAA</v>
          </cell>
        </row>
        <row r="363">
          <cell r="A363" t="str">
            <v>B0973</v>
          </cell>
          <cell r="B363" t="str">
            <v>BUENOS AIRES</v>
          </cell>
          <cell r="C363" t="str">
            <v>RAUCH</v>
          </cell>
          <cell r="D363" t="str">
            <v>RAUCH</v>
          </cell>
          <cell r="E363" t="str">
            <v>MAURICIO FRANCISCO LETAMENDI</v>
          </cell>
          <cell r="F363">
            <v>416</v>
          </cell>
          <cell r="H363" t="str">
            <v>RAUCH</v>
          </cell>
          <cell r="I363" t="str">
            <v>B7203ZAA</v>
          </cell>
        </row>
        <row r="364">
          <cell r="A364" t="str">
            <v>B0974</v>
          </cell>
          <cell r="B364" t="str">
            <v>BUENOS AIRES</v>
          </cell>
          <cell r="C364" t="str">
            <v>ROQUE PEREZ</v>
          </cell>
          <cell r="D364" t="str">
            <v>ROQUE PEREZ</v>
          </cell>
          <cell r="E364" t="str">
            <v>ALSINA</v>
          </cell>
          <cell r="F364">
            <v>1144</v>
          </cell>
          <cell r="H364" t="str">
            <v>ROQUE PEREZ</v>
          </cell>
          <cell r="I364" t="str">
            <v>B7245ZAA</v>
          </cell>
        </row>
        <row r="365">
          <cell r="A365" t="str">
            <v>B0975</v>
          </cell>
          <cell r="B365" t="str">
            <v>BUENOS AIRES</v>
          </cell>
          <cell r="C365" t="str">
            <v>SALADILLO</v>
          </cell>
          <cell r="D365" t="str">
            <v>SALADILLO</v>
          </cell>
          <cell r="E365" t="str">
            <v>AV B RIVADAVIA</v>
          </cell>
          <cell r="F365">
            <v>3001</v>
          </cell>
          <cell r="H365" t="str">
            <v>SALADILLO</v>
          </cell>
          <cell r="I365" t="str">
            <v>B7260ZAA</v>
          </cell>
        </row>
        <row r="366">
          <cell r="A366" t="str">
            <v>B0976</v>
          </cell>
          <cell r="B366" t="str">
            <v>BUENOS AIRES</v>
          </cell>
          <cell r="C366" t="str">
            <v>SAN VICENTE</v>
          </cell>
          <cell r="D366" t="str">
            <v>SAN VICENTE</v>
          </cell>
          <cell r="E366" t="str">
            <v>9 DE JULIO</v>
          </cell>
          <cell r="F366">
            <v>37</v>
          </cell>
          <cell r="H366" t="str">
            <v>SAN VICENTE</v>
          </cell>
          <cell r="I366" t="str">
            <v>B1865ZAA</v>
          </cell>
        </row>
        <row r="367">
          <cell r="A367" t="str">
            <v>B0977</v>
          </cell>
          <cell r="B367" t="str">
            <v>BUENOS AIRES</v>
          </cell>
          <cell r="C367" t="str">
            <v>TANDIL</v>
          </cell>
          <cell r="D367" t="str">
            <v>TANDIL</v>
          </cell>
          <cell r="E367" t="str">
            <v>GRAL PINTO</v>
          </cell>
          <cell r="F367">
            <v>623</v>
          </cell>
          <cell r="H367" t="str">
            <v>TANDIL</v>
          </cell>
          <cell r="I367" t="str">
            <v>B7000ZAA</v>
          </cell>
        </row>
        <row r="368">
          <cell r="A368" t="str">
            <v>B0978</v>
          </cell>
          <cell r="B368" t="str">
            <v>BUENOS AIRES</v>
          </cell>
          <cell r="C368" t="str">
            <v>TAPALQUE</v>
          </cell>
          <cell r="D368" t="str">
            <v>TAPALQUE</v>
          </cell>
          <cell r="E368" t="str">
            <v>AV 25 DE MAYO</v>
          </cell>
          <cell r="F368">
            <v>599</v>
          </cell>
          <cell r="H368" t="str">
            <v>TAPALQUE</v>
          </cell>
          <cell r="I368" t="str">
            <v>B7303ZAA</v>
          </cell>
        </row>
        <row r="369">
          <cell r="A369" t="str">
            <v>B0980</v>
          </cell>
          <cell r="B369" t="str">
            <v>BUENOS AIRES</v>
          </cell>
          <cell r="C369" t="str">
            <v>TANDIL</v>
          </cell>
          <cell r="D369" t="str">
            <v>VELA</v>
          </cell>
          <cell r="E369" t="str">
            <v>AV TANDIL</v>
          </cell>
          <cell r="F369">
            <v>575</v>
          </cell>
          <cell r="H369" t="str">
            <v>VELA</v>
          </cell>
          <cell r="I369" t="str">
            <v>B7003ZAA</v>
          </cell>
        </row>
        <row r="370">
          <cell r="A370" t="str">
            <v>B0981</v>
          </cell>
          <cell r="B370" t="str">
            <v>BUENOS AIRES</v>
          </cell>
          <cell r="C370" t="str">
            <v>PUNTA INDIO</v>
          </cell>
          <cell r="D370" t="str">
            <v>VERONICA</v>
          </cell>
          <cell r="E370" t="str">
            <v>STA MARIA DE ORO</v>
          </cell>
          <cell r="F370">
            <v>1597</v>
          </cell>
          <cell r="H370" t="str">
            <v>VERONICA</v>
          </cell>
          <cell r="I370" t="str">
            <v>B1917ZAA</v>
          </cell>
        </row>
        <row r="371">
          <cell r="A371" t="str">
            <v>B0982</v>
          </cell>
          <cell r="B371" t="str">
            <v>BUENOS AIRES</v>
          </cell>
          <cell r="C371" t="str">
            <v>LA PLATA</v>
          </cell>
          <cell r="D371" t="str">
            <v>VILLA ELISA</v>
          </cell>
          <cell r="E371" t="str">
            <v>AV CAMINO CENTENARIO</v>
          </cell>
          <cell r="F371">
            <v>322</v>
          </cell>
          <cell r="H371" t="str">
            <v>VILLA ELISA</v>
          </cell>
          <cell r="I371" t="str">
            <v>B1894ZAA</v>
          </cell>
        </row>
        <row r="372">
          <cell r="A372" t="str">
            <v>B0984</v>
          </cell>
          <cell r="B372" t="str">
            <v>BUENOS AIRES</v>
          </cell>
          <cell r="C372" t="str">
            <v>MAIPU</v>
          </cell>
          <cell r="D372" t="str">
            <v>MAIPU</v>
          </cell>
          <cell r="E372" t="str">
            <v>MANUEL BELGRANO</v>
          </cell>
          <cell r="F372">
            <v>359</v>
          </cell>
          <cell r="H372" t="str">
            <v>MAIPU</v>
          </cell>
          <cell r="I372" t="str">
            <v>B7160ZAA</v>
          </cell>
        </row>
        <row r="373">
          <cell r="A373" t="str">
            <v>B0986</v>
          </cell>
          <cell r="B373" t="str">
            <v>BUENOS AIRES</v>
          </cell>
          <cell r="C373" t="str">
            <v>LA COSTA</v>
          </cell>
          <cell r="D373" t="str">
            <v>MAR DE AJO</v>
          </cell>
          <cell r="E373" t="str">
            <v>TOMAS ESPORA</v>
          </cell>
          <cell r="F373">
            <v>55</v>
          </cell>
          <cell r="H373" t="str">
            <v>MAR DE AJO</v>
          </cell>
          <cell r="I373" t="str">
            <v>B7109ZAA</v>
          </cell>
        </row>
        <row r="374">
          <cell r="A374" t="str">
            <v>B1046</v>
          </cell>
          <cell r="B374" t="str">
            <v>BUENOS AIRES</v>
          </cell>
          <cell r="C374" t="str">
            <v>LOMAS DE ZAMORA</v>
          </cell>
          <cell r="D374" t="str">
            <v>BANFIELD</v>
          </cell>
          <cell r="E374" t="str">
            <v>ALBERTO LARROQUE</v>
          </cell>
          <cell r="F374">
            <v>2450</v>
          </cell>
          <cell r="H374" t="str">
            <v>TRIBUNALES DE BANFIELD</v>
          </cell>
          <cell r="I374" t="str">
            <v>B1828ZAB</v>
          </cell>
        </row>
        <row r="375">
          <cell r="A375" t="str">
            <v>B1563</v>
          </cell>
          <cell r="B375" t="str">
            <v>BUENOS AIRES</v>
          </cell>
          <cell r="C375" t="str">
            <v>ESTEBAN ECHEVERRIA</v>
          </cell>
          <cell r="D375" t="str">
            <v>MONTE GRANDE</v>
          </cell>
          <cell r="E375" t="str">
            <v>AV FAIR</v>
          </cell>
          <cell r="F375">
            <v>1101</v>
          </cell>
          <cell r="H375" t="str">
            <v>SEDE OPERATIVA CENTRAL</v>
          </cell>
          <cell r="I375" t="str">
            <v>B1842ZAJ</v>
          </cell>
        </row>
        <row r="376">
          <cell r="A376" t="str">
            <v>B1618</v>
          </cell>
          <cell r="B376" t="str">
            <v>BUENOS AIRES</v>
          </cell>
          <cell r="C376" t="str">
            <v>EZEIZA</v>
          </cell>
          <cell r="D376" t="str">
            <v>TRISTAN SUAREZ</v>
          </cell>
          <cell r="E376" t="str">
            <v>DR MANUEL BELGRANO</v>
          </cell>
          <cell r="F376">
            <v>90</v>
          </cell>
          <cell r="H376" t="str">
            <v>TRISTAN SUAREZ</v>
          </cell>
          <cell r="I376" t="str">
            <v>B1806ZAG</v>
          </cell>
        </row>
        <row r="377">
          <cell r="A377" t="str">
            <v>B2195</v>
          </cell>
          <cell r="B377" t="str">
            <v>BUENOS AIRES</v>
          </cell>
          <cell r="C377" t="str">
            <v>LOBERIA</v>
          </cell>
          <cell r="D377" t="str">
            <v>SAN MANUEL</v>
          </cell>
          <cell r="E377" t="str">
            <v>DOMINGO SARMIENTO</v>
          </cell>
          <cell r="F377">
            <v>164</v>
          </cell>
          <cell r="H377" t="str">
            <v>SAN MANUEL</v>
          </cell>
          <cell r="I377" t="str">
            <v>B7007ZAA</v>
          </cell>
        </row>
        <row r="378">
          <cell r="A378" t="str">
            <v>B2358</v>
          </cell>
          <cell r="B378" t="str">
            <v>BUENOS AIRES</v>
          </cell>
          <cell r="C378" t="str">
            <v>GENERAL PUEYRREDON</v>
          </cell>
          <cell r="D378" t="str">
            <v>BARRIO CHAPADMALAL</v>
          </cell>
          <cell r="E378" t="str">
            <v>AV E</v>
          </cell>
          <cell r="F378">
            <v>0</v>
          </cell>
          <cell r="H378" t="str">
            <v>UNIDAD TURISTICA MIRAMAR</v>
          </cell>
          <cell r="I378" t="str">
            <v>B7618ZAA</v>
          </cell>
        </row>
        <row r="379">
          <cell r="A379" t="str">
            <v>B2480</v>
          </cell>
          <cell r="B379" t="str">
            <v>BUENOS AIRES</v>
          </cell>
          <cell r="C379" t="str">
            <v>PUNTA INDIO</v>
          </cell>
          <cell r="D379" t="str">
            <v>PUNTA INDIO</v>
          </cell>
          <cell r="E379" t="str">
            <v>R NAC 11</v>
          </cell>
          <cell r="F379">
            <v>0</v>
          </cell>
          <cell r="H379" t="str">
            <v>PUNTA INDIO</v>
          </cell>
          <cell r="I379" t="str">
            <v>B1952ZAA</v>
          </cell>
        </row>
        <row r="380">
          <cell r="A380" t="str">
            <v>B2556</v>
          </cell>
          <cell r="B380" t="str">
            <v>BUENOS AIRES</v>
          </cell>
          <cell r="C380" t="str">
            <v>LA PLATA</v>
          </cell>
          <cell r="D380" t="str">
            <v>ABASTO</v>
          </cell>
          <cell r="E380" t="str">
            <v>CALLE 516 BIS</v>
          </cell>
          <cell r="F380">
            <v>0</v>
          </cell>
          <cell r="H380" t="str">
            <v>ABASTO</v>
          </cell>
          <cell r="I380" t="str">
            <v>B1933ZAA</v>
          </cell>
        </row>
        <row r="381">
          <cell r="A381" t="str">
            <v>B2903</v>
          </cell>
          <cell r="B381" t="str">
            <v>BUENOS AIRES</v>
          </cell>
          <cell r="C381" t="str">
            <v>BAHIA BLANCA</v>
          </cell>
          <cell r="D381" t="str">
            <v>BAHIA BLANCA</v>
          </cell>
          <cell r="E381" t="str">
            <v>AV DE LA RECONQUISTA</v>
          </cell>
          <cell r="F381">
            <v>399</v>
          </cell>
          <cell r="H381" t="str">
            <v>BARRIO PALIHUE</v>
          </cell>
          <cell r="I381" t="str">
            <v>B8001ZAB</v>
          </cell>
        </row>
        <row r="382">
          <cell r="A382" t="str">
            <v>B2928</v>
          </cell>
          <cell r="B382" t="str">
            <v>BUENOS AIRES</v>
          </cell>
          <cell r="C382" t="str">
            <v>OLAVARRIA</v>
          </cell>
          <cell r="D382" t="str">
            <v>LOMA NEGRA</v>
          </cell>
          <cell r="E382" t="str">
            <v>CORRIENTES</v>
          </cell>
          <cell r="F382">
            <v>1363</v>
          </cell>
          <cell r="H382" t="str">
            <v>LOMA NEGRA</v>
          </cell>
          <cell r="I382" t="str">
            <v>B7436ZAA</v>
          </cell>
        </row>
        <row r="383">
          <cell r="A383" t="str">
            <v>B3122</v>
          </cell>
          <cell r="B383" t="str">
            <v>BUENOS AIRES</v>
          </cell>
          <cell r="C383" t="str">
            <v>EXALTACION DE LA CRUZ</v>
          </cell>
          <cell r="D383" t="str">
            <v>LOS CARDALES</v>
          </cell>
          <cell r="E383" t="str">
            <v>VIAMONTE</v>
          </cell>
          <cell r="F383">
            <v>173</v>
          </cell>
          <cell r="H383" t="str">
            <v>LOS CARDALES</v>
          </cell>
          <cell r="I383" t="str">
            <v>B2814ZAA</v>
          </cell>
        </row>
        <row r="384">
          <cell r="A384" t="str">
            <v>B3317</v>
          </cell>
          <cell r="B384" t="str">
            <v>BUENOS AIRES</v>
          </cell>
          <cell r="C384" t="str">
            <v>EXALTACION DE LA CRUZ</v>
          </cell>
          <cell r="D384" t="str">
            <v>PARADA ROBLES</v>
          </cell>
          <cell r="E384" t="str">
            <v>LOS NOGALES</v>
          </cell>
          <cell r="F384">
            <v>177</v>
          </cell>
          <cell r="H384" t="str">
            <v>PARADA ROBLES</v>
          </cell>
          <cell r="I384" t="str">
            <v>B6753ZAF</v>
          </cell>
        </row>
        <row r="385">
          <cell r="A385" t="str">
            <v>B3355</v>
          </cell>
          <cell r="B385" t="str">
            <v>BUENOS AIRES</v>
          </cell>
          <cell r="C385" t="str">
            <v>LA PLATA</v>
          </cell>
          <cell r="D385" t="str">
            <v>LA PLATA</v>
          </cell>
          <cell r="E385" t="str">
            <v>AV 7</v>
          </cell>
          <cell r="F385">
            <v>670</v>
          </cell>
          <cell r="H385" t="str">
            <v>LA PLATA RENTAS</v>
          </cell>
          <cell r="I385" t="str">
            <v>B1902ZAB</v>
          </cell>
        </row>
        <row r="386">
          <cell r="A386" t="str">
            <v>B3357</v>
          </cell>
          <cell r="B386" t="str">
            <v>BUENOS AIRES</v>
          </cell>
          <cell r="C386" t="str">
            <v>LOBOS</v>
          </cell>
          <cell r="D386" t="str">
            <v>ANTONIO CARBONI</v>
          </cell>
          <cell r="E386" t="str">
            <v>CALLE 11</v>
          </cell>
          <cell r="F386">
            <v>0</v>
          </cell>
          <cell r="H386" t="str">
            <v>ANTONIO CARBONI</v>
          </cell>
          <cell r="I386" t="str">
            <v>B7243ZAA</v>
          </cell>
        </row>
        <row r="387">
          <cell r="A387" t="str">
            <v>B3402</v>
          </cell>
          <cell r="B387" t="str">
            <v>BUENOS AIRES</v>
          </cell>
          <cell r="C387" t="str">
            <v>SAN ISIDRO</v>
          </cell>
          <cell r="D387" t="str">
            <v>SAN ISIDRO</v>
          </cell>
          <cell r="E387" t="str">
            <v>ITUZAINGO</v>
          </cell>
          <cell r="F387">
            <v>429</v>
          </cell>
          <cell r="H387" t="str">
            <v>TRIBUNALES DE SAN ISIDRO</v>
          </cell>
          <cell r="I387" t="str">
            <v>B1642ZAC</v>
          </cell>
        </row>
        <row r="388">
          <cell r="A388" t="str">
            <v>B3413</v>
          </cell>
          <cell r="B388" t="str">
            <v>BUENOS AIRES</v>
          </cell>
          <cell r="C388" t="str">
            <v>LA PLATA</v>
          </cell>
          <cell r="D388" t="str">
            <v>LA PLATA</v>
          </cell>
          <cell r="E388" t="str">
            <v>DIAG 74</v>
          </cell>
          <cell r="F388">
            <v>1342</v>
          </cell>
          <cell r="H388" t="str">
            <v>LA PLATA 2</v>
          </cell>
          <cell r="I388" t="str">
            <v>B1900ZAB</v>
          </cell>
        </row>
        <row r="389">
          <cell r="A389" t="str">
            <v>B3521</v>
          </cell>
          <cell r="B389" t="str">
            <v>BUENOS AIRES</v>
          </cell>
          <cell r="C389" t="str">
            <v>BAHIA BLANCA</v>
          </cell>
          <cell r="D389" t="str">
            <v>BAHIA BLANCA</v>
          </cell>
          <cell r="E389" t="str">
            <v>DORREGO</v>
          </cell>
          <cell r="F389">
            <v>579</v>
          </cell>
          <cell r="H389" t="str">
            <v>BAHIA BLANCA CENTRO</v>
          </cell>
          <cell r="I389" t="str">
            <v>B8003ZAA</v>
          </cell>
        </row>
        <row r="390">
          <cell r="A390" t="str">
            <v>B3703</v>
          </cell>
          <cell r="B390" t="str">
            <v>BUENOS AIRES</v>
          </cell>
          <cell r="C390" t="str">
            <v>ESTEBAN ECHEVERRIA</v>
          </cell>
          <cell r="D390" t="str">
            <v>EL JAGUEL</v>
          </cell>
          <cell r="E390" t="str">
            <v>AV ENRIQUE SANTAMARINA</v>
          </cell>
          <cell r="F390">
            <v>2766</v>
          </cell>
          <cell r="H390" t="str">
            <v>EL JAGUEL</v>
          </cell>
          <cell r="I390" t="str">
            <v>B1805ZAF</v>
          </cell>
        </row>
        <row r="391">
          <cell r="A391" t="str">
            <v>B3906</v>
          </cell>
          <cell r="B391" t="str">
            <v>BUENOS AIRES</v>
          </cell>
          <cell r="C391" t="str">
            <v>HURLINGHAM</v>
          </cell>
          <cell r="D391" t="str">
            <v>WILLIAM MORRIS</v>
          </cell>
          <cell r="E391" t="str">
            <v>GRAL CONRADO VILLEGAS</v>
          </cell>
          <cell r="F391">
            <v>1764</v>
          </cell>
          <cell r="H391" t="str">
            <v>WILLIAM MORRIS</v>
          </cell>
          <cell r="I391" t="str">
            <v>B1681ZAA</v>
          </cell>
        </row>
        <row r="392">
          <cell r="A392" t="str">
            <v>B4002</v>
          </cell>
          <cell r="B392" t="str">
            <v>BUENOS AIRES</v>
          </cell>
          <cell r="C392" t="str">
            <v>GENERAL SAN MARTIN</v>
          </cell>
          <cell r="D392" t="str">
            <v>GENERAL SAN MARTIN</v>
          </cell>
          <cell r="E392" t="str">
            <v>AV DR RICARDO BALBIN</v>
          </cell>
          <cell r="F392">
            <v>1753</v>
          </cell>
          <cell r="H392" t="str">
            <v>MINIPOST TRIBUNALES</v>
          </cell>
          <cell r="I392" t="str">
            <v>B1650ZAD</v>
          </cell>
        </row>
        <row r="393">
          <cell r="A393" t="str">
            <v>B4004</v>
          </cell>
          <cell r="B393" t="str">
            <v>BUENOS AIRES</v>
          </cell>
          <cell r="C393" t="str">
            <v>LA PLATA</v>
          </cell>
          <cell r="D393" t="str">
            <v>ISLA MARTIN GARCIA</v>
          </cell>
          <cell r="E393" t="str">
            <v>ISLA MARTIN GARCIA</v>
          </cell>
          <cell r="H393" t="str">
            <v>ISLA MARTIN GARCIA</v>
          </cell>
          <cell r="I393" t="str">
            <v>B1601ZAA</v>
          </cell>
        </row>
        <row r="394">
          <cell r="A394" t="str">
            <v>B4005</v>
          </cell>
          <cell r="B394" t="str">
            <v>BUENOS AIRES</v>
          </cell>
          <cell r="C394" t="str">
            <v>TIGRE</v>
          </cell>
          <cell r="D394" t="str">
            <v>ZONA DELTA TIGRE</v>
          </cell>
          <cell r="E394" t="str">
            <v>SARMIENTO</v>
          </cell>
          <cell r="F394">
            <v>0</v>
          </cell>
          <cell r="H394" t="str">
            <v>FORESTAL D.F. SARMIENTO</v>
          </cell>
          <cell r="I394" t="str">
            <v>B1649ZAA</v>
          </cell>
        </row>
        <row r="395">
          <cell r="A395" t="str">
            <v>B4015</v>
          </cell>
          <cell r="B395" t="str">
            <v>BUENOS AIRES</v>
          </cell>
          <cell r="C395" t="str">
            <v>AVELLANEDA</v>
          </cell>
          <cell r="D395" t="str">
            <v>DOCK SUD</v>
          </cell>
          <cell r="E395" t="str">
            <v>VIRREY VERTIZ</v>
          </cell>
          <cell r="F395">
            <v>1043</v>
          </cell>
          <cell r="H395" t="str">
            <v>DOCK SUD</v>
          </cell>
          <cell r="I395" t="str">
            <v>B1871ZAD</v>
          </cell>
        </row>
        <row r="396">
          <cell r="A396" t="str">
            <v>B4048</v>
          </cell>
          <cell r="B396" t="str">
            <v>BUENOS AIRES</v>
          </cell>
          <cell r="C396" t="str">
            <v>ARRECIFES</v>
          </cell>
          <cell r="D396" t="str">
            <v>TODD</v>
          </cell>
          <cell r="E396" t="str">
            <v>SARMIENTO</v>
          </cell>
          <cell r="F396">
            <v>26</v>
          </cell>
          <cell r="H396" t="str">
            <v>TODD</v>
          </cell>
          <cell r="I396" t="str">
            <v>B2754ZAF</v>
          </cell>
        </row>
        <row r="397">
          <cell r="A397" t="str">
            <v>B4601</v>
          </cell>
          <cell r="B397" t="str">
            <v>BUENOS AIRES</v>
          </cell>
          <cell r="C397" t="str">
            <v>BERAZATEGUI</v>
          </cell>
          <cell r="D397" t="str">
            <v>CENTRO AGRICOLA EL PATO</v>
          </cell>
          <cell r="E397" t="str">
            <v>CALLE 522</v>
          </cell>
          <cell r="F397">
            <v>1960</v>
          </cell>
          <cell r="H397" t="str">
            <v>EL PATO</v>
          </cell>
          <cell r="I397" t="str">
            <v>B1893ZAA</v>
          </cell>
        </row>
        <row r="398">
          <cell r="A398" t="str">
            <v>B8909</v>
          </cell>
          <cell r="B398" t="str">
            <v>BUENOS AIRES</v>
          </cell>
          <cell r="C398" t="str">
            <v>PILAR</v>
          </cell>
          <cell r="D398" t="str">
            <v>FATIMA ESTACION EMPALME</v>
          </cell>
          <cell r="E398" t="str">
            <v>CALLE 9</v>
          </cell>
          <cell r="F398">
            <v>1846</v>
          </cell>
          <cell r="H398" t="str">
            <v>PILAR PARQUE INDUSTRIAL</v>
          </cell>
          <cell r="I398" t="str">
            <v>B1629ZAB</v>
          </cell>
        </row>
        <row r="399">
          <cell r="A399" t="str">
            <v>C0000</v>
          </cell>
          <cell r="B399" t="str">
            <v>CAPITAL FEDERAL</v>
          </cell>
          <cell r="C399" t="str">
            <v>CAPITAL FEDERAL</v>
          </cell>
          <cell r="D399" t="str">
            <v>CIUDAD AUTONOMA BUENOS AIRES</v>
          </cell>
          <cell r="E399" t="str">
            <v>TTE GRAL JUAN D PERON</v>
          </cell>
          <cell r="F399">
            <v>321</v>
          </cell>
          <cell r="H399" t="str">
            <v>CENTRO</v>
          </cell>
          <cell r="I399" t="str">
            <v>C1000ZAA</v>
          </cell>
        </row>
        <row r="400">
          <cell r="A400" t="str">
            <v>C0001</v>
          </cell>
          <cell r="B400" t="str">
            <v>CAPITAL FEDERAL</v>
          </cell>
          <cell r="C400" t="str">
            <v>CAPITAL FEDERAL</v>
          </cell>
          <cell r="D400" t="str">
            <v>CIUDAD AUTONOMA BUENOS AIRES</v>
          </cell>
          <cell r="E400" t="str">
            <v>AV DE MAYO</v>
          </cell>
          <cell r="F400">
            <v>770</v>
          </cell>
          <cell r="H400" t="str">
            <v>AVENIDA DE MAYO</v>
          </cell>
          <cell r="I400" t="str">
            <v>C1084ZAA</v>
          </cell>
        </row>
        <row r="401">
          <cell r="A401" t="str">
            <v>C0002</v>
          </cell>
          <cell r="B401" t="str">
            <v>CAPITAL FEDERAL</v>
          </cell>
          <cell r="C401" t="str">
            <v>CAPITAL FEDERAL</v>
          </cell>
          <cell r="D401" t="str">
            <v>CIUDAD AUTONOMA BUENOS AIRES</v>
          </cell>
          <cell r="E401" t="str">
            <v>AV CALLAO</v>
          </cell>
          <cell r="F401">
            <v>131</v>
          </cell>
          <cell r="H401" t="str">
            <v>CONGRESO</v>
          </cell>
          <cell r="I401" t="str">
            <v>C1022ZAA</v>
          </cell>
        </row>
        <row r="402">
          <cell r="A402" t="str">
            <v>C0003</v>
          </cell>
          <cell r="B402" t="str">
            <v>CAPITAL FEDERAL</v>
          </cell>
          <cell r="C402" t="str">
            <v>CAPITAL FEDERAL</v>
          </cell>
          <cell r="D402" t="str">
            <v>CIUDAD AUTONOMA BUENOS AIRES</v>
          </cell>
          <cell r="E402" t="str">
            <v>TTE GRAL JUAN D PERON</v>
          </cell>
          <cell r="F402">
            <v>2821</v>
          </cell>
          <cell r="H402" t="str">
            <v>ONCE</v>
          </cell>
          <cell r="I402" t="str">
            <v>C1032ZAA</v>
          </cell>
        </row>
        <row r="403">
          <cell r="A403" t="str">
            <v>C0004</v>
          </cell>
          <cell r="B403" t="str">
            <v>CAPITAL FEDERAL</v>
          </cell>
          <cell r="C403" t="str">
            <v>CAPITAL FEDERAL</v>
          </cell>
          <cell r="D403" t="str">
            <v>CIUDAD AUTONOMA BUENOS AIRES</v>
          </cell>
          <cell r="E403" t="str">
            <v>AV MEDRANO</v>
          </cell>
          <cell r="F403">
            <v>66</v>
          </cell>
          <cell r="H403" t="str">
            <v>ALMAGRO</v>
          </cell>
          <cell r="I403" t="str">
            <v>C1178ZAA</v>
          </cell>
        </row>
        <row r="404">
          <cell r="A404" t="str">
            <v>C0005</v>
          </cell>
          <cell r="B404" t="str">
            <v>CAPITAL FEDERAL</v>
          </cell>
          <cell r="C404" t="str">
            <v>CAPITAL FEDERAL</v>
          </cell>
          <cell r="D404" t="str">
            <v>CIUDAD AUTONOMA BUENOS AIRES</v>
          </cell>
          <cell r="E404" t="str">
            <v>AV ANGEL GALLARDO</v>
          </cell>
          <cell r="F404">
            <v>756</v>
          </cell>
          <cell r="H404" t="str">
            <v>PARQUE CENTENARIO</v>
          </cell>
          <cell r="I404" t="str">
            <v>C1405ZAA</v>
          </cell>
        </row>
        <row r="405">
          <cell r="A405" t="str">
            <v>C0007</v>
          </cell>
          <cell r="B405" t="str">
            <v>CAPITAL FEDERAL</v>
          </cell>
          <cell r="C405" t="str">
            <v>CAPITAL FEDERAL</v>
          </cell>
          <cell r="D405" t="str">
            <v>CIUDAD AUTONOMA BUENOS AIRES</v>
          </cell>
          <cell r="E405" t="str">
            <v>PEDRO CARRASCO</v>
          </cell>
          <cell r="F405">
            <v>31</v>
          </cell>
          <cell r="H405" t="str">
            <v>FLORESTA</v>
          </cell>
          <cell r="I405" t="str">
            <v>C1407ZAA</v>
          </cell>
        </row>
        <row r="406">
          <cell r="A406" t="str">
            <v>C0008</v>
          </cell>
          <cell r="B406" t="str">
            <v>CAPITAL FEDERAL</v>
          </cell>
          <cell r="C406" t="str">
            <v>CAPITAL FEDERAL</v>
          </cell>
          <cell r="D406" t="str">
            <v>CIUDAD AUTONOMA BUENOS AIRES</v>
          </cell>
          <cell r="E406" t="str">
            <v>AV B RIVADAVIA</v>
          </cell>
          <cell r="F406">
            <v>11256</v>
          </cell>
          <cell r="H406" t="str">
            <v>LINIERS</v>
          </cell>
          <cell r="I406" t="str">
            <v>C1408ZAA</v>
          </cell>
        </row>
        <row r="407">
          <cell r="A407" t="str">
            <v>C0009</v>
          </cell>
          <cell r="B407" t="str">
            <v>CAPITAL FEDERAL</v>
          </cell>
          <cell r="C407" t="str">
            <v>CAPITAL FEDERAL</v>
          </cell>
          <cell r="D407" t="str">
            <v>CIUDAD AUTONOMA BUENOS AIRES</v>
          </cell>
          <cell r="E407" t="str">
            <v>AV ALVAREZ JONTE</v>
          </cell>
          <cell r="F407">
            <v>5150</v>
          </cell>
          <cell r="H407" t="str">
            <v>MONTE CASTRO</v>
          </cell>
          <cell r="I407" t="str">
            <v>C1407ZAC</v>
          </cell>
        </row>
        <row r="408">
          <cell r="A408" t="str">
            <v>C0010</v>
          </cell>
          <cell r="B408" t="str">
            <v>CAPITAL FEDERAL</v>
          </cell>
          <cell r="C408" t="str">
            <v>CAPITAL FEDERAL</v>
          </cell>
          <cell r="D408" t="str">
            <v>CIUDAD AUTONOMA BUENOS AIRES</v>
          </cell>
          <cell r="E408" t="str">
            <v>AV CALLAO</v>
          </cell>
          <cell r="F408">
            <v>1577</v>
          </cell>
          <cell r="H408" t="str">
            <v>RECOLETA</v>
          </cell>
          <cell r="I408" t="str">
            <v>C1024ZAA</v>
          </cell>
        </row>
        <row r="409">
          <cell r="A409" t="str">
            <v>C0011</v>
          </cell>
          <cell r="B409" t="str">
            <v>CAPITAL FEDERAL</v>
          </cell>
          <cell r="C409" t="str">
            <v>CAPITAL FEDERAL</v>
          </cell>
          <cell r="D409" t="str">
            <v>CIUDAD AUTONOMA BUENOS AIRES</v>
          </cell>
          <cell r="E409" t="str">
            <v>AV CURAPALIGUE</v>
          </cell>
          <cell r="F409">
            <v>815</v>
          </cell>
          <cell r="H409" t="str">
            <v>PARQUE CHACABUCO</v>
          </cell>
          <cell r="I409" t="str">
            <v>C1406ZAC</v>
          </cell>
        </row>
        <row r="410">
          <cell r="A410" t="str">
            <v>C0012</v>
          </cell>
          <cell r="B410" t="str">
            <v>CAPITAL FEDERAL</v>
          </cell>
          <cell r="C410" t="str">
            <v>CAPITAL FEDERAL</v>
          </cell>
          <cell r="D410" t="str">
            <v>CIUDAD AUTONOMA BUENOS AIRES</v>
          </cell>
          <cell r="E410" t="str">
            <v>AV PUEYRREDON</v>
          </cell>
          <cell r="F410">
            <v>1352</v>
          </cell>
          <cell r="H410" t="str">
            <v>BARRIO NORTE</v>
          </cell>
          <cell r="I410" t="str">
            <v>C1118ZAB</v>
          </cell>
        </row>
        <row r="411">
          <cell r="A411" t="str">
            <v>C0013</v>
          </cell>
          <cell r="B411" t="str">
            <v>CAPITAL FEDERAL</v>
          </cell>
          <cell r="C411" t="str">
            <v>CAPITAL FEDERAL</v>
          </cell>
          <cell r="D411" t="str">
            <v>CIUDAD AUTONOMA BUENOS AIRES</v>
          </cell>
          <cell r="E411" t="str">
            <v>AV CORRIENTES</v>
          </cell>
          <cell r="F411">
            <v>3702</v>
          </cell>
          <cell r="H411" t="str">
            <v>ABASTO</v>
          </cell>
          <cell r="I411" t="str">
            <v>C1194ZAC</v>
          </cell>
        </row>
        <row r="412">
          <cell r="A412" t="str">
            <v>C0016</v>
          </cell>
          <cell r="B412" t="str">
            <v>CAPITAL FEDERAL</v>
          </cell>
          <cell r="C412" t="str">
            <v>CAPITAL FEDERAL</v>
          </cell>
          <cell r="D412" t="str">
            <v>CIUDAD AUTONOMA BUENOS AIRES</v>
          </cell>
          <cell r="E412" t="str">
            <v>AV SAN MARTIN</v>
          </cell>
          <cell r="F412">
            <v>2710</v>
          </cell>
          <cell r="H412" t="str">
            <v>PATERNAL</v>
          </cell>
          <cell r="I412" t="str">
            <v>C1416ZAA</v>
          </cell>
        </row>
        <row r="413">
          <cell r="A413" t="str">
            <v>C0017</v>
          </cell>
          <cell r="B413" t="str">
            <v>CAPITAL FEDERAL</v>
          </cell>
          <cell r="C413" t="str">
            <v>CAPITAL FEDERAL</v>
          </cell>
          <cell r="D413" t="str">
            <v>CIUDAD AUTONOMA BUENOS AIRES</v>
          </cell>
          <cell r="E413" t="str">
            <v>HELGUERA</v>
          </cell>
          <cell r="F413">
            <v>2901</v>
          </cell>
          <cell r="H413" t="str">
            <v>VILLA DEL PARQUE</v>
          </cell>
          <cell r="I413" t="str">
            <v>C1417ZAA</v>
          </cell>
        </row>
        <row r="414">
          <cell r="A414" t="str">
            <v>C0018</v>
          </cell>
          <cell r="B414" t="str">
            <v>CAPITAL FEDERAL</v>
          </cell>
          <cell r="C414" t="str">
            <v>CAPITAL FEDERAL</v>
          </cell>
          <cell r="D414" t="str">
            <v>CIUDAD AUTONOMA BUENOS AIRES</v>
          </cell>
          <cell r="E414" t="str">
            <v>CNEL JUAN TERRADA</v>
          </cell>
          <cell r="F414">
            <v>4675</v>
          </cell>
          <cell r="H414" t="str">
            <v>VILLA PUEYRREDON</v>
          </cell>
          <cell r="I414" t="str">
            <v>C1419ZAB</v>
          </cell>
        </row>
        <row r="415">
          <cell r="A415" t="str">
            <v>C0019</v>
          </cell>
          <cell r="B415" t="str">
            <v>CAPITAL FEDERAL</v>
          </cell>
          <cell r="C415" t="str">
            <v>CAPITAL FEDERAL</v>
          </cell>
          <cell r="D415" t="str">
            <v>CIUDAD AUTONOMA BUENOS AIRES</v>
          </cell>
          <cell r="E415" t="str">
            <v>AV SAN MARTIN</v>
          </cell>
          <cell r="F415">
            <v>6354</v>
          </cell>
          <cell r="H415" t="str">
            <v>VILLA DEVOTO</v>
          </cell>
          <cell r="I415" t="str">
            <v>C1419ZAA</v>
          </cell>
        </row>
        <row r="416">
          <cell r="A416" t="str">
            <v>C0020</v>
          </cell>
          <cell r="B416" t="str">
            <v>CAPITAL FEDERAL</v>
          </cell>
          <cell r="C416" t="str">
            <v>CAPITAL FEDERAL</v>
          </cell>
          <cell r="D416" t="str">
            <v>CIUDAD AUTONOMA BUENOS AIRES</v>
          </cell>
          <cell r="E416" t="str">
            <v>DR BERNARDO DE IRIGOYEN</v>
          </cell>
          <cell r="F416">
            <v>698</v>
          </cell>
          <cell r="H416" t="str">
            <v>SAN TELMO</v>
          </cell>
          <cell r="I416" t="str">
            <v>C1099ZAA</v>
          </cell>
        </row>
        <row r="417">
          <cell r="A417" t="str">
            <v>C0021</v>
          </cell>
          <cell r="B417" t="str">
            <v>CAPITAL FEDERAL</v>
          </cell>
          <cell r="C417" t="str">
            <v>CAPITAL FEDERAL</v>
          </cell>
          <cell r="D417" t="str">
            <v>CIUDAD AUTONOMA BUENOS AIRES</v>
          </cell>
          <cell r="E417" t="str">
            <v>AV ENTRE RIOS</v>
          </cell>
          <cell r="F417">
            <v>452</v>
          </cell>
          <cell r="H417" t="str">
            <v>MONSERRAT</v>
          </cell>
          <cell r="I417" t="str">
            <v>C1100ZAA</v>
          </cell>
        </row>
        <row r="418">
          <cell r="A418" t="str">
            <v>C0022</v>
          </cell>
          <cell r="B418" t="str">
            <v>CAPITAL FEDERAL</v>
          </cell>
          <cell r="C418" t="str">
            <v>CAPITAL FEDERAL</v>
          </cell>
          <cell r="D418" t="str">
            <v>CIUDAD AUTONOMA BUENOS AIRES</v>
          </cell>
          <cell r="E418" t="str">
            <v>AV SCALABRINI ORTIZ</v>
          </cell>
          <cell r="F418">
            <v>176</v>
          </cell>
          <cell r="H418" t="str">
            <v>VILLA CRESPO</v>
          </cell>
          <cell r="I418" t="str">
            <v>C1414ZAA</v>
          </cell>
        </row>
        <row r="419">
          <cell r="A419" t="str">
            <v>C0023</v>
          </cell>
          <cell r="B419" t="str">
            <v>CAPITAL FEDERAL</v>
          </cell>
          <cell r="C419" t="str">
            <v>CAPITAL FEDERAL</v>
          </cell>
          <cell r="D419" t="str">
            <v>CIUDAD AUTONOMA BUENOS AIRES</v>
          </cell>
          <cell r="E419" t="str">
            <v>AV SAN JUAN</v>
          </cell>
          <cell r="F419">
            <v>3001</v>
          </cell>
          <cell r="H419" t="str">
            <v>SAN CRISTOBAL</v>
          </cell>
          <cell r="I419" t="str">
            <v>C1233ZAB</v>
          </cell>
        </row>
        <row r="420">
          <cell r="A420" t="str">
            <v>C0024</v>
          </cell>
          <cell r="B420" t="str">
            <v>CAPITAL FEDERAL</v>
          </cell>
          <cell r="C420" t="str">
            <v>CAPITAL FEDERAL</v>
          </cell>
          <cell r="D420" t="str">
            <v>CIUDAD AUTONOMA BUENOS AIRES</v>
          </cell>
          <cell r="E420" t="str">
            <v>AV DIRECTORIO</v>
          </cell>
          <cell r="F420">
            <v>552</v>
          </cell>
          <cell r="H420" t="str">
            <v>DIRECTORIO Y J.M. MORENO</v>
          </cell>
          <cell r="I420" t="str">
            <v>C1424ZAA</v>
          </cell>
        </row>
        <row r="421">
          <cell r="A421" t="str">
            <v>C0025</v>
          </cell>
          <cell r="B421" t="str">
            <v>CAPITAL FEDERAL</v>
          </cell>
          <cell r="C421" t="str">
            <v>CAPITAL FEDERAL</v>
          </cell>
          <cell r="D421" t="str">
            <v>CIUDAD AUTONOMA BUENOS AIRES</v>
          </cell>
          <cell r="E421" t="str">
            <v>AV SANTA FE</v>
          </cell>
          <cell r="F421">
            <v>3882</v>
          </cell>
          <cell r="H421" t="str">
            <v>PLAZA ITALIA</v>
          </cell>
          <cell r="I421" t="str">
            <v>C1425ZAB</v>
          </cell>
        </row>
        <row r="422">
          <cell r="A422" t="str">
            <v>C0026</v>
          </cell>
          <cell r="B422" t="str">
            <v>CAPITAL FEDERAL</v>
          </cell>
          <cell r="C422" t="str">
            <v>CAPITAL FEDERAL</v>
          </cell>
          <cell r="D422" t="str">
            <v>CIUDAD AUTONOMA BUENOS AIRES</v>
          </cell>
          <cell r="E422" t="str">
            <v>AV FEDERICO LACROZE</v>
          </cell>
          <cell r="F422">
            <v>2476</v>
          </cell>
          <cell r="H422" t="str">
            <v>COLEGIALES</v>
          </cell>
          <cell r="I422" t="str">
            <v>C1426ZAA</v>
          </cell>
        </row>
        <row r="423">
          <cell r="A423" t="str">
            <v>C0028</v>
          </cell>
          <cell r="B423" t="str">
            <v>CAPITAL FEDERAL</v>
          </cell>
          <cell r="C423" t="str">
            <v>CAPITAL FEDERAL</v>
          </cell>
          <cell r="D423" t="str">
            <v>CIUDAD AUTONOMA BUENOS AIRES</v>
          </cell>
          <cell r="E423" t="str">
            <v>AV CABILDO</v>
          </cell>
          <cell r="F423">
            <v>2349</v>
          </cell>
          <cell r="H423" t="str">
            <v>BELGRANO</v>
          </cell>
          <cell r="I423" t="str">
            <v>C1428ZAA</v>
          </cell>
        </row>
        <row r="424">
          <cell r="A424" t="str">
            <v>C0029</v>
          </cell>
          <cell r="B424" t="str">
            <v>CAPITAL FEDERAL</v>
          </cell>
          <cell r="C424" t="str">
            <v>CAPITAL FEDERAL</v>
          </cell>
          <cell r="D424" t="str">
            <v>CIUDAD AUTONOMA BUENOS AIRES</v>
          </cell>
          <cell r="E424" t="str">
            <v>AV CABILDO</v>
          </cell>
          <cell r="F424">
            <v>4576</v>
          </cell>
          <cell r="H424" t="str">
            <v>NUÃ‘EZ</v>
          </cell>
          <cell r="I424" t="str">
            <v>C1429ZAA</v>
          </cell>
        </row>
        <row r="425">
          <cell r="A425" t="str">
            <v>C0030</v>
          </cell>
          <cell r="B425" t="str">
            <v>CAPITAL FEDERAL</v>
          </cell>
          <cell r="C425" t="str">
            <v>CAPITAL FEDERAL</v>
          </cell>
          <cell r="D425" t="str">
            <v>CIUDAD AUTONOMA BUENOS AIRES</v>
          </cell>
          <cell r="E425" t="str">
            <v>AV MONROE</v>
          </cell>
          <cell r="F425">
            <v>3381</v>
          </cell>
          <cell r="H425" t="str">
            <v>COGHLAN</v>
          </cell>
          <cell r="I425" t="str">
            <v>C1430ZAD</v>
          </cell>
        </row>
        <row r="426">
          <cell r="A426" t="str">
            <v>C0031</v>
          </cell>
          <cell r="B426" t="str">
            <v>CAPITAL FEDERAL</v>
          </cell>
          <cell r="C426" t="str">
            <v>CAPITAL FEDERAL</v>
          </cell>
          <cell r="D426" t="str">
            <v>CIUDAD AUTONOMA BUENOS AIRES</v>
          </cell>
          <cell r="E426" t="str">
            <v>MONROE</v>
          </cell>
          <cell r="F426">
            <v>5254</v>
          </cell>
          <cell r="H426" t="str">
            <v>VILLA URQUIZA</v>
          </cell>
          <cell r="I426" t="str">
            <v>C1431ZAD</v>
          </cell>
        </row>
        <row r="427">
          <cell r="A427" t="str">
            <v>C0032</v>
          </cell>
          <cell r="B427" t="str">
            <v>CAPITAL FEDERAL</v>
          </cell>
          <cell r="C427" t="str">
            <v>CAPITAL FEDERAL</v>
          </cell>
          <cell r="D427" t="str">
            <v>CIUDAD AUTONOMA BUENOS AIRES</v>
          </cell>
          <cell r="E427" t="str">
            <v>AV ALTE G BROWN</v>
          </cell>
          <cell r="F427">
            <v>780</v>
          </cell>
          <cell r="H427" t="str">
            <v>LA BOCA</v>
          </cell>
          <cell r="I427" t="str">
            <v>C1155ZAA</v>
          </cell>
        </row>
        <row r="428">
          <cell r="A428" t="str">
            <v>C0033</v>
          </cell>
          <cell r="B428" t="str">
            <v>CAPITAL FEDERAL</v>
          </cell>
          <cell r="C428" t="str">
            <v>CAPITAL FEDERAL</v>
          </cell>
          <cell r="D428" t="str">
            <v>CIUDAD AUTONOMA BUENOS AIRES</v>
          </cell>
          <cell r="E428" t="str">
            <v>AV SUAREZ</v>
          </cell>
          <cell r="F428">
            <v>1750</v>
          </cell>
          <cell r="H428" t="str">
            <v>BARRACAS</v>
          </cell>
          <cell r="I428" t="str">
            <v>C1270ZAB</v>
          </cell>
        </row>
        <row r="429">
          <cell r="A429" t="str">
            <v>C0035</v>
          </cell>
          <cell r="B429" t="str">
            <v>CAPITAL FEDERAL</v>
          </cell>
          <cell r="C429" t="str">
            <v>CAPITAL FEDERAL</v>
          </cell>
          <cell r="D429" t="str">
            <v>CIUDAD AUTONOMA BUENOS AIRES</v>
          </cell>
          <cell r="E429" t="str">
            <v>AV CASEROS</v>
          </cell>
          <cell r="F429">
            <v>1999</v>
          </cell>
          <cell r="H429" t="str">
            <v>CASEROS Y ENTRE RIOS</v>
          </cell>
          <cell r="I429" t="str">
            <v>C1152ZAA</v>
          </cell>
        </row>
        <row r="430">
          <cell r="A430" t="str">
            <v>C0036</v>
          </cell>
          <cell r="B430" t="str">
            <v>CAPITAL FEDERAL</v>
          </cell>
          <cell r="C430" t="str">
            <v>CAPITAL FEDERAL</v>
          </cell>
          <cell r="D430" t="str">
            <v>CIUDAD AUTONOMA BUENOS AIRES</v>
          </cell>
          <cell r="E430" t="str">
            <v>LA RIOJA</v>
          </cell>
          <cell r="F430">
            <v>1954</v>
          </cell>
          <cell r="H430" t="str">
            <v>PARQUE PATRICIOS</v>
          </cell>
          <cell r="I430" t="str">
            <v>C1244ZAB</v>
          </cell>
        </row>
        <row r="431">
          <cell r="A431" t="str">
            <v>C0037</v>
          </cell>
          <cell r="B431" t="str">
            <v>CAPITAL FEDERAL</v>
          </cell>
          <cell r="C431" t="str">
            <v>CAPITAL FEDERAL</v>
          </cell>
          <cell r="D431" t="str">
            <v>CIUDAD AUTONOMA BUENOS AIRES</v>
          </cell>
          <cell r="E431" t="str">
            <v>AV SAENZ</v>
          </cell>
          <cell r="F431">
            <v>753</v>
          </cell>
          <cell r="H431" t="str">
            <v>NUEVA POMPEYA</v>
          </cell>
          <cell r="I431" t="str">
            <v>C1437ZAA</v>
          </cell>
        </row>
        <row r="432">
          <cell r="A432" t="str">
            <v>C0038</v>
          </cell>
          <cell r="B432" t="str">
            <v>CAPITAL FEDERAL</v>
          </cell>
          <cell r="C432" t="str">
            <v>CAPITAL FEDERAL</v>
          </cell>
          <cell r="D432" t="str">
            <v>CIUDAD AUTONOMA BUENOS AIRES</v>
          </cell>
          <cell r="E432" t="str">
            <v>JOSE MARTI</v>
          </cell>
          <cell r="F432">
            <v>2995</v>
          </cell>
          <cell r="H432" t="str">
            <v>VILLA SOLDATI</v>
          </cell>
          <cell r="I432" t="str">
            <v>C1437ZAD</v>
          </cell>
        </row>
        <row r="433">
          <cell r="A433" t="str">
            <v>C0039</v>
          </cell>
          <cell r="B433" t="str">
            <v>CAPITAL FEDERAL</v>
          </cell>
          <cell r="C433" t="str">
            <v>CAPITAL FEDERAL</v>
          </cell>
          <cell r="D433" t="str">
            <v>CIUDAD AUTONOMA BUENOS AIRES</v>
          </cell>
          <cell r="E433" t="str">
            <v>AV NORBERTO DE LA RIESTRA</v>
          </cell>
          <cell r="F433">
            <v>5719</v>
          </cell>
          <cell r="H433" t="str">
            <v>VILLA LUGANO</v>
          </cell>
          <cell r="I433" t="str">
            <v>C1439ZAC</v>
          </cell>
        </row>
        <row r="434">
          <cell r="A434" t="str">
            <v>C0040</v>
          </cell>
          <cell r="B434" t="str">
            <v>CAPITAL FEDERAL</v>
          </cell>
          <cell r="C434" t="str">
            <v>CAPITAL FEDERAL</v>
          </cell>
          <cell r="D434" t="str">
            <v>CIUDAD AUTONOMA BUENOS AIRES</v>
          </cell>
          <cell r="E434" t="str">
            <v>AV JUAN B ALBERDI</v>
          </cell>
          <cell r="F434">
            <v>5924</v>
          </cell>
          <cell r="H434" t="str">
            <v>MATADEROS</v>
          </cell>
          <cell r="I434" t="str">
            <v>C1440ZAA</v>
          </cell>
        </row>
        <row r="435">
          <cell r="A435" t="str">
            <v>C0041</v>
          </cell>
          <cell r="B435" t="str">
            <v>CAPITAL FEDERAL</v>
          </cell>
          <cell r="C435" t="str">
            <v>CAPITAL FEDERAL</v>
          </cell>
          <cell r="D435" t="str">
            <v>CIUDAD AUTONOMA BUENOS AIRES</v>
          </cell>
          <cell r="E435" t="str">
            <v>AV DE LOS INCAS</v>
          </cell>
          <cell r="F435">
            <v>4624</v>
          </cell>
          <cell r="H435" t="str">
            <v>PARQUE CHAS</v>
          </cell>
          <cell r="I435" t="str">
            <v>C1427ZAC</v>
          </cell>
        </row>
        <row r="436">
          <cell r="A436" t="str">
            <v>C0042</v>
          </cell>
          <cell r="B436" t="str">
            <v>CAPITAL FEDERAL</v>
          </cell>
          <cell r="C436" t="str">
            <v>CAPITAL FEDERAL</v>
          </cell>
          <cell r="D436" t="str">
            <v>CIUDAD AUTONOMA BUENOS AIRES</v>
          </cell>
          <cell r="E436" t="str">
            <v>BALCARCE</v>
          </cell>
          <cell r="F436">
            <v>24</v>
          </cell>
          <cell r="H436" t="str">
            <v>CASA DE GOBIERNO</v>
          </cell>
          <cell r="I436" t="str">
            <v>C1064ZAA</v>
          </cell>
        </row>
        <row r="437">
          <cell r="A437" t="str">
            <v>C0048</v>
          </cell>
          <cell r="B437" t="str">
            <v>CAPITAL FEDERAL</v>
          </cell>
          <cell r="C437" t="str">
            <v>CAPITAL FEDERAL</v>
          </cell>
          <cell r="D437" t="str">
            <v>CIUDAD AUTONOMA BUENOS AIRES</v>
          </cell>
          <cell r="E437" t="str">
            <v>URUGUAY</v>
          </cell>
          <cell r="F437">
            <v>1069</v>
          </cell>
          <cell r="H437" t="str">
            <v>PLAZA RODRIGUEZ PEÃ‘A</v>
          </cell>
          <cell r="I437" t="str">
            <v>C1060ZAA</v>
          </cell>
        </row>
        <row r="438">
          <cell r="A438" t="str">
            <v>C0049</v>
          </cell>
          <cell r="B438" t="str">
            <v>CAPITAL FEDERAL</v>
          </cell>
          <cell r="C438" t="str">
            <v>CAPITAL FEDERAL</v>
          </cell>
          <cell r="D438" t="str">
            <v>CIUDAD AUTONOMA BUENOS AIRES</v>
          </cell>
          <cell r="E438" t="str">
            <v>AV B RIVADAVIA</v>
          </cell>
          <cell r="F438">
            <v>5337</v>
          </cell>
          <cell r="H438" t="str">
            <v>CABALLITO</v>
          </cell>
          <cell r="I438" t="str">
            <v>C1424ZAD</v>
          </cell>
        </row>
        <row r="439">
          <cell r="A439" t="str">
            <v>C0051</v>
          </cell>
          <cell r="B439" t="str">
            <v>CAPITAL FEDERAL</v>
          </cell>
          <cell r="C439" t="str">
            <v>CAPITAL FEDERAL</v>
          </cell>
          <cell r="D439" t="str">
            <v>CIUDAD AUTONOMA BUENOS AIRES</v>
          </cell>
          <cell r="E439" t="str">
            <v>BRASIL</v>
          </cell>
          <cell r="F439">
            <v>1153</v>
          </cell>
          <cell r="H439" t="str">
            <v>ESTACION CONSTITUCION</v>
          </cell>
          <cell r="I439" t="str">
            <v>C1154ZAA</v>
          </cell>
        </row>
        <row r="440">
          <cell r="A440" t="str">
            <v>C0052</v>
          </cell>
          <cell r="B440" t="str">
            <v>CAPITAL FEDERAL</v>
          </cell>
          <cell r="C440" t="str">
            <v>CAPITAL FEDERAL</v>
          </cell>
          <cell r="D440" t="str">
            <v>CIUDAD AUTONOMA BUENOS AIRES</v>
          </cell>
          <cell r="E440" t="str">
            <v>BME MITRE</v>
          </cell>
          <cell r="F440">
            <v>326</v>
          </cell>
          <cell r="H440" t="str">
            <v>BANCO NACION</v>
          </cell>
          <cell r="I440" t="str">
            <v>C1036ZAA</v>
          </cell>
        </row>
        <row r="441">
          <cell r="A441" t="str">
            <v>C0053</v>
          </cell>
          <cell r="B441" t="str">
            <v>CAPITAL FEDERAL</v>
          </cell>
          <cell r="C441" t="str">
            <v>CAPITAL FEDERAL</v>
          </cell>
          <cell r="D441" t="str">
            <v>CIUDAD AUTONOMA BUENOS AIRES</v>
          </cell>
          <cell r="E441" t="str">
            <v>DR LUIS PASTEUR</v>
          </cell>
          <cell r="F441">
            <v>768</v>
          </cell>
          <cell r="H441" t="str">
            <v>FACULTAD</v>
          </cell>
          <cell r="I441" t="str">
            <v>C1120ZAA</v>
          </cell>
        </row>
        <row r="442">
          <cell r="A442" t="str">
            <v>C0055</v>
          </cell>
          <cell r="B442" t="str">
            <v>CAPITAL FEDERAL</v>
          </cell>
          <cell r="C442" t="str">
            <v>CAPITAL FEDERAL</v>
          </cell>
          <cell r="D442" t="str">
            <v>CIUDAD AUTONOMA BUENOS AIRES</v>
          </cell>
          <cell r="E442" t="str">
            <v>AZOPARDO</v>
          </cell>
          <cell r="F442">
            <v>250</v>
          </cell>
          <cell r="H442" t="str">
            <v>COMANDO EN JEFE DEL EJERCITO</v>
          </cell>
          <cell r="I442" t="str">
            <v>C1107ZAA</v>
          </cell>
        </row>
        <row r="443">
          <cell r="A443" t="str">
            <v>C0056</v>
          </cell>
          <cell r="B443" t="str">
            <v>CAPITAL FEDERAL</v>
          </cell>
          <cell r="C443" t="str">
            <v>CAPITAL FEDERAL</v>
          </cell>
          <cell r="D443" t="str">
            <v>CIUDAD AUTONOMA BUENOS AIRES</v>
          </cell>
          <cell r="E443" t="str">
            <v>PLAZA</v>
          </cell>
          <cell r="F443">
            <v>3855</v>
          </cell>
          <cell r="H443" t="str">
            <v>SAAVEDRA</v>
          </cell>
          <cell r="I443" t="str">
            <v>C1430ZAC</v>
          </cell>
        </row>
        <row r="444">
          <cell r="A444" t="str">
            <v>C0058</v>
          </cell>
          <cell r="B444" t="str">
            <v>CAPITAL FEDERAL</v>
          </cell>
          <cell r="C444" t="str">
            <v>CAPITAL FEDERAL</v>
          </cell>
          <cell r="D444" t="str">
            <v>CIUDAD AUTONOMA BUENOS AIRES</v>
          </cell>
          <cell r="E444" t="str">
            <v>AV L N ALEM</v>
          </cell>
          <cell r="F444">
            <v>616</v>
          </cell>
          <cell r="H444" t="str">
            <v>CATALINAS CENTRAL</v>
          </cell>
          <cell r="I444" t="str">
            <v>C1054ZAA</v>
          </cell>
        </row>
        <row r="445">
          <cell r="A445" t="str">
            <v>C0059</v>
          </cell>
          <cell r="B445" t="str">
            <v>CAPITAL FEDERAL</v>
          </cell>
          <cell r="C445" t="str">
            <v>CAPITAL FEDERAL</v>
          </cell>
          <cell r="D445" t="str">
            <v>CIUDAD AUTONOMA BUENOS AIRES</v>
          </cell>
          <cell r="E445" t="str">
            <v>PTE H YRIGOYEN</v>
          </cell>
          <cell r="F445">
            <v>250</v>
          </cell>
          <cell r="H445" t="str">
            <v>MINISTERIO DE ECONOMÃA</v>
          </cell>
          <cell r="I445" t="str">
            <v>C1086ZAA</v>
          </cell>
        </row>
        <row r="446">
          <cell r="A446" t="str">
            <v>C0060</v>
          </cell>
          <cell r="B446" t="str">
            <v>CAPITAL FEDERAL</v>
          </cell>
          <cell r="C446" t="str">
            <v>CAPITAL FEDERAL</v>
          </cell>
          <cell r="D446" t="str">
            <v>CIUDAD AUTONOMA BUENOS AIRES</v>
          </cell>
          <cell r="E446" t="str">
            <v>AV DEL LIBERTADOR</v>
          </cell>
          <cell r="F446">
            <v>132</v>
          </cell>
          <cell r="H446" t="str">
            <v>ESTACION RETIRO</v>
          </cell>
          <cell r="I446" t="str">
            <v>C1104ZAD</v>
          </cell>
        </row>
        <row r="447">
          <cell r="A447" t="str">
            <v>C0061</v>
          </cell>
          <cell r="B447" t="str">
            <v>CAPITAL FEDERAL</v>
          </cell>
          <cell r="C447" t="str">
            <v>CAPITAL FEDERAL</v>
          </cell>
          <cell r="D447" t="str">
            <v>CIUDAD AUTONOMA BUENOS AIRES</v>
          </cell>
          <cell r="E447" t="str">
            <v>LAPRIDA</v>
          </cell>
          <cell r="F447">
            <v>2128</v>
          </cell>
          <cell r="H447" t="str">
            <v>PLAZA LAS HERAS</v>
          </cell>
          <cell r="I447" t="str">
            <v>C1425ZAA</v>
          </cell>
        </row>
        <row r="448">
          <cell r="A448" t="str">
            <v>C0063</v>
          </cell>
          <cell r="B448" t="str">
            <v>CAPITAL FEDERAL</v>
          </cell>
          <cell r="C448" t="str">
            <v>CAPITAL FEDERAL</v>
          </cell>
          <cell r="D448" t="str">
            <v>CIUDAD AUTONOMA BUENOS AIRES</v>
          </cell>
          <cell r="E448" t="str">
            <v>AV LOPE DE VEGA</v>
          </cell>
          <cell r="F448">
            <v>2888</v>
          </cell>
          <cell r="H448" t="str">
            <v>VILLA REAL</v>
          </cell>
          <cell r="I448" t="str">
            <v>C1417ZAB</v>
          </cell>
        </row>
        <row r="449">
          <cell r="A449" t="str">
            <v>C0065</v>
          </cell>
          <cell r="B449" t="str">
            <v>CAPITAL FEDERAL</v>
          </cell>
          <cell r="C449" t="str">
            <v>CAPITAL FEDERAL</v>
          </cell>
          <cell r="D449" t="str">
            <v>CIUDAD AUTONOMA BUENOS AIRES</v>
          </cell>
          <cell r="E449" t="str">
            <v>CERRITO</v>
          </cell>
          <cell r="F449">
            <v>368</v>
          </cell>
          <cell r="H449" t="str">
            <v>OBELISCO</v>
          </cell>
          <cell r="I449" t="str">
            <v>C1043ZAC</v>
          </cell>
        </row>
        <row r="450">
          <cell r="A450" t="str">
            <v>C0069</v>
          </cell>
          <cell r="B450" t="str">
            <v>CAPITAL FEDERAL</v>
          </cell>
          <cell r="C450" t="str">
            <v>CAPITAL FEDERAL</v>
          </cell>
          <cell r="D450" t="str">
            <v>CIUDAD AUTONOMA BUENOS AIRES</v>
          </cell>
          <cell r="E450" t="str">
            <v>AV SANTA FE</v>
          </cell>
          <cell r="F450">
            <v>945</v>
          </cell>
          <cell r="H450" t="str">
            <v>PLAZA SAN MARTIN</v>
          </cell>
          <cell r="I450" t="str">
            <v>C1059ZAB</v>
          </cell>
        </row>
        <row r="451">
          <cell r="A451" t="str">
            <v>C0071</v>
          </cell>
          <cell r="B451" t="str">
            <v>CAPITAL FEDERAL</v>
          </cell>
          <cell r="C451" t="str">
            <v>CAPITAL FEDERAL</v>
          </cell>
          <cell r="D451" t="str">
            <v>CIUDAD AUTONOMA BUENOS AIRES</v>
          </cell>
          <cell r="E451" t="str">
            <v>AV FEDERICO LACROZE</v>
          </cell>
          <cell r="F451">
            <v>4164</v>
          </cell>
          <cell r="H451" t="str">
            <v>CHACARITA</v>
          </cell>
          <cell r="I451" t="str">
            <v>C1427ZAB</v>
          </cell>
        </row>
        <row r="452">
          <cell r="A452" t="str">
            <v>C0072</v>
          </cell>
          <cell r="B452" t="str">
            <v>CAPITAL FEDERAL</v>
          </cell>
          <cell r="C452" t="str">
            <v>CAPITAL FEDERAL</v>
          </cell>
          <cell r="D452" t="str">
            <v>CIUDAD AUTONOMA BUENOS AIRES</v>
          </cell>
          <cell r="E452" t="str">
            <v>GRAL JOSE G ARTIGAS</v>
          </cell>
          <cell r="F452">
            <v>40</v>
          </cell>
          <cell r="H452" t="str">
            <v>FLORES</v>
          </cell>
          <cell r="I452" t="str">
            <v>C1406ZAB</v>
          </cell>
        </row>
        <row r="453">
          <cell r="A453" t="str">
            <v>C0076</v>
          </cell>
          <cell r="B453" t="str">
            <v>CAPITAL FEDERAL</v>
          </cell>
          <cell r="C453" t="str">
            <v>CAPITAL FEDERAL</v>
          </cell>
          <cell r="D453" t="str">
            <v>CIUDAD AUTONOMA BUENOS AIRES</v>
          </cell>
          <cell r="E453" t="str">
            <v>PARANA</v>
          </cell>
          <cell r="F453">
            <v>777</v>
          </cell>
          <cell r="H453" t="str">
            <v>TRIBUNALES 1</v>
          </cell>
          <cell r="I453" t="str">
            <v>C1015ZAA</v>
          </cell>
        </row>
        <row r="454">
          <cell r="A454" t="str">
            <v>C0085</v>
          </cell>
          <cell r="B454" t="str">
            <v>CAPITAL FEDERAL</v>
          </cell>
          <cell r="C454" t="str">
            <v>CAPITAL FEDERAL</v>
          </cell>
          <cell r="D454" t="str">
            <v>CIUDAD AUTONOMA BUENOS AIRES</v>
          </cell>
          <cell r="E454" t="str">
            <v>AV CORDOBA</v>
          </cell>
          <cell r="F454">
            <v>663</v>
          </cell>
          <cell r="H454" t="str">
            <v>CORDOBA Y FLORIDA</v>
          </cell>
          <cell r="I454" t="str">
            <v>C1054ZAB</v>
          </cell>
        </row>
        <row r="455">
          <cell r="A455" t="str">
            <v>C0500</v>
          </cell>
          <cell r="B455" t="str">
            <v>CAPITAL FEDERAL</v>
          </cell>
          <cell r="C455" t="str">
            <v>CAPITAL FEDERAL</v>
          </cell>
          <cell r="D455" t="str">
            <v>CIUDAD AUTONOMA BUENOS AIRES</v>
          </cell>
          <cell r="E455" t="str">
            <v>AV CORDOBA</v>
          </cell>
          <cell r="F455">
            <v>663</v>
          </cell>
          <cell r="H455" t="str">
            <v>FILATELIA CORDOBA Y FLORIDA</v>
          </cell>
          <cell r="I455" t="str">
            <v>C1041ZAC</v>
          </cell>
        </row>
        <row r="456">
          <cell r="A456" t="str">
            <v>C2060</v>
          </cell>
          <cell r="B456" t="str">
            <v>CAPITAL FEDERAL</v>
          </cell>
          <cell r="C456" t="str">
            <v>CAPITAL FEDERAL</v>
          </cell>
          <cell r="D456" t="str">
            <v>CIUDAD AUTONOMA BUENOS AIRES</v>
          </cell>
          <cell r="E456" t="str">
            <v>AV SAN JUAN</v>
          </cell>
          <cell r="F456">
            <v>1349</v>
          </cell>
          <cell r="H456" t="str">
            <v>CTE [ENCOMIENDAS]</v>
          </cell>
          <cell r="I456" t="str">
            <v>C1148ZAA</v>
          </cell>
        </row>
        <row r="457">
          <cell r="A457" t="str">
            <v>C2061</v>
          </cell>
          <cell r="B457" t="str">
            <v>CAPITAL FEDERAL</v>
          </cell>
          <cell r="C457" t="str">
            <v>CAPITAL FEDERAL</v>
          </cell>
          <cell r="D457" t="str">
            <v>CIUDAD AUTONOMA BUENOS AIRES</v>
          </cell>
          <cell r="E457" t="str">
            <v>AV ANTARTIDA ARGENTINA</v>
          </cell>
          <cell r="F457">
            <v>1100</v>
          </cell>
          <cell r="H457" t="str">
            <v>CENTRO POSTAL INTERNACIONAL</v>
          </cell>
          <cell r="I457" t="str">
            <v>C1104ZAB</v>
          </cell>
        </row>
        <row r="458">
          <cell r="A458" t="str">
            <v>C2102</v>
          </cell>
          <cell r="B458" t="str">
            <v>CAPITAL FEDERAL</v>
          </cell>
          <cell r="C458" t="str">
            <v>CAPITAL FEDERAL</v>
          </cell>
          <cell r="D458" t="str">
            <v>CIUDAD AUTONOMA BUENOS AIRES</v>
          </cell>
          <cell r="E458" t="str">
            <v>TALCAHUANO</v>
          </cell>
          <cell r="F458">
            <v>550</v>
          </cell>
          <cell r="H458" t="str">
            <v>MINIPOST NÂº1 (TRIBUNALES)</v>
          </cell>
          <cell r="I458" t="str">
            <v>C1013ZAA</v>
          </cell>
        </row>
        <row r="459">
          <cell r="A459" t="str">
            <v>C2205</v>
          </cell>
          <cell r="B459" t="str">
            <v>CAPITAL FEDERAL</v>
          </cell>
          <cell r="C459" t="str">
            <v>CAPITAL FEDERAL</v>
          </cell>
          <cell r="D459" t="str">
            <v>CIUDAD AUTONOMA BUENOS AIRES</v>
          </cell>
          <cell r="E459" t="str">
            <v>AV CNEL DIAZ</v>
          </cell>
          <cell r="F459">
            <v>2190</v>
          </cell>
          <cell r="H459" t="str">
            <v>PALERMO</v>
          </cell>
          <cell r="I459" t="str">
            <v>C1425ZAC</v>
          </cell>
        </row>
        <row r="460">
          <cell r="A460" t="str">
            <v>C4872</v>
          </cell>
          <cell r="B460" t="str">
            <v>CAPITAL FEDERAL</v>
          </cell>
          <cell r="C460" t="str">
            <v>CAPITAL FEDERAL</v>
          </cell>
          <cell r="D460" t="str">
            <v>CIUDAD AUTONOMA BUENOS AIRES</v>
          </cell>
          <cell r="E460" t="str">
            <v>AV DE LOS INMIGRANTES</v>
          </cell>
          <cell r="F460">
            <v>1950</v>
          </cell>
          <cell r="H460" t="str">
            <v>PENAL ECONOMICO</v>
          </cell>
          <cell r="I460" t="str">
            <v>C1104ZAP</v>
          </cell>
        </row>
        <row r="461">
          <cell r="A461" t="str">
            <v>C4932</v>
          </cell>
          <cell r="B461" t="str">
            <v>CAPITAL FEDERAL</v>
          </cell>
          <cell r="C461" t="str">
            <v>CAPITAL FEDERAL</v>
          </cell>
          <cell r="D461" t="str">
            <v>CIUDAD AUTONOMA BUENOS AIRES</v>
          </cell>
          <cell r="E461" t="str">
            <v>AV CORRIENTES</v>
          </cell>
          <cell r="F461">
            <v>1441</v>
          </cell>
          <cell r="H461" t="str">
            <v>COLEGIO DE ABOGADOS CAP FED</v>
          </cell>
          <cell r="I461" t="str">
            <v>C1042ZAD</v>
          </cell>
        </row>
        <row r="462">
          <cell r="A462" t="str">
            <v>C5259</v>
          </cell>
          <cell r="B462" t="str">
            <v>CAPITAL FEDERAL</v>
          </cell>
          <cell r="C462" t="str">
            <v>CAPITAL FEDERAL</v>
          </cell>
          <cell r="D462" t="str">
            <v>CIUDAD AUTONOMA BUENOS AIRES</v>
          </cell>
          <cell r="E462" t="str">
            <v>SARMIENTO</v>
          </cell>
          <cell r="F462">
            <v>151</v>
          </cell>
          <cell r="H462" t="str">
            <v>TIENDA FILATELIA CORREO ARGENT</v>
          </cell>
          <cell r="I462" t="str">
            <v>C1041ZAA</v>
          </cell>
        </row>
        <row r="463">
          <cell r="A463" t="str">
            <v>C5260</v>
          </cell>
          <cell r="B463" t="str">
            <v>CAPITAL FEDERAL</v>
          </cell>
          <cell r="C463" t="str">
            <v>CAPITAL FEDERAL</v>
          </cell>
          <cell r="D463" t="str">
            <v>CIUDAD AUTONOMA BUENOS AIRES</v>
          </cell>
          <cell r="E463" t="str">
            <v>SARMIENTO</v>
          </cell>
          <cell r="F463">
            <v>151</v>
          </cell>
          <cell r="H463" t="str">
            <v>SUCURSAL DE Ã‰POCA CORREO</v>
          </cell>
          <cell r="I463" t="str">
            <v>C1041ZAD</v>
          </cell>
        </row>
        <row r="464">
          <cell r="A464" t="str">
            <v>C5280</v>
          </cell>
          <cell r="B464" t="str">
            <v>CAPITAL FEDERAL</v>
          </cell>
          <cell r="C464" t="str">
            <v>CAPITAL FEDERAL</v>
          </cell>
          <cell r="D464" t="str">
            <v>CIUDAD AUTONOMA BUENOS AIRES</v>
          </cell>
          <cell r="E464" t="str">
            <v>AV SAN JUAN</v>
          </cell>
          <cell r="F464">
            <v>1349</v>
          </cell>
          <cell r="H464" t="str">
            <v>PAGO ELECTRONICO</v>
          </cell>
          <cell r="I464" t="str">
            <v>C1148ZAL</v>
          </cell>
        </row>
        <row r="465">
          <cell r="A465" t="str">
            <v>C5290</v>
          </cell>
          <cell r="B465" t="str">
            <v>CAPITAL FEDERAL</v>
          </cell>
          <cell r="C465" t="str">
            <v>CAPITAL FEDERAL</v>
          </cell>
          <cell r="D465" t="str">
            <v>CIUDAD AUTONOMA BUENOS AIRES</v>
          </cell>
          <cell r="E465" t="str">
            <v>AV COMODORO PY</v>
          </cell>
          <cell r="F465">
            <v>2000</v>
          </cell>
          <cell r="H465" t="str">
            <v>CAYE RETIRO</v>
          </cell>
          <cell r="I465" t="str">
            <v>C1104ZAW</v>
          </cell>
        </row>
        <row r="466">
          <cell r="A466" t="str">
            <v>K0000</v>
          </cell>
          <cell r="B466" t="str">
            <v>CATAMARCA</v>
          </cell>
          <cell r="C466" t="str">
            <v>CAPITAL</v>
          </cell>
          <cell r="D466" t="str">
            <v>SAN FDO DEL VALLE DE CATAMARCA</v>
          </cell>
          <cell r="E466" t="str">
            <v>SAN MARTIN</v>
          </cell>
          <cell r="F466">
            <v>761</v>
          </cell>
          <cell r="H466" t="str">
            <v>CATAMARCA</v>
          </cell>
          <cell r="I466" t="str">
            <v>K4700ZAA</v>
          </cell>
        </row>
        <row r="467">
          <cell r="A467" t="str">
            <v>K0002</v>
          </cell>
          <cell r="B467" t="str">
            <v>CATAMARCA</v>
          </cell>
          <cell r="C467" t="str">
            <v>ANCASTI</v>
          </cell>
          <cell r="D467" t="str">
            <v>ANCASTI</v>
          </cell>
          <cell r="E467" t="str">
            <v>CALLE PUBLICA</v>
          </cell>
          <cell r="H467" t="str">
            <v>ANCASTI</v>
          </cell>
          <cell r="I467" t="str">
            <v>K4701ZAA</v>
          </cell>
        </row>
        <row r="468">
          <cell r="A468" t="str">
            <v>K0004</v>
          </cell>
          <cell r="B468" t="str">
            <v>CATAMARCA</v>
          </cell>
          <cell r="C468" t="str">
            <v>ANDALGALA</v>
          </cell>
          <cell r="D468" t="str">
            <v>ANDALGALA</v>
          </cell>
          <cell r="E468" t="str">
            <v>B RIVADAVIA</v>
          </cell>
          <cell r="F468">
            <v>198</v>
          </cell>
          <cell r="H468" t="str">
            <v>ANDALGALA</v>
          </cell>
          <cell r="I468" t="str">
            <v>K4740ZAA</v>
          </cell>
        </row>
        <row r="469">
          <cell r="A469" t="str">
            <v>K0005</v>
          </cell>
          <cell r="B469" t="str">
            <v>CATAMARCA</v>
          </cell>
          <cell r="C469" t="str">
            <v>SANTA ROSA</v>
          </cell>
          <cell r="D469" t="str">
            <v>BAÃ‘ADO DE OVANTA</v>
          </cell>
          <cell r="E469" t="str">
            <v>R PROV 30</v>
          </cell>
          <cell r="F469">
            <v>0</v>
          </cell>
          <cell r="H469" t="str">
            <v>BAÃ‘ADO DE OVANTA</v>
          </cell>
          <cell r="I469" t="str">
            <v>K4721ZAA</v>
          </cell>
        </row>
        <row r="470">
          <cell r="A470" t="str">
            <v>K0006</v>
          </cell>
          <cell r="B470" t="str">
            <v>CATAMARCA</v>
          </cell>
          <cell r="C470" t="str">
            <v>BELEN</v>
          </cell>
          <cell r="D470" t="str">
            <v>BELEN</v>
          </cell>
          <cell r="E470" t="str">
            <v>SAN MARTIN</v>
          </cell>
          <cell r="F470">
            <v>543</v>
          </cell>
          <cell r="H470" t="str">
            <v>BELEN</v>
          </cell>
          <cell r="I470" t="str">
            <v>K4750ZAA</v>
          </cell>
        </row>
        <row r="471">
          <cell r="A471" t="str">
            <v>K0008</v>
          </cell>
          <cell r="B471" t="str">
            <v>CATAMARCA</v>
          </cell>
          <cell r="C471" t="str">
            <v>CAPAYAN</v>
          </cell>
          <cell r="D471" t="str">
            <v>CHUMBICHA</v>
          </cell>
          <cell r="E471" t="str">
            <v>MANUEL BELGRANO</v>
          </cell>
          <cell r="F471">
            <v>200</v>
          </cell>
          <cell r="H471" t="str">
            <v>CHUMBICHA</v>
          </cell>
          <cell r="I471" t="str">
            <v>K4728ZAA</v>
          </cell>
        </row>
        <row r="472">
          <cell r="A472" t="str">
            <v>K0012</v>
          </cell>
          <cell r="B472" t="str">
            <v>CATAMARCA</v>
          </cell>
          <cell r="C472" t="str">
            <v>TINOGASTA</v>
          </cell>
          <cell r="D472" t="str">
            <v>COPACABANA</v>
          </cell>
          <cell r="E472" t="str">
            <v>R NAC 60</v>
          </cell>
          <cell r="F472">
            <v>0</v>
          </cell>
          <cell r="H472" t="str">
            <v>COPACABANA</v>
          </cell>
          <cell r="I472" t="str">
            <v>K5333ZAA</v>
          </cell>
        </row>
        <row r="473">
          <cell r="A473" t="str">
            <v>K0014</v>
          </cell>
          <cell r="B473" t="str">
            <v>CATAMARCA</v>
          </cell>
          <cell r="C473" t="str">
            <v>ANDALGALA</v>
          </cell>
          <cell r="D473" t="str">
            <v>EL ALAMITO</v>
          </cell>
          <cell r="E473" t="str">
            <v>MARTIN DE GUEMES S/N</v>
          </cell>
          <cell r="H473" t="str">
            <v>EL ALAMITO</v>
          </cell>
          <cell r="I473" t="str">
            <v>K4743ZAA</v>
          </cell>
        </row>
        <row r="474">
          <cell r="A474" t="str">
            <v>K0016</v>
          </cell>
          <cell r="B474" t="str">
            <v>CATAMARCA</v>
          </cell>
          <cell r="C474" t="str">
            <v>EL ALTO</v>
          </cell>
          <cell r="D474" t="str">
            <v>EL ALTO</v>
          </cell>
          <cell r="E474" t="str">
            <v>GRAL MARIANO NECOCHEA</v>
          </cell>
          <cell r="F474">
            <v>0</v>
          </cell>
          <cell r="H474" t="str">
            <v>EL ALTO</v>
          </cell>
          <cell r="I474" t="str">
            <v>K4235ZAC</v>
          </cell>
        </row>
        <row r="475">
          <cell r="A475" t="str">
            <v>K0020</v>
          </cell>
          <cell r="B475" t="str">
            <v>CATAMARCA</v>
          </cell>
          <cell r="C475" t="str">
            <v>AMBATO</v>
          </cell>
          <cell r="D475" t="str">
            <v>EL RODEO</v>
          </cell>
          <cell r="E475" t="str">
            <v>LAS DALIAS</v>
          </cell>
          <cell r="F475">
            <v>0</v>
          </cell>
          <cell r="H475" t="str">
            <v>EL RODEO</v>
          </cell>
          <cell r="I475" t="str">
            <v>K4715ZAB</v>
          </cell>
        </row>
        <row r="476">
          <cell r="A476" t="str">
            <v>K0022</v>
          </cell>
          <cell r="B476" t="str">
            <v>CATAMARCA</v>
          </cell>
          <cell r="C476" t="str">
            <v>LA PAZ</v>
          </cell>
          <cell r="D476" t="str">
            <v>ESQUIU</v>
          </cell>
          <cell r="E476" t="str">
            <v>CALLE SIN NOMBRE S/N</v>
          </cell>
          <cell r="H476" t="str">
            <v>ESQUIU</v>
          </cell>
          <cell r="I476" t="str">
            <v>K5261ZAA</v>
          </cell>
        </row>
        <row r="477">
          <cell r="A477" t="str">
            <v>K0024</v>
          </cell>
          <cell r="B477" t="str">
            <v>CATAMARCA</v>
          </cell>
          <cell r="C477" t="str">
            <v>TINOGASTA</v>
          </cell>
          <cell r="D477" t="str">
            <v>FIAMBALA</v>
          </cell>
          <cell r="E477" t="str">
            <v>AV LAS AMERICAS</v>
          </cell>
          <cell r="F477">
            <v>0</v>
          </cell>
          <cell r="H477" t="str">
            <v>FIAMBALA</v>
          </cell>
          <cell r="I477" t="str">
            <v>K5345ZAA</v>
          </cell>
        </row>
        <row r="478">
          <cell r="A478" t="str">
            <v>K0028</v>
          </cell>
          <cell r="B478" t="str">
            <v>CATAMARCA</v>
          </cell>
          <cell r="C478" t="str">
            <v>BELEN</v>
          </cell>
          <cell r="D478" t="str">
            <v>HUALFIN</v>
          </cell>
          <cell r="E478" t="str">
            <v>MANUEL BELGRANO</v>
          </cell>
          <cell r="F478">
            <v>0</v>
          </cell>
          <cell r="H478" t="str">
            <v>HUALFIN</v>
          </cell>
          <cell r="I478" t="str">
            <v>K4751ZAB</v>
          </cell>
        </row>
        <row r="479">
          <cell r="A479" t="str">
            <v>K0030</v>
          </cell>
          <cell r="B479" t="str">
            <v>CATAMARCA</v>
          </cell>
          <cell r="C479" t="str">
            <v>CAPAYAN</v>
          </cell>
          <cell r="D479" t="str">
            <v>HUILLAPIMA</v>
          </cell>
          <cell r="E479" t="str">
            <v>CALLE PUBLICA S/N</v>
          </cell>
          <cell r="H479" t="str">
            <v>HUILLAPIMA</v>
          </cell>
          <cell r="I479" t="str">
            <v>K4728ZAB</v>
          </cell>
        </row>
        <row r="480">
          <cell r="A480" t="str">
            <v>K0032</v>
          </cell>
          <cell r="B480" t="str">
            <v>CATAMARCA</v>
          </cell>
          <cell r="C480" t="str">
            <v>PACLIN</v>
          </cell>
          <cell r="D480" t="str">
            <v>LA MERCED</v>
          </cell>
          <cell r="E480" t="str">
            <v>SEGUNDO MATIAS AREDES</v>
          </cell>
          <cell r="F480">
            <v>0</v>
          </cell>
          <cell r="H480" t="str">
            <v>LA MERCED</v>
          </cell>
          <cell r="I480" t="str">
            <v>K4718ZAC</v>
          </cell>
        </row>
        <row r="481">
          <cell r="A481" t="str">
            <v>K0034</v>
          </cell>
          <cell r="B481" t="str">
            <v>CATAMARCA</v>
          </cell>
          <cell r="C481" t="str">
            <v>AMBATO</v>
          </cell>
          <cell r="D481" t="str">
            <v>LA PUERTA</v>
          </cell>
          <cell r="E481" t="str">
            <v>CALLE PUBLICA S/N</v>
          </cell>
          <cell r="H481" t="str">
            <v>LA PUERTA</v>
          </cell>
          <cell r="I481" t="str">
            <v>K4711ZAA</v>
          </cell>
        </row>
        <row r="482">
          <cell r="A482" t="str">
            <v>K0038</v>
          </cell>
          <cell r="B482" t="str">
            <v>CATAMARCA</v>
          </cell>
          <cell r="C482" t="str">
            <v>SANTA ROSA</v>
          </cell>
          <cell r="D482" t="str">
            <v>LAVALLE</v>
          </cell>
          <cell r="E482" t="str">
            <v>R NAC 64</v>
          </cell>
          <cell r="F482">
            <v>0</v>
          </cell>
          <cell r="H482" t="str">
            <v>LAVALLE</v>
          </cell>
          <cell r="I482" t="str">
            <v>K5347ZAA</v>
          </cell>
        </row>
        <row r="483">
          <cell r="A483" t="str">
            <v>K0040</v>
          </cell>
          <cell r="B483" t="str">
            <v>CATAMARCA</v>
          </cell>
          <cell r="C483" t="str">
            <v>BELEN</v>
          </cell>
          <cell r="D483" t="str">
            <v>LONDRES</v>
          </cell>
          <cell r="E483" t="str">
            <v>JUAN PEREZ DE ZURITA</v>
          </cell>
          <cell r="F483">
            <v>0</v>
          </cell>
          <cell r="H483" t="str">
            <v>LONDRES (BELEN)</v>
          </cell>
          <cell r="I483" t="str">
            <v>K4753ZAB</v>
          </cell>
        </row>
        <row r="484">
          <cell r="A484" t="str">
            <v>K0042</v>
          </cell>
          <cell r="B484" t="str">
            <v>CATAMARCA</v>
          </cell>
          <cell r="C484" t="str">
            <v>AMBATO</v>
          </cell>
          <cell r="D484" t="str">
            <v>LOS VARELA</v>
          </cell>
          <cell r="E484" t="str">
            <v>CALLE SIN NOMBRE SIN NUMERO</v>
          </cell>
          <cell r="H484" t="str">
            <v>LOS VARELAS</v>
          </cell>
          <cell r="I484" t="str">
            <v>K4704ZAA</v>
          </cell>
        </row>
        <row r="485">
          <cell r="A485" t="str">
            <v>K0044</v>
          </cell>
          <cell r="B485" t="str">
            <v>CATAMARCA</v>
          </cell>
          <cell r="C485" t="str">
            <v>SANTA ROSA</v>
          </cell>
          <cell r="D485" t="str">
            <v>LOS ALTOS</v>
          </cell>
          <cell r="E485" t="str">
            <v>SOBRE RUTA NAC NÂº 64</v>
          </cell>
          <cell r="H485" t="str">
            <v>LOS ALTOS</v>
          </cell>
          <cell r="I485" t="str">
            <v>K4723ZAA</v>
          </cell>
        </row>
        <row r="486">
          <cell r="A486" t="str">
            <v>K0046</v>
          </cell>
          <cell r="B486" t="str">
            <v>CATAMARCA</v>
          </cell>
          <cell r="C486" t="str">
            <v>CAPAYAN</v>
          </cell>
          <cell r="D486" t="str">
            <v>MIRAFLORES</v>
          </cell>
          <cell r="E486" t="str">
            <v>PRINCIPAL</v>
          </cell>
          <cell r="F486">
            <v>0</v>
          </cell>
          <cell r="H486" t="str">
            <v>MIRAFLORES</v>
          </cell>
          <cell r="I486" t="str">
            <v>K4724ZAB</v>
          </cell>
        </row>
        <row r="487">
          <cell r="A487" t="str">
            <v>K0048</v>
          </cell>
          <cell r="B487" t="str">
            <v>CATAMARCA</v>
          </cell>
          <cell r="C487" t="str">
            <v>POMAN</v>
          </cell>
          <cell r="D487" t="str">
            <v>MUTQUIN</v>
          </cell>
          <cell r="E487" t="str">
            <v>PASAJE DEL BICENTENARIO</v>
          </cell>
          <cell r="H487" t="str">
            <v>MUTQUIN</v>
          </cell>
          <cell r="I487" t="str">
            <v>K5315ZAB</v>
          </cell>
        </row>
        <row r="488">
          <cell r="A488" t="str">
            <v>K0050</v>
          </cell>
          <cell r="B488" t="str">
            <v>CATAMARCA</v>
          </cell>
          <cell r="C488" t="str">
            <v>FRAY MAMERTO ESQUIU</v>
          </cell>
          <cell r="D488" t="str">
            <v>SAN JOSE DE PIEDRA BLANCA</v>
          </cell>
          <cell r="E488" t="str">
            <v>R PROV 41</v>
          </cell>
          <cell r="F488">
            <v>0</v>
          </cell>
          <cell r="H488" t="str">
            <v>PIEDRA BLANCA</v>
          </cell>
          <cell r="I488" t="str">
            <v>K4709ZAA</v>
          </cell>
        </row>
        <row r="489">
          <cell r="A489" t="str">
            <v>K0052</v>
          </cell>
          <cell r="B489" t="str">
            <v>CATAMARCA</v>
          </cell>
          <cell r="C489" t="str">
            <v>POMAN</v>
          </cell>
          <cell r="D489" t="str">
            <v>POMAN</v>
          </cell>
          <cell r="E489" t="str">
            <v>JERONIMO DE CABRERA</v>
          </cell>
          <cell r="F489">
            <v>143</v>
          </cell>
          <cell r="H489" t="str">
            <v>POMAN</v>
          </cell>
          <cell r="I489" t="str">
            <v>K5315ZAA</v>
          </cell>
        </row>
        <row r="490">
          <cell r="A490" t="str">
            <v>K0054</v>
          </cell>
          <cell r="B490" t="str">
            <v>CATAMARCA</v>
          </cell>
          <cell r="C490" t="str">
            <v>LA PAZ</v>
          </cell>
          <cell r="D490" t="str">
            <v>RECREO</v>
          </cell>
          <cell r="E490" t="str">
            <v>DR RAUL SABAGH</v>
          </cell>
          <cell r="F490">
            <v>100</v>
          </cell>
          <cell r="H490" t="str">
            <v>RECREO</v>
          </cell>
          <cell r="I490" t="str">
            <v>K5260ZAA</v>
          </cell>
        </row>
        <row r="491">
          <cell r="A491" t="str">
            <v>K0056</v>
          </cell>
          <cell r="B491" t="str">
            <v>CATAMARCA</v>
          </cell>
          <cell r="C491" t="str">
            <v>LA PAZ</v>
          </cell>
          <cell r="D491" t="str">
            <v>SAN ANTONIO DE LA PAZ</v>
          </cell>
          <cell r="E491" t="str">
            <v>JOSE E COLOMBRES</v>
          </cell>
          <cell r="F491">
            <v>0</v>
          </cell>
          <cell r="H491" t="str">
            <v>SAN ANTONIO DE LA PAZ</v>
          </cell>
          <cell r="I491" t="str">
            <v>K5264ZAA</v>
          </cell>
        </row>
        <row r="492">
          <cell r="A492" t="str">
            <v>K0058</v>
          </cell>
          <cell r="B492" t="str">
            <v>CATAMARCA</v>
          </cell>
          <cell r="C492" t="str">
            <v>SANTA MARIA</v>
          </cell>
          <cell r="D492" t="str">
            <v>SAN JOSE</v>
          </cell>
          <cell r="E492" t="str">
            <v>16 DE AGOSTO</v>
          </cell>
          <cell r="F492">
            <v>100</v>
          </cell>
          <cell r="H492" t="str">
            <v>SAN JOSE</v>
          </cell>
          <cell r="I492" t="str">
            <v>K4139ZAB</v>
          </cell>
        </row>
        <row r="493">
          <cell r="A493" t="str">
            <v>K0060</v>
          </cell>
          <cell r="B493" t="str">
            <v>CATAMARCA</v>
          </cell>
          <cell r="C493" t="str">
            <v>SANTA MARIA</v>
          </cell>
          <cell r="D493" t="str">
            <v>SANTA MARIA</v>
          </cell>
          <cell r="E493" t="str">
            <v>DR T DE LA QUINTANA</v>
          </cell>
          <cell r="F493">
            <v>375</v>
          </cell>
          <cell r="H493" t="str">
            <v>SANTA MARIA</v>
          </cell>
          <cell r="I493" t="str">
            <v>K4011ZAA</v>
          </cell>
        </row>
        <row r="494">
          <cell r="A494" t="str">
            <v>K0062</v>
          </cell>
          <cell r="B494" t="str">
            <v>CATAMARCA</v>
          </cell>
          <cell r="C494" t="str">
            <v>TINOGASTA</v>
          </cell>
          <cell r="D494" t="str">
            <v>SANTA ROSA</v>
          </cell>
          <cell r="E494" t="str">
            <v>SGTO CABRAL</v>
          </cell>
          <cell r="F494">
            <v>50</v>
          </cell>
          <cell r="H494" t="str">
            <v>SANTA ROSA</v>
          </cell>
          <cell r="I494" t="str">
            <v>K5343ZAA</v>
          </cell>
        </row>
        <row r="495">
          <cell r="A495" t="str">
            <v>K0064</v>
          </cell>
          <cell r="B495" t="str">
            <v>CATAMARCA</v>
          </cell>
          <cell r="C495" t="str">
            <v>POMAN</v>
          </cell>
          <cell r="D495" t="str">
            <v>SAUJIL</v>
          </cell>
          <cell r="E495" t="str">
            <v>E DE NIEVA Y CASTILLA</v>
          </cell>
          <cell r="F495">
            <v>410</v>
          </cell>
          <cell r="H495" t="str">
            <v>SAUJIL</v>
          </cell>
          <cell r="I495" t="str">
            <v>K5321ZAA</v>
          </cell>
        </row>
        <row r="496">
          <cell r="A496" t="str">
            <v>K0066</v>
          </cell>
          <cell r="B496" t="str">
            <v>CATAMARCA</v>
          </cell>
          <cell r="C496" t="str">
            <v>TINOGASTA</v>
          </cell>
          <cell r="D496" t="str">
            <v>TINOGASTA</v>
          </cell>
          <cell r="E496" t="str">
            <v>DR MARIANO MORENO</v>
          </cell>
          <cell r="F496">
            <v>785</v>
          </cell>
          <cell r="H496" t="str">
            <v>TINOGASTA</v>
          </cell>
          <cell r="I496" t="str">
            <v>K5340ZAA</v>
          </cell>
        </row>
        <row r="497">
          <cell r="A497" t="str">
            <v>K0068</v>
          </cell>
          <cell r="B497" t="str">
            <v>CATAMARCA</v>
          </cell>
          <cell r="C497" t="str">
            <v>VALLE VIEJO</v>
          </cell>
          <cell r="D497" t="str">
            <v>LAS TEJAS DE VALLE VIEJO</v>
          </cell>
          <cell r="E497" t="str">
            <v>HIGINIO RIZZO 136</v>
          </cell>
          <cell r="H497" t="str">
            <v>VALLE VIEJO</v>
          </cell>
          <cell r="I497" t="str">
            <v>K4707ZAA</v>
          </cell>
        </row>
        <row r="498">
          <cell r="A498" t="str">
            <v>K1002</v>
          </cell>
          <cell r="B498" t="str">
            <v>CATAMARCA</v>
          </cell>
          <cell r="C498" t="str">
            <v>CAPITAL</v>
          </cell>
          <cell r="D498" t="str">
            <v>SAN FDO DEL VALLE DE CATAMARCA</v>
          </cell>
          <cell r="E498" t="str">
            <v>AV REP DE VENEZUELA</v>
          </cell>
          <cell r="F498">
            <v>100</v>
          </cell>
          <cell r="H498" t="str">
            <v>CATAMARCA CASA DE GOBIERNO</v>
          </cell>
          <cell r="I498" t="str">
            <v>K4700ZAC</v>
          </cell>
        </row>
        <row r="499">
          <cell r="A499" t="str">
            <v>K1006</v>
          </cell>
          <cell r="B499" t="str">
            <v>CATAMARCA</v>
          </cell>
          <cell r="C499" t="str">
            <v>CAPITAL</v>
          </cell>
          <cell r="D499" t="str">
            <v>SAN FDO DEL VALLE DE CATAMARCA</v>
          </cell>
          <cell r="E499" t="str">
            <v>AV M ACOSTA VILLAFAÃ‘E</v>
          </cell>
          <cell r="F499">
            <v>1500</v>
          </cell>
          <cell r="H499" t="str">
            <v>CATAMARCA REGISTRO CIVIL</v>
          </cell>
          <cell r="I499" t="str">
            <v>K4700ZAE</v>
          </cell>
        </row>
        <row r="500">
          <cell r="A500" t="str">
            <v>K1010</v>
          </cell>
          <cell r="B500" t="str">
            <v>CATAMARCA</v>
          </cell>
          <cell r="C500" t="str">
            <v>CAPAYAN</v>
          </cell>
          <cell r="D500" t="str">
            <v>ADOLFO E CARRANZA</v>
          </cell>
          <cell r="E500" t="str">
            <v>CALLE SIN NOMBRE SIN NUMERO</v>
          </cell>
          <cell r="H500" t="str">
            <v>ADOLFO E. CARRANZA</v>
          </cell>
          <cell r="I500" t="str">
            <v>K5263ZAA</v>
          </cell>
        </row>
        <row r="501">
          <cell r="A501" t="str">
            <v>K1024</v>
          </cell>
          <cell r="B501" t="str">
            <v>CATAMARCA</v>
          </cell>
          <cell r="C501" t="str">
            <v>ANTOFAGASTA DE LA SIERRA</v>
          </cell>
          <cell r="D501" t="str">
            <v>ANTOFAGASTA DE LA SIERRA</v>
          </cell>
          <cell r="E501" t="str">
            <v>S/C</v>
          </cell>
          <cell r="F501">
            <v>0</v>
          </cell>
          <cell r="H501" t="str">
            <v>ANTOFOGASTA DE LA SIERRA</v>
          </cell>
          <cell r="I501" t="str">
            <v>K4705ZAA</v>
          </cell>
        </row>
        <row r="502">
          <cell r="A502" t="str">
            <v>K1070</v>
          </cell>
          <cell r="B502" t="str">
            <v>CATAMARCA</v>
          </cell>
          <cell r="C502" t="str">
            <v>POMAN</v>
          </cell>
          <cell r="D502" t="str">
            <v>EL PAJONAL</v>
          </cell>
          <cell r="E502" t="str">
            <v>CALLE SIN NOMBRE NI NUMERO</v>
          </cell>
          <cell r="H502" t="str">
            <v>EL PAJONAL</v>
          </cell>
          <cell r="I502" t="str">
            <v>K5315ZAD</v>
          </cell>
        </row>
        <row r="503">
          <cell r="A503" t="str">
            <v>K1082</v>
          </cell>
          <cell r="B503" t="str">
            <v>CATAMARCA</v>
          </cell>
          <cell r="C503" t="str">
            <v>BELEN</v>
          </cell>
          <cell r="D503" t="str">
            <v>JACIPUNCO</v>
          </cell>
          <cell r="E503" t="str">
            <v>JACIPUNCO</v>
          </cell>
          <cell r="H503" t="str">
            <v>JACIPUNCO</v>
          </cell>
          <cell r="I503" t="str">
            <v>K4751ZAE</v>
          </cell>
        </row>
        <row r="504">
          <cell r="A504" t="str">
            <v>K1102</v>
          </cell>
          <cell r="B504" t="str">
            <v>CATAMARCA</v>
          </cell>
          <cell r="C504" t="str">
            <v>BELEN</v>
          </cell>
          <cell r="D504" t="str">
            <v>LAGUNA BLANCA</v>
          </cell>
          <cell r="E504" t="str">
            <v>CALLE SIN NOMBRE NI NUMERO</v>
          </cell>
          <cell r="H504" t="str">
            <v>LAGUNA BLANCA</v>
          </cell>
          <cell r="I504" t="str">
            <v>K4751ZAF</v>
          </cell>
        </row>
        <row r="505">
          <cell r="A505" t="str">
            <v>K1108</v>
          </cell>
          <cell r="B505" t="str">
            <v>CATAMARCA</v>
          </cell>
          <cell r="C505" t="str">
            <v>BELEN</v>
          </cell>
          <cell r="D505" t="str">
            <v>LAS CUEVAS</v>
          </cell>
          <cell r="E505" t="str">
            <v>CALLE SIN NOMBRE NI NUMERO</v>
          </cell>
          <cell r="H505" t="str">
            <v>LAS CUEVAS</v>
          </cell>
          <cell r="I505" t="str">
            <v>K4750ZAF</v>
          </cell>
        </row>
        <row r="506">
          <cell r="A506" t="str">
            <v>K1138</v>
          </cell>
          <cell r="B506" t="str">
            <v>CATAMARCA</v>
          </cell>
          <cell r="C506" t="str">
            <v>PACLIN</v>
          </cell>
          <cell r="D506" t="str">
            <v>PALO LABRADO</v>
          </cell>
          <cell r="E506" t="str">
            <v>CALLE SIN NOMBRE NI NUMERO</v>
          </cell>
          <cell r="H506" t="str">
            <v>PALO LABRADO</v>
          </cell>
          <cell r="I506" t="str">
            <v>K4718ZAD</v>
          </cell>
        </row>
        <row r="507">
          <cell r="A507" t="str">
            <v>K1144</v>
          </cell>
          <cell r="B507" t="str">
            <v>CATAMARCA</v>
          </cell>
          <cell r="C507" t="str">
            <v>VALLE VIEJO</v>
          </cell>
          <cell r="D507" t="str">
            <v>PORTEZUELO</v>
          </cell>
          <cell r="E507" t="str">
            <v>CALLE SIN NOMBRE NI NUMERO</v>
          </cell>
          <cell r="H507" t="str">
            <v>PORTEZUELO</v>
          </cell>
          <cell r="I507" t="str">
            <v>K4707ZAB</v>
          </cell>
        </row>
        <row r="508">
          <cell r="A508" t="str">
            <v>K1146</v>
          </cell>
          <cell r="B508" t="str">
            <v>CATAMARCA</v>
          </cell>
          <cell r="C508" t="str">
            <v>BELEN</v>
          </cell>
          <cell r="D508" t="str">
            <v>POZO DE PIEDRA</v>
          </cell>
          <cell r="E508" t="str">
            <v>CALLE SIN NOMBRE NI NUMERO</v>
          </cell>
          <cell r="H508" t="str">
            <v>POZO DE PIEDRA</v>
          </cell>
          <cell r="I508" t="str">
            <v>K4751ZAG</v>
          </cell>
        </row>
        <row r="509">
          <cell r="A509" t="str">
            <v>K1162</v>
          </cell>
          <cell r="B509" t="str">
            <v>CATAMARCA</v>
          </cell>
          <cell r="C509" t="str">
            <v>TINOGASTA</v>
          </cell>
          <cell r="D509" t="str">
            <v>SALADO</v>
          </cell>
          <cell r="E509" t="str">
            <v>R PROV 130</v>
          </cell>
          <cell r="F509">
            <v>0</v>
          </cell>
          <cell r="H509" t="str">
            <v>SALADO</v>
          </cell>
          <cell r="I509" t="str">
            <v>K5332ZAA</v>
          </cell>
        </row>
        <row r="510">
          <cell r="A510" t="str">
            <v>K1196</v>
          </cell>
          <cell r="B510" t="str">
            <v>CATAMARCA</v>
          </cell>
          <cell r="C510" t="str">
            <v>BELEN</v>
          </cell>
          <cell r="D510" t="str">
            <v>VILLA VIL</v>
          </cell>
          <cell r="E510" t="str">
            <v>R PROV 53</v>
          </cell>
          <cell r="F510">
            <v>10</v>
          </cell>
          <cell r="H510" t="str">
            <v>TERMAS DE VILLA VIL</v>
          </cell>
          <cell r="I510" t="str">
            <v>K4755ZAA</v>
          </cell>
        </row>
        <row r="511">
          <cell r="A511" t="str">
            <v>K1210</v>
          </cell>
          <cell r="B511" t="str">
            <v>CATAMARCA</v>
          </cell>
          <cell r="C511" t="str">
            <v>SANTA MARIA</v>
          </cell>
          <cell r="D511" t="str">
            <v>LA QUEBRADA</v>
          </cell>
          <cell r="E511" t="str">
            <v>CALLE SIN NOMBRE NI NUMERO</v>
          </cell>
          <cell r="H511" t="str">
            <v>LA QUEBRADA</v>
          </cell>
          <cell r="I511" t="str">
            <v>K4139ZAG</v>
          </cell>
        </row>
        <row r="512">
          <cell r="A512" t="str">
            <v>K1292</v>
          </cell>
          <cell r="B512" t="str">
            <v>CATAMARCA</v>
          </cell>
          <cell r="C512" t="str">
            <v>SANTA ROSA</v>
          </cell>
          <cell r="D512" t="str">
            <v>ALIJILAN</v>
          </cell>
          <cell r="E512" t="str">
            <v>9 DE JULIO</v>
          </cell>
          <cell r="F512">
            <v>0</v>
          </cell>
          <cell r="H512" t="str">
            <v>ALIJILAN</v>
          </cell>
          <cell r="I512" t="str">
            <v>K4723ZAB</v>
          </cell>
        </row>
        <row r="513">
          <cell r="A513" t="str">
            <v>K1293</v>
          </cell>
          <cell r="B513" t="str">
            <v>CATAMARCA</v>
          </cell>
          <cell r="C513" t="str">
            <v>LA PAZ</v>
          </cell>
          <cell r="D513" t="str">
            <v>ICAÃ‘O</v>
          </cell>
          <cell r="E513" t="str">
            <v>CALLE PUBLICA</v>
          </cell>
          <cell r="H513" t="str">
            <v>ICAÃ‘O</v>
          </cell>
          <cell r="I513" t="str">
            <v>K5265ZAA</v>
          </cell>
        </row>
        <row r="514">
          <cell r="A514" t="str">
            <v>K3087</v>
          </cell>
          <cell r="B514" t="str">
            <v>CATAMARCA</v>
          </cell>
          <cell r="C514" t="str">
            <v>CAPITAL</v>
          </cell>
          <cell r="D514" t="str">
            <v>SAN FDO DEL VALLE DE CATAMARCA</v>
          </cell>
          <cell r="E514" t="str">
            <v>CHACABUCO</v>
          </cell>
          <cell r="F514">
            <v>881</v>
          </cell>
          <cell r="H514" t="str">
            <v>CATAMARCA DIRECCION DE RENTAS</v>
          </cell>
          <cell r="I514" t="str">
            <v>K4700ZAD</v>
          </cell>
        </row>
        <row r="515">
          <cell r="A515" t="str">
            <v>H0000</v>
          </cell>
          <cell r="B515" t="str">
            <v>CHACO</v>
          </cell>
          <cell r="C515" t="str">
            <v>SAN FERNANDO</v>
          </cell>
          <cell r="D515" t="str">
            <v>RESISTENCIA</v>
          </cell>
          <cell r="E515" t="str">
            <v>AV SARMIENTO</v>
          </cell>
          <cell r="F515">
            <v>102</v>
          </cell>
          <cell r="H515" t="str">
            <v>RESISTENCIA</v>
          </cell>
          <cell r="I515" t="str">
            <v>H3500ZAA</v>
          </cell>
        </row>
        <row r="516">
          <cell r="A516" t="str">
            <v>H0003</v>
          </cell>
          <cell r="B516" t="str">
            <v>CHACO</v>
          </cell>
          <cell r="C516" t="str">
            <v>INDEPENDENCIA</v>
          </cell>
          <cell r="D516" t="str">
            <v>AVIA TERAI</v>
          </cell>
          <cell r="E516" t="str">
            <v>CALLE 13</v>
          </cell>
          <cell r="F516">
            <v>0</v>
          </cell>
          <cell r="H516" t="str">
            <v>AVIA TERAI</v>
          </cell>
          <cell r="I516" t="str">
            <v>H3706ZAA</v>
          </cell>
        </row>
        <row r="517">
          <cell r="A517" t="str">
            <v>H0004</v>
          </cell>
          <cell r="B517" t="str">
            <v>CHACO</v>
          </cell>
          <cell r="C517" t="str">
            <v>SAN FERNANDO</v>
          </cell>
          <cell r="D517" t="str">
            <v>BARRANQUERAS</v>
          </cell>
          <cell r="E517" t="str">
            <v>CHILE</v>
          </cell>
          <cell r="F517">
            <v>580</v>
          </cell>
          <cell r="H517" t="str">
            <v>BARRANQUERAS</v>
          </cell>
          <cell r="I517" t="str">
            <v>H3503ZAA</v>
          </cell>
        </row>
        <row r="518">
          <cell r="A518" t="str">
            <v>H0006</v>
          </cell>
          <cell r="B518" t="str">
            <v>CHACO</v>
          </cell>
          <cell r="C518" t="str">
            <v>SAN FERNANDO</v>
          </cell>
          <cell r="D518" t="str">
            <v>BASAIL</v>
          </cell>
          <cell r="E518" t="str">
            <v>RUTA 11</v>
          </cell>
          <cell r="H518" t="str">
            <v>BASAIL</v>
          </cell>
          <cell r="I518" t="str">
            <v>H3516ZAA</v>
          </cell>
        </row>
        <row r="519">
          <cell r="A519" t="str">
            <v>H0008</v>
          </cell>
          <cell r="B519" t="str">
            <v>CHACO</v>
          </cell>
          <cell r="C519" t="str">
            <v>INDEPENDENCIA</v>
          </cell>
          <cell r="D519" t="str">
            <v>CAMPO LARGO</v>
          </cell>
          <cell r="E519" t="str">
            <v>PUEYRREDON</v>
          </cell>
          <cell r="F519">
            <v>1000</v>
          </cell>
          <cell r="H519" t="str">
            <v>CAMPO LARGO</v>
          </cell>
          <cell r="I519" t="str">
            <v>H3716ZAA</v>
          </cell>
        </row>
        <row r="520">
          <cell r="A520" t="str">
            <v>H0010</v>
          </cell>
          <cell r="B520" t="str">
            <v>CHACO</v>
          </cell>
          <cell r="C520" t="str">
            <v>CHACABUCO</v>
          </cell>
          <cell r="D520" t="str">
            <v>CHARATA</v>
          </cell>
          <cell r="E520" t="str">
            <v>MONS NICOLAS DE CARLO</v>
          </cell>
          <cell r="F520">
            <v>490</v>
          </cell>
          <cell r="H520" t="str">
            <v>CHARATA</v>
          </cell>
          <cell r="I520" t="str">
            <v>H3730ZAA</v>
          </cell>
        </row>
        <row r="521">
          <cell r="A521" t="str">
            <v>H0012</v>
          </cell>
          <cell r="B521" t="str">
            <v>CHACO</v>
          </cell>
          <cell r="C521" t="str">
            <v>SARGENTO CABRAL</v>
          </cell>
          <cell r="D521" t="str">
            <v>COLONIA ELISA</v>
          </cell>
          <cell r="E521" t="str">
            <v>JUSTO NOVO</v>
          </cell>
          <cell r="F521">
            <v>150</v>
          </cell>
          <cell r="H521" t="str">
            <v>COLONIA ELISA</v>
          </cell>
          <cell r="I521" t="str">
            <v>H3515ZAA</v>
          </cell>
        </row>
        <row r="522">
          <cell r="A522" t="str">
            <v>H0014</v>
          </cell>
          <cell r="B522" t="str">
            <v>CHACO</v>
          </cell>
          <cell r="C522" t="str">
            <v>SARGENTO CABRAL</v>
          </cell>
          <cell r="D522" t="str">
            <v>COLONIAS UNIDAS</v>
          </cell>
          <cell r="E522" t="str">
            <v>DR ALEJANDRO FLEMING</v>
          </cell>
          <cell r="F522">
            <v>0</v>
          </cell>
          <cell r="H522" t="str">
            <v>COLONIAS UNIDAS</v>
          </cell>
          <cell r="I522" t="str">
            <v>H3532ZAA</v>
          </cell>
        </row>
        <row r="523">
          <cell r="A523" t="str">
            <v>H0016</v>
          </cell>
          <cell r="B523" t="str">
            <v>CHACO</v>
          </cell>
          <cell r="C523" t="str">
            <v>ALMIRANTE BROWN</v>
          </cell>
          <cell r="D523" t="str">
            <v>CONCEPCION DEL BERMEJO</v>
          </cell>
          <cell r="E523" t="str">
            <v>SAN MARTIN</v>
          </cell>
          <cell r="F523">
            <v>100</v>
          </cell>
          <cell r="H523" t="str">
            <v>CONCEP. DEL BERMEJO</v>
          </cell>
          <cell r="I523" t="str">
            <v>H3708ZAA</v>
          </cell>
        </row>
        <row r="524">
          <cell r="A524" t="str">
            <v>H0018</v>
          </cell>
          <cell r="B524" t="str">
            <v>CHACO</v>
          </cell>
          <cell r="C524" t="str">
            <v>GENERAL BELGRANO</v>
          </cell>
          <cell r="D524" t="str">
            <v>CORZUELA</v>
          </cell>
          <cell r="E524" t="str">
            <v>AV SAN MARTIN</v>
          </cell>
          <cell r="F524">
            <v>304</v>
          </cell>
          <cell r="H524" t="str">
            <v>CORZUELA</v>
          </cell>
          <cell r="I524" t="str">
            <v>H3718ZAA</v>
          </cell>
        </row>
        <row r="525">
          <cell r="A525" t="str">
            <v>H0020</v>
          </cell>
          <cell r="B525" t="str">
            <v>CHACO</v>
          </cell>
          <cell r="C525" t="str">
            <v>MAYOR LUIS J FONTANA</v>
          </cell>
          <cell r="D525" t="str">
            <v>CORONEL DU GRATY</v>
          </cell>
          <cell r="E525" t="str">
            <v>URQUIZA</v>
          </cell>
          <cell r="F525">
            <v>268</v>
          </cell>
          <cell r="H525" t="str">
            <v>CNEL. DU GRATY</v>
          </cell>
          <cell r="I525" t="str">
            <v>H3541ZAA</v>
          </cell>
        </row>
        <row r="526">
          <cell r="A526" t="str">
            <v>H0026</v>
          </cell>
          <cell r="B526" t="str">
            <v>CHACO</v>
          </cell>
          <cell r="C526" t="str">
            <v>12 DE OCTUBRE</v>
          </cell>
          <cell r="D526" t="str">
            <v>GANCEDO</v>
          </cell>
          <cell r="E526" t="str">
            <v>SAN MARTIN SIN NÂ°</v>
          </cell>
          <cell r="H526" t="str">
            <v>GANCEDO</v>
          </cell>
          <cell r="I526" t="str">
            <v>H3734ZAA</v>
          </cell>
        </row>
        <row r="527">
          <cell r="A527" t="str">
            <v>H0028</v>
          </cell>
          <cell r="B527" t="str">
            <v>CHACO</v>
          </cell>
          <cell r="C527" t="str">
            <v>LIBERTADOR GRAL SAN MARTIN</v>
          </cell>
          <cell r="D527" t="str">
            <v>GENERAL JOSE DE SAN MARTIN</v>
          </cell>
          <cell r="E527" t="str">
            <v>URUGUAY</v>
          </cell>
          <cell r="F527">
            <v>490</v>
          </cell>
          <cell r="H527" t="str">
            <v>GRAL. SAN MARTIN</v>
          </cell>
          <cell r="I527" t="str">
            <v>H3509ZAA</v>
          </cell>
        </row>
        <row r="528">
          <cell r="A528" t="str">
            <v>H0030</v>
          </cell>
          <cell r="B528" t="str">
            <v>CHACO</v>
          </cell>
          <cell r="C528" t="str">
            <v>12 DE OCTUBRE</v>
          </cell>
          <cell r="D528" t="str">
            <v>GENERAL PINEDO</v>
          </cell>
          <cell r="E528" t="str">
            <v>B RIVADAVIA</v>
          </cell>
          <cell r="F528">
            <v>502</v>
          </cell>
          <cell r="H528" t="str">
            <v>GRAL.PINEDO</v>
          </cell>
          <cell r="I528" t="str">
            <v>H3732ZAA</v>
          </cell>
        </row>
        <row r="529">
          <cell r="A529" t="str">
            <v>H0032</v>
          </cell>
          <cell r="B529" t="str">
            <v>CHACO</v>
          </cell>
          <cell r="C529" t="str">
            <v>BERMEJO</v>
          </cell>
          <cell r="D529" t="str">
            <v>GENERAL VEDIA</v>
          </cell>
          <cell r="E529" t="str">
            <v>SAN MARTIN</v>
          </cell>
          <cell r="F529">
            <v>0</v>
          </cell>
          <cell r="H529" t="str">
            <v>GRAL. VEDIA</v>
          </cell>
          <cell r="I529" t="str">
            <v>H3520ZAA</v>
          </cell>
        </row>
        <row r="530">
          <cell r="A530" t="str">
            <v>H0034</v>
          </cell>
          <cell r="B530" t="str">
            <v>CHACO</v>
          </cell>
          <cell r="C530" t="str">
            <v>2 DE ABRIL</v>
          </cell>
          <cell r="D530" t="str">
            <v>HERMOSO CAMPO</v>
          </cell>
          <cell r="E530" t="str">
            <v>AV DEL LIBERTADOR</v>
          </cell>
          <cell r="F530">
            <v>374</v>
          </cell>
          <cell r="H530" t="str">
            <v>HERMOSO CAMPO</v>
          </cell>
          <cell r="I530" t="str">
            <v>H3733ZAA</v>
          </cell>
        </row>
        <row r="531">
          <cell r="A531" t="str">
            <v>H0036</v>
          </cell>
          <cell r="B531" t="str">
            <v>CHACO</v>
          </cell>
          <cell r="C531" t="str">
            <v>GENERAL GUEMES</v>
          </cell>
          <cell r="D531" t="str">
            <v>COLONIA JUAN JOSE CASTELLI</v>
          </cell>
          <cell r="E531" t="str">
            <v>SARMIENTO NÂº 355</v>
          </cell>
          <cell r="H531" t="str">
            <v>J.J.CASTELLI</v>
          </cell>
          <cell r="I531" t="str">
            <v>H3705ZAC</v>
          </cell>
        </row>
        <row r="532">
          <cell r="A532" t="str">
            <v>H0038</v>
          </cell>
          <cell r="B532" t="str">
            <v>CHACO</v>
          </cell>
          <cell r="C532" t="str">
            <v>BERMEJO</v>
          </cell>
          <cell r="D532" t="str">
            <v>LA LEONESA</v>
          </cell>
          <cell r="E532" t="str">
            <v>AV DR ARTURO H ILLIA</v>
          </cell>
          <cell r="F532">
            <v>147</v>
          </cell>
          <cell r="H532" t="str">
            <v>LA LEONESA</v>
          </cell>
          <cell r="I532" t="str">
            <v>H3518ZAA</v>
          </cell>
        </row>
        <row r="533">
          <cell r="A533" t="str">
            <v>H0040</v>
          </cell>
          <cell r="B533" t="str">
            <v>CHACO</v>
          </cell>
          <cell r="C533" t="str">
            <v>GENERAL DONOVAN</v>
          </cell>
          <cell r="D533" t="str">
            <v>LA ESCONDIDA</v>
          </cell>
          <cell r="E533" t="str">
            <v>ENRIQUE NOETINGER</v>
          </cell>
          <cell r="F533">
            <v>0</v>
          </cell>
          <cell r="H533" t="str">
            <v>LA ESCONDIDA</v>
          </cell>
          <cell r="I533" t="str">
            <v>H3514ZAB</v>
          </cell>
        </row>
        <row r="534">
          <cell r="A534" t="str">
            <v>H0042</v>
          </cell>
          <cell r="B534" t="str">
            <v>CHACO</v>
          </cell>
          <cell r="C534" t="str">
            <v>GENERAL DONOVAN</v>
          </cell>
          <cell r="D534" t="str">
            <v>LA VERDE</v>
          </cell>
          <cell r="E534" t="str">
            <v>GRAL M BELGRANO</v>
          </cell>
          <cell r="F534">
            <v>1</v>
          </cell>
          <cell r="H534" t="str">
            <v>LA VERDE</v>
          </cell>
          <cell r="I534" t="str">
            <v>H3527ZAA</v>
          </cell>
        </row>
        <row r="535">
          <cell r="A535" t="str">
            <v>H0044</v>
          </cell>
          <cell r="B535" t="str">
            <v>CHACO</v>
          </cell>
          <cell r="C535" t="str">
            <v>9 DE JULIO</v>
          </cell>
          <cell r="D535" t="str">
            <v>LAS BREÃ‘AS</v>
          </cell>
          <cell r="E535" t="str">
            <v>RIVADAVIA</v>
          </cell>
          <cell r="F535">
            <v>1031</v>
          </cell>
          <cell r="H535" t="str">
            <v>LAS BREÃ‘AS</v>
          </cell>
          <cell r="I535" t="str">
            <v>H3724ZAA</v>
          </cell>
        </row>
        <row r="536">
          <cell r="A536" t="str">
            <v>H0046</v>
          </cell>
          <cell r="B536" t="str">
            <v>CHACO</v>
          </cell>
          <cell r="C536" t="str">
            <v>BERMEJO</v>
          </cell>
          <cell r="D536" t="str">
            <v>LAS PALMAS</v>
          </cell>
          <cell r="E536" t="str">
            <v>R ESCALADA SAN MARTIN</v>
          </cell>
          <cell r="F536">
            <v>100</v>
          </cell>
          <cell r="H536" t="str">
            <v>LAS PALMAS</v>
          </cell>
          <cell r="I536" t="str">
            <v>H3523ZAA</v>
          </cell>
        </row>
        <row r="537">
          <cell r="A537" t="str">
            <v>H0048</v>
          </cell>
          <cell r="B537" t="str">
            <v>CHACO</v>
          </cell>
          <cell r="C537" t="str">
            <v>O HIGGINS</v>
          </cell>
          <cell r="D537" t="str">
            <v>LA TIGRA</v>
          </cell>
          <cell r="E537" t="str">
            <v>AV 25 DE MAYO</v>
          </cell>
          <cell r="F537">
            <v>1007</v>
          </cell>
          <cell r="H537" t="str">
            <v>LA TIGRA</v>
          </cell>
          <cell r="I537" t="str">
            <v>H3701ZAA</v>
          </cell>
        </row>
        <row r="538">
          <cell r="A538" t="str">
            <v>H0050</v>
          </cell>
          <cell r="B538" t="str">
            <v>CHACO</v>
          </cell>
          <cell r="C538" t="str">
            <v>25 DE MAYO</v>
          </cell>
          <cell r="D538" t="str">
            <v>MACHAGAI</v>
          </cell>
          <cell r="E538" t="str">
            <v>URUGUAY</v>
          </cell>
          <cell r="F538">
            <v>198</v>
          </cell>
          <cell r="H538" t="str">
            <v>MACHAGAI</v>
          </cell>
          <cell r="I538" t="str">
            <v>H3535ZAA</v>
          </cell>
        </row>
        <row r="539">
          <cell r="A539" t="str">
            <v>H0052</v>
          </cell>
          <cell r="B539" t="str">
            <v>CHACO</v>
          </cell>
          <cell r="C539" t="str">
            <v>GENERAL DONOVAN</v>
          </cell>
          <cell r="D539" t="str">
            <v>MAKALLE</v>
          </cell>
          <cell r="E539" t="str">
            <v>SAN MARTIN</v>
          </cell>
          <cell r="F539">
            <v>100</v>
          </cell>
          <cell r="H539" t="str">
            <v>MAKALLE</v>
          </cell>
          <cell r="I539" t="str">
            <v>H3528ZAA</v>
          </cell>
        </row>
        <row r="540">
          <cell r="A540" t="str">
            <v>H0054</v>
          </cell>
          <cell r="B540" t="str">
            <v>CHACO</v>
          </cell>
          <cell r="C540" t="str">
            <v>1 DE MAYO</v>
          </cell>
          <cell r="D540" t="str">
            <v>MARGARITA BELEN</v>
          </cell>
          <cell r="E540" t="str">
            <v>PTE H YRIGOYEN</v>
          </cell>
          <cell r="F540">
            <v>100</v>
          </cell>
          <cell r="H540" t="str">
            <v>MARGARITA BELEN</v>
          </cell>
          <cell r="I540" t="str">
            <v>H3505ZAA</v>
          </cell>
        </row>
        <row r="541">
          <cell r="A541" t="str">
            <v>H0056</v>
          </cell>
          <cell r="B541" t="str">
            <v>CHACO</v>
          </cell>
          <cell r="C541" t="str">
            <v>LIBERTADOR GRAL SAN MARTIN</v>
          </cell>
          <cell r="D541" t="str">
            <v>PAMPA DEL INDIO</v>
          </cell>
          <cell r="E541" t="str">
            <v>LUIS PESSANO</v>
          </cell>
          <cell r="F541">
            <v>391</v>
          </cell>
          <cell r="H541" t="str">
            <v>PAMPA DEL INDIO</v>
          </cell>
          <cell r="I541" t="str">
            <v>H3531ZAA</v>
          </cell>
        </row>
        <row r="542">
          <cell r="A542" t="str">
            <v>H0058</v>
          </cell>
          <cell r="B542" t="str">
            <v>CHACO</v>
          </cell>
          <cell r="C542" t="str">
            <v>ALMIRANTE BROWN</v>
          </cell>
          <cell r="D542" t="str">
            <v>PAMPA DEL INFIERNO</v>
          </cell>
          <cell r="E542" t="str">
            <v>PTE H YRIGOYEN</v>
          </cell>
          <cell r="F542">
            <v>358</v>
          </cell>
          <cell r="H542" t="str">
            <v>PAMPA DEL INFIERNO</v>
          </cell>
          <cell r="I542" t="str">
            <v>H3721ZAA</v>
          </cell>
        </row>
        <row r="543">
          <cell r="A543" t="str">
            <v>H0060</v>
          </cell>
          <cell r="B543" t="str">
            <v>CHACO</v>
          </cell>
          <cell r="C543" t="str">
            <v>PRESIDENCIA DE LA PLAZA</v>
          </cell>
          <cell r="D543" t="str">
            <v>PRESIDENCIA DE LA PLAZA</v>
          </cell>
          <cell r="E543" t="str">
            <v>DOMINGO SARMIENTO</v>
          </cell>
          <cell r="F543">
            <v>100</v>
          </cell>
          <cell r="H543" t="str">
            <v>PCIA. DE LA PLAZA</v>
          </cell>
          <cell r="I543" t="str">
            <v>H3536ZAA</v>
          </cell>
        </row>
        <row r="544">
          <cell r="A544" t="str">
            <v>H0062</v>
          </cell>
          <cell r="B544" t="str">
            <v>CHACO</v>
          </cell>
          <cell r="C544" t="str">
            <v>LIBERTADOR GRAL SAN MARTIN</v>
          </cell>
          <cell r="D544" t="str">
            <v>PRESIDENCIA ROCA</v>
          </cell>
          <cell r="E544" t="str">
            <v>AV GRAL SAN MARTIN</v>
          </cell>
          <cell r="F544">
            <v>100</v>
          </cell>
          <cell r="H544" t="str">
            <v>PCIA. ROCA</v>
          </cell>
          <cell r="I544" t="str">
            <v>H3511ZAA</v>
          </cell>
        </row>
        <row r="545">
          <cell r="A545" t="str">
            <v>H0064</v>
          </cell>
          <cell r="B545" t="str">
            <v>CHACO</v>
          </cell>
          <cell r="C545" t="str">
            <v>COMANDANTE FERNANDEZ</v>
          </cell>
          <cell r="D545" t="str">
            <v>PRESIDENCIA ROQUE SAENZ PEÃ‘A</v>
          </cell>
          <cell r="E545" t="str">
            <v>DR MANUEL BELGRANO</v>
          </cell>
          <cell r="F545">
            <v>601</v>
          </cell>
          <cell r="H545" t="str">
            <v>P.R.S.PEÃ‘A</v>
          </cell>
          <cell r="I545" t="str">
            <v>H3700ZAA</v>
          </cell>
        </row>
        <row r="546">
          <cell r="A546" t="str">
            <v>H0066</v>
          </cell>
          <cell r="B546" t="str">
            <v>CHACO</v>
          </cell>
          <cell r="C546" t="str">
            <v>LIBERTAD</v>
          </cell>
          <cell r="D546" t="str">
            <v>PUERTO TIROL</v>
          </cell>
          <cell r="E546" t="str">
            <v>12 DE OCTUBRE</v>
          </cell>
          <cell r="F546">
            <v>135</v>
          </cell>
          <cell r="H546" t="str">
            <v>PUERTO TIROL</v>
          </cell>
          <cell r="I546" t="str">
            <v>H3521ZAA</v>
          </cell>
        </row>
        <row r="547">
          <cell r="A547" t="str">
            <v>H0068</v>
          </cell>
          <cell r="B547" t="str">
            <v>CHACO</v>
          </cell>
          <cell r="C547" t="str">
            <v>SAN FERNANDO</v>
          </cell>
          <cell r="D547" t="str">
            <v>PUERTO VILELAS</v>
          </cell>
          <cell r="E547" t="str">
            <v>AV RIO PARANA</v>
          </cell>
          <cell r="F547">
            <v>0</v>
          </cell>
          <cell r="H547" t="str">
            <v>PUERTO VILELAS</v>
          </cell>
          <cell r="I547" t="str">
            <v>H3512ZAA</v>
          </cell>
        </row>
        <row r="548">
          <cell r="A548" t="str">
            <v>H0070</v>
          </cell>
          <cell r="B548" t="str">
            <v>CHACO</v>
          </cell>
          <cell r="C548" t="str">
            <v>QUITILIPI</v>
          </cell>
          <cell r="D548" t="str">
            <v>QUITILIPI</v>
          </cell>
          <cell r="E548" t="str">
            <v>CORDOBA</v>
          </cell>
          <cell r="F548">
            <v>575</v>
          </cell>
          <cell r="H548" t="str">
            <v>QUITILIPI</v>
          </cell>
          <cell r="I548" t="str">
            <v>H3530ZAA</v>
          </cell>
        </row>
        <row r="549">
          <cell r="A549" t="str">
            <v>H0076</v>
          </cell>
          <cell r="B549" t="str">
            <v>CHACO</v>
          </cell>
          <cell r="C549" t="str">
            <v>O HIGGINS</v>
          </cell>
          <cell r="D549" t="str">
            <v>SAN BERNARDO</v>
          </cell>
          <cell r="E549" t="str">
            <v>R PROV 6</v>
          </cell>
          <cell r="F549">
            <v>0</v>
          </cell>
          <cell r="H549" t="str">
            <v>SAN BERNARDO</v>
          </cell>
          <cell r="I549" t="str">
            <v>H3726ZAA</v>
          </cell>
        </row>
        <row r="550">
          <cell r="A550" t="str">
            <v>H0078</v>
          </cell>
          <cell r="B550" t="str">
            <v>CHACO</v>
          </cell>
          <cell r="C550" t="str">
            <v>FRAY JUSTO SANTA MARIA DE ORO</v>
          </cell>
          <cell r="D550" t="str">
            <v>SANTA SYLVINA</v>
          </cell>
          <cell r="E550" t="str">
            <v>JOSE MARCELINO FALCHINI</v>
          </cell>
          <cell r="F550">
            <v>233</v>
          </cell>
          <cell r="H550" t="str">
            <v>SANTA SYLVINA</v>
          </cell>
          <cell r="I550" t="str">
            <v>H3542ZAA</v>
          </cell>
        </row>
        <row r="551">
          <cell r="A551" t="str">
            <v>H0080</v>
          </cell>
          <cell r="B551" t="str">
            <v>CHACO</v>
          </cell>
          <cell r="C551" t="str">
            <v>ALMIRANTE BROWN</v>
          </cell>
          <cell r="D551" t="str">
            <v>TACO POZO</v>
          </cell>
          <cell r="E551" t="str">
            <v>DR JUAN J PASO</v>
          </cell>
          <cell r="F551">
            <v>0</v>
          </cell>
          <cell r="H551" t="str">
            <v>TACO POZO</v>
          </cell>
          <cell r="I551" t="str">
            <v>H3717ZAA</v>
          </cell>
        </row>
        <row r="552">
          <cell r="A552" t="str">
            <v>H0082</v>
          </cell>
          <cell r="B552" t="str">
            <v>CHACO</v>
          </cell>
          <cell r="C552" t="str">
            <v>MAIPU</v>
          </cell>
          <cell r="D552" t="str">
            <v>TRES ISLETAS</v>
          </cell>
          <cell r="E552" t="str">
            <v>PARAGUAY</v>
          </cell>
          <cell r="F552">
            <v>199</v>
          </cell>
          <cell r="H552" t="str">
            <v>TRES ISLETAS</v>
          </cell>
          <cell r="I552" t="str">
            <v>H3703ZAA</v>
          </cell>
        </row>
        <row r="553">
          <cell r="A553" t="str">
            <v>H0084</v>
          </cell>
          <cell r="B553" t="str">
            <v>CHACO</v>
          </cell>
          <cell r="C553" t="str">
            <v>MAYOR LUIS J FONTANA</v>
          </cell>
          <cell r="D553" t="str">
            <v>VILLA ANGELA</v>
          </cell>
          <cell r="E553" t="str">
            <v>1 DE MAYO</v>
          </cell>
          <cell r="F553">
            <v>199</v>
          </cell>
          <cell r="H553" t="str">
            <v>VILLA ANGELA</v>
          </cell>
          <cell r="I553" t="str">
            <v>H3540ZAA</v>
          </cell>
        </row>
        <row r="554">
          <cell r="A554" t="str">
            <v>H0086</v>
          </cell>
          <cell r="B554" t="str">
            <v>CHACO</v>
          </cell>
          <cell r="C554" t="str">
            <v>SAN LORENZO</v>
          </cell>
          <cell r="D554" t="str">
            <v>VILLA BERTHET</v>
          </cell>
          <cell r="E554" t="str">
            <v>PRINGLES</v>
          </cell>
          <cell r="F554">
            <v>250</v>
          </cell>
          <cell r="H554" t="str">
            <v>VILLA BERTHET</v>
          </cell>
          <cell r="I554" t="str">
            <v>H3545ZAA</v>
          </cell>
        </row>
        <row r="555">
          <cell r="A555" t="str">
            <v>H1004</v>
          </cell>
          <cell r="B555" t="str">
            <v>CHACO</v>
          </cell>
          <cell r="C555" t="str">
            <v>TAPENAGA</v>
          </cell>
          <cell r="D555" t="str">
            <v>CHARADAI</v>
          </cell>
          <cell r="E555" t="str">
            <v>CALLE EN LOCALIDAD DE MENOS DE</v>
          </cell>
          <cell r="H555" t="str">
            <v>CHARADAI</v>
          </cell>
          <cell r="I555" t="str">
            <v>H3513ZAA</v>
          </cell>
        </row>
        <row r="556">
          <cell r="A556" t="str">
            <v>H1010</v>
          </cell>
          <cell r="B556" t="str">
            <v>CHACO</v>
          </cell>
          <cell r="C556" t="str">
            <v>SAN FERNANDO</v>
          </cell>
          <cell r="D556" t="str">
            <v>COLONIA BARANDA</v>
          </cell>
          <cell r="E556" t="str">
            <v>CALLE EN LOCALIDAD DE MENOS DE</v>
          </cell>
          <cell r="H556" t="str">
            <v>COLONIA BARANDA</v>
          </cell>
          <cell r="I556" t="str">
            <v>H3505ZAB</v>
          </cell>
        </row>
        <row r="557">
          <cell r="A557" t="str">
            <v>H1020</v>
          </cell>
          <cell r="B557" t="str">
            <v>CHACO</v>
          </cell>
          <cell r="C557" t="str">
            <v>BERMEJO</v>
          </cell>
          <cell r="D557" t="str">
            <v>ISLA DEL CERRITO</v>
          </cell>
          <cell r="E557" t="str">
            <v>CALLE EN LOCALIDAD DE MENOS DE</v>
          </cell>
          <cell r="H557" t="str">
            <v>ISLA DEL CERRITO</v>
          </cell>
          <cell r="I557" t="str">
            <v>H3518ZAB</v>
          </cell>
        </row>
        <row r="558">
          <cell r="A558" t="str">
            <v>H1024</v>
          </cell>
          <cell r="B558" t="str">
            <v>CHACO</v>
          </cell>
          <cell r="C558" t="str">
            <v>O HIGGINS</v>
          </cell>
          <cell r="D558" t="str">
            <v>LA CLOTILDE</v>
          </cell>
          <cell r="E558" t="str">
            <v>CALLE 3</v>
          </cell>
          <cell r="F558">
            <v>0</v>
          </cell>
          <cell r="H558" t="str">
            <v>LA CLOTILDE</v>
          </cell>
          <cell r="I558" t="str">
            <v>H3725ZAA</v>
          </cell>
        </row>
        <row r="559">
          <cell r="A559" t="str">
            <v>H1032</v>
          </cell>
          <cell r="B559" t="str">
            <v>CHACO</v>
          </cell>
          <cell r="C559" t="str">
            <v>ALMIRANTE BROWN</v>
          </cell>
          <cell r="D559" t="str">
            <v>LOS FRENTONES</v>
          </cell>
          <cell r="E559" t="str">
            <v>CALLE S/N 1</v>
          </cell>
          <cell r="F559">
            <v>100</v>
          </cell>
          <cell r="H559" t="str">
            <v>LOS FRENTONES</v>
          </cell>
          <cell r="I559" t="str">
            <v>H3715ZAA</v>
          </cell>
        </row>
        <row r="560">
          <cell r="A560" t="str">
            <v>H1068</v>
          </cell>
          <cell r="B560" t="str">
            <v>CHACO</v>
          </cell>
          <cell r="C560" t="str">
            <v>SAN LORENZO</v>
          </cell>
          <cell r="D560" t="str">
            <v>SAMUHU</v>
          </cell>
          <cell r="E560" t="str">
            <v>R PROV 1</v>
          </cell>
          <cell r="F560">
            <v>0</v>
          </cell>
          <cell r="H560" t="str">
            <v>SAMUHU</v>
          </cell>
          <cell r="I560" t="str">
            <v>H3543ZAA</v>
          </cell>
        </row>
        <row r="561">
          <cell r="A561" t="str">
            <v>H1070</v>
          </cell>
          <cell r="B561" t="str">
            <v>CHACO</v>
          </cell>
          <cell r="C561" t="str">
            <v>LIBERTADOR GRAL SAN MARTIN</v>
          </cell>
          <cell r="D561" t="str">
            <v>SELVAS DEL RIO DE ORO</v>
          </cell>
          <cell r="E561" t="str">
            <v>CALLE EN LOCALIDAD DE MENOS DE</v>
          </cell>
          <cell r="H561" t="str">
            <v>SELVAS DEL RIO DE ORO</v>
          </cell>
          <cell r="I561" t="str">
            <v>H3507ZAB</v>
          </cell>
        </row>
        <row r="562">
          <cell r="A562" t="str">
            <v>H1072</v>
          </cell>
          <cell r="B562" t="str">
            <v>CHACO</v>
          </cell>
          <cell r="C562" t="str">
            <v>GENERAL GUEMES</v>
          </cell>
          <cell r="D562" t="str">
            <v>MISION NUEVA POMPEYA</v>
          </cell>
          <cell r="E562" t="str">
            <v>CALLE PUBLICA S N</v>
          </cell>
          <cell r="H562" t="str">
            <v>MISI+N NUEVA POMPEYA</v>
          </cell>
          <cell r="I562" t="str">
            <v>H3705ZAB</v>
          </cell>
        </row>
        <row r="563">
          <cell r="A563" t="str">
            <v>H1121</v>
          </cell>
          <cell r="B563" t="str">
            <v>CHACO</v>
          </cell>
          <cell r="C563" t="str">
            <v>SAN FERNANDO</v>
          </cell>
          <cell r="D563" t="str">
            <v>FONTANA</v>
          </cell>
          <cell r="E563" t="str">
            <v>M GARCIA MEROU</v>
          </cell>
          <cell r="F563">
            <v>5120</v>
          </cell>
          <cell r="H563" t="str">
            <v>FONTANA</v>
          </cell>
          <cell r="I563" t="str">
            <v>H3514ZAA</v>
          </cell>
        </row>
        <row r="564">
          <cell r="A564" t="str">
            <v>U0000</v>
          </cell>
          <cell r="B564" t="str">
            <v>CHUBUT</v>
          </cell>
          <cell r="C564" t="str">
            <v>ESCALANTE</v>
          </cell>
          <cell r="D564" t="str">
            <v>COMODORO RIVADAVIA</v>
          </cell>
          <cell r="E564" t="str">
            <v>SAN MARTIN</v>
          </cell>
          <cell r="F564">
            <v>180</v>
          </cell>
          <cell r="H564" t="str">
            <v>COMODORO RIVADAVIA</v>
          </cell>
          <cell r="I564" t="str">
            <v>U9000ZAC</v>
          </cell>
        </row>
        <row r="565">
          <cell r="A565" t="str">
            <v>U0001</v>
          </cell>
          <cell r="B565" t="str">
            <v>CHUBUT</v>
          </cell>
          <cell r="C565" t="str">
            <v>ESCALANTE</v>
          </cell>
          <cell r="D565" t="str">
            <v>COMODORO RIVADAVIA</v>
          </cell>
          <cell r="E565" t="str">
            <v>DON BOSCO</v>
          </cell>
          <cell r="F565">
            <v>490</v>
          </cell>
          <cell r="H565" t="str">
            <v>COMODORO RIVADAVIA SUCURSAL 1</v>
          </cell>
          <cell r="I565" t="str">
            <v>U9005ZAC</v>
          </cell>
        </row>
        <row r="566">
          <cell r="A566" t="str">
            <v>U0007</v>
          </cell>
          <cell r="B566" t="str">
            <v>CHUBUT</v>
          </cell>
          <cell r="C566" t="str">
            <v>ESCALANTE</v>
          </cell>
          <cell r="D566" t="str">
            <v>COMODORO RIVADAVIA</v>
          </cell>
          <cell r="E566" t="str">
            <v>ALEJANDRO MAIZ</v>
          </cell>
          <cell r="F566">
            <v>801</v>
          </cell>
          <cell r="H566" t="str">
            <v>COMODORO RIVADAVIA SUCURSAL 7</v>
          </cell>
          <cell r="I566" t="str">
            <v>U9006ZAA</v>
          </cell>
        </row>
        <row r="567">
          <cell r="A567" t="str">
            <v>U0008</v>
          </cell>
          <cell r="B567" t="str">
            <v>CHUBUT</v>
          </cell>
          <cell r="C567" t="str">
            <v>RIO SENGUER</v>
          </cell>
          <cell r="D567" t="str">
            <v>ALDEA BELEIRO</v>
          </cell>
          <cell r="E567" t="str">
            <v>RUTA NACIONAL NÂ° 272 LOTE 21</v>
          </cell>
          <cell r="H567" t="str">
            <v>ALDEA BELEIRO</v>
          </cell>
          <cell r="I567" t="str">
            <v>U9037ZAA</v>
          </cell>
        </row>
        <row r="568">
          <cell r="A568" t="str">
            <v>U0010</v>
          </cell>
          <cell r="B568" t="str">
            <v>CHUBUT</v>
          </cell>
          <cell r="C568" t="str">
            <v>RIO SENGUER</v>
          </cell>
          <cell r="D568" t="str">
            <v>ALTO RIO SENGUER</v>
          </cell>
          <cell r="E568" t="str">
            <v>DR MARIANO MORENO</v>
          </cell>
          <cell r="F568">
            <v>0</v>
          </cell>
          <cell r="H568" t="str">
            <v>ALTO RIO SENGUER</v>
          </cell>
          <cell r="I568" t="str">
            <v>U9033ZAA</v>
          </cell>
        </row>
        <row r="569">
          <cell r="A569" t="str">
            <v>U0012</v>
          </cell>
          <cell r="B569" t="str">
            <v>CHUBUT</v>
          </cell>
          <cell r="C569" t="str">
            <v>FLORENTINO AMEGHINO</v>
          </cell>
          <cell r="D569" t="str">
            <v>CAMARONES</v>
          </cell>
          <cell r="E569" t="str">
            <v>PTE GRAL JULIO A ROCA</v>
          </cell>
          <cell r="F569">
            <v>300</v>
          </cell>
          <cell r="H569" t="str">
            <v>CAMARONES</v>
          </cell>
          <cell r="I569" t="str">
            <v>U9111ZAA</v>
          </cell>
        </row>
        <row r="570">
          <cell r="A570" t="str">
            <v>U0016</v>
          </cell>
          <cell r="B570" t="str">
            <v>CHUBUT</v>
          </cell>
          <cell r="C570" t="str">
            <v>FUTALEUFU</v>
          </cell>
          <cell r="D570" t="str">
            <v>CORCOVADO</v>
          </cell>
          <cell r="E570" t="str">
            <v>S/C</v>
          </cell>
          <cell r="F570">
            <v>0</v>
          </cell>
          <cell r="H570" t="str">
            <v>CORCOVADO</v>
          </cell>
          <cell r="I570" t="str">
            <v>U9204ZAA</v>
          </cell>
        </row>
        <row r="571">
          <cell r="A571" t="str">
            <v>U0032</v>
          </cell>
          <cell r="B571" t="str">
            <v>CHUBUT</v>
          </cell>
          <cell r="C571" t="str">
            <v>TEHUELCHES</v>
          </cell>
          <cell r="D571" t="str">
            <v>GOBERNADOR COSTA</v>
          </cell>
          <cell r="E571" t="str">
            <v>GRAL SAN MARTIN</v>
          </cell>
          <cell r="F571">
            <v>347</v>
          </cell>
          <cell r="H571" t="str">
            <v>GOBERNADOR COSTA</v>
          </cell>
          <cell r="I571" t="str">
            <v>U9223ZAA</v>
          </cell>
        </row>
        <row r="572">
          <cell r="A572" t="str">
            <v>U0034</v>
          </cell>
          <cell r="B572" t="str">
            <v>CHUBUT</v>
          </cell>
          <cell r="C572" t="str">
            <v>TEHUELCHES</v>
          </cell>
          <cell r="D572" t="str">
            <v>JOSE DE SAN MARTIN</v>
          </cell>
          <cell r="E572" t="str">
            <v>DR MANUEL BELGRANO</v>
          </cell>
          <cell r="F572">
            <v>1</v>
          </cell>
          <cell r="H572" t="str">
            <v>JOSE DE SAN MARTIN</v>
          </cell>
          <cell r="I572" t="str">
            <v>U9220ZAA</v>
          </cell>
        </row>
        <row r="573">
          <cell r="A573" t="str">
            <v>U0042</v>
          </cell>
          <cell r="B573" t="str">
            <v>CHUBUT</v>
          </cell>
          <cell r="C573" t="str">
            <v>ESCALANTE</v>
          </cell>
          <cell r="D573" t="str">
            <v>RADA TILLY</v>
          </cell>
          <cell r="E573" t="str">
            <v>AV ALTE FRANCISCO SEGUI</v>
          </cell>
          <cell r="F573">
            <v>1315</v>
          </cell>
          <cell r="H573" t="str">
            <v>RADA TILLY</v>
          </cell>
          <cell r="I573" t="str">
            <v>U9001ZAA</v>
          </cell>
        </row>
        <row r="574">
          <cell r="A574" t="str">
            <v>U0048</v>
          </cell>
          <cell r="B574" t="str">
            <v>CHUBUT</v>
          </cell>
          <cell r="C574" t="str">
            <v>RIO SENGUER</v>
          </cell>
          <cell r="D574" t="str">
            <v>RIO MAYO</v>
          </cell>
          <cell r="E574" t="str">
            <v>25 DE MAYO</v>
          </cell>
          <cell r="F574">
            <v>790</v>
          </cell>
          <cell r="H574" t="str">
            <v>RIO MAYO</v>
          </cell>
          <cell r="I574" t="str">
            <v>U9030ZAA</v>
          </cell>
        </row>
        <row r="575">
          <cell r="A575" t="str">
            <v>U0050</v>
          </cell>
          <cell r="B575" t="str">
            <v>CHUBUT</v>
          </cell>
          <cell r="C575" t="str">
            <v>TEHUELCHES</v>
          </cell>
          <cell r="D575" t="str">
            <v>RIO PICO</v>
          </cell>
          <cell r="E575" t="str">
            <v>PERITO FRANCISCO P MORENO</v>
          </cell>
          <cell r="F575">
            <v>240</v>
          </cell>
          <cell r="H575" t="str">
            <v>RIO PICO</v>
          </cell>
          <cell r="I575" t="str">
            <v>U9225ZAA</v>
          </cell>
        </row>
        <row r="576">
          <cell r="A576" t="str">
            <v>U0052</v>
          </cell>
          <cell r="B576" t="str">
            <v>CHUBUT</v>
          </cell>
          <cell r="C576" t="str">
            <v>SARMIENTO</v>
          </cell>
          <cell r="D576" t="str">
            <v>SARMIENTO</v>
          </cell>
          <cell r="E576" t="str">
            <v>AV ING CORONEL</v>
          </cell>
          <cell r="F576">
            <v>307</v>
          </cell>
          <cell r="H576" t="str">
            <v>SARMIENTO</v>
          </cell>
          <cell r="I576" t="str">
            <v>U9020ZAA</v>
          </cell>
        </row>
        <row r="577">
          <cell r="A577" t="str">
            <v>U0062</v>
          </cell>
          <cell r="B577" t="str">
            <v>CHUBUT</v>
          </cell>
          <cell r="C577" t="str">
            <v>FUTALEUFU</v>
          </cell>
          <cell r="D577" t="str">
            <v>TREVELIN</v>
          </cell>
          <cell r="E577" t="str">
            <v>AV SAN MARTIN</v>
          </cell>
          <cell r="F577">
            <v>99</v>
          </cell>
          <cell r="H577" t="str">
            <v>TREVELIN</v>
          </cell>
          <cell r="I577" t="str">
            <v>U9203ZAA</v>
          </cell>
        </row>
        <row r="578">
          <cell r="A578" t="str">
            <v>U0100</v>
          </cell>
          <cell r="B578" t="str">
            <v>CHUBUT</v>
          </cell>
          <cell r="C578" t="str">
            <v>RAWSON</v>
          </cell>
          <cell r="D578" t="str">
            <v>TRELEW</v>
          </cell>
          <cell r="E578" t="str">
            <v>BME MITRE</v>
          </cell>
          <cell r="F578">
            <v>315</v>
          </cell>
          <cell r="H578" t="str">
            <v>TRELEW</v>
          </cell>
          <cell r="I578" t="str">
            <v>U9100ZAA</v>
          </cell>
        </row>
        <row r="579">
          <cell r="A579" t="str">
            <v>U0102</v>
          </cell>
          <cell r="B579" t="str">
            <v>CHUBUT</v>
          </cell>
          <cell r="C579" t="str">
            <v>CUSHAMEN</v>
          </cell>
          <cell r="D579" t="str">
            <v>CHOLILA</v>
          </cell>
          <cell r="E579" t="str">
            <v>AV 15 DE DICIEMBRE</v>
          </cell>
          <cell r="F579">
            <v>0</v>
          </cell>
          <cell r="H579" t="str">
            <v>CHOLILA</v>
          </cell>
          <cell r="I579" t="str">
            <v>U9217ZAA</v>
          </cell>
        </row>
        <row r="580">
          <cell r="A580" t="str">
            <v>U0104</v>
          </cell>
          <cell r="B580" t="str">
            <v>CHUBUT</v>
          </cell>
          <cell r="C580" t="str">
            <v>GAIMAN</v>
          </cell>
          <cell r="D580" t="str">
            <v>DOLAVON</v>
          </cell>
          <cell r="E580" t="str">
            <v>AV 28 DE JULIO</v>
          </cell>
          <cell r="F580">
            <v>102</v>
          </cell>
          <cell r="H580" t="str">
            <v>DOLAVON</v>
          </cell>
          <cell r="I580" t="str">
            <v>U9107ZAA</v>
          </cell>
        </row>
        <row r="581">
          <cell r="A581" t="str">
            <v>U0106</v>
          </cell>
          <cell r="B581" t="str">
            <v>CHUBUT</v>
          </cell>
          <cell r="C581" t="str">
            <v>CUSHAMEN</v>
          </cell>
          <cell r="D581" t="str">
            <v>EL MAITEN</v>
          </cell>
          <cell r="E581" t="str">
            <v>AV GRAL SAN MARTIN</v>
          </cell>
          <cell r="F581">
            <v>801</v>
          </cell>
          <cell r="H581" t="str">
            <v>EL MAITEN</v>
          </cell>
          <cell r="I581" t="str">
            <v>U9210ZAA</v>
          </cell>
        </row>
        <row r="582">
          <cell r="A582" t="str">
            <v>U0108</v>
          </cell>
          <cell r="B582" t="str">
            <v>CHUBUT</v>
          </cell>
          <cell r="C582" t="str">
            <v>CUSHAMEN</v>
          </cell>
          <cell r="D582" t="str">
            <v>EPUYEN</v>
          </cell>
          <cell r="E582" t="str">
            <v>LOS CONDORES NÂ°1330</v>
          </cell>
          <cell r="H582" t="str">
            <v>EPUYEN</v>
          </cell>
          <cell r="I582" t="str">
            <v>U9211ZAB</v>
          </cell>
        </row>
        <row r="583">
          <cell r="A583" t="str">
            <v>U0110</v>
          </cell>
          <cell r="B583" t="str">
            <v>CHUBUT</v>
          </cell>
          <cell r="C583" t="str">
            <v>FUTALEUFU</v>
          </cell>
          <cell r="D583" t="str">
            <v>ESQUEL</v>
          </cell>
          <cell r="E583" t="str">
            <v>AV ALVEAR</v>
          </cell>
          <cell r="F583">
            <v>1192</v>
          </cell>
          <cell r="H583" t="str">
            <v>ESQUEL</v>
          </cell>
          <cell r="I583" t="str">
            <v>U9200ZAB</v>
          </cell>
        </row>
        <row r="584">
          <cell r="A584" t="str">
            <v>U0112</v>
          </cell>
          <cell r="B584" t="str">
            <v>CHUBUT</v>
          </cell>
          <cell r="C584" t="str">
            <v>GAIMAN</v>
          </cell>
          <cell r="D584" t="str">
            <v>GAIMAN</v>
          </cell>
          <cell r="E584" t="str">
            <v>JUAN CARLOS EVANS</v>
          </cell>
          <cell r="F584">
            <v>114</v>
          </cell>
          <cell r="H584" t="str">
            <v>GAIMAN</v>
          </cell>
          <cell r="I584" t="str">
            <v>U9105ZAA</v>
          </cell>
        </row>
        <row r="585">
          <cell r="A585" t="str">
            <v>U0114</v>
          </cell>
          <cell r="B585" t="str">
            <v>CHUBUT</v>
          </cell>
          <cell r="C585" t="str">
            <v>PASO DE INDIOS</v>
          </cell>
          <cell r="D585" t="str">
            <v>PASO DE INDIOS</v>
          </cell>
          <cell r="E585" t="str">
            <v>AV TEODORO STROBER</v>
          </cell>
          <cell r="F585">
            <v>0</v>
          </cell>
          <cell r="H585" t="str">
            <v>PASO DE INDIOS</v>
          </cell>
          <cell r="I585" t="str">
            <v>U9207ZAA</v>
          </cell>
        </row>
        <row r="586">
          <cell r="A586" t="str">
            <v>U0116</v>
          </cell>
          <cell r="B586" t="str">
            <v>CHUBUT</v>
          </cell>
          <cell r="C586" t="str">
            <v>BIEDMA</v>
          </cell>
          <cell r="D586" t="str">
            <v>PUERTO MADRYN</v>
          </cell>
          <cell r="E586" t="str">
            <v>GDOR ALEJANDRO MAIZ</v>
          </cell>
          <cell r="F586">
            <v>293</v>
          </cell>
          <cell r="H586" t="str">
            <v>PUERTO MADRYN</v>
          </cell>
          <cell r="I586" t="str">
            <v>U9120ZAA</v>
          </cell>
        </row>
        <row r="587">
          <cell r="A587" t="str">
            <v>U0118</v>
          </cell>
          <cell r="B587" t="str">
            <v>CHUBUT</v>
          </cell>
          <cell r="C587" t="str">
            <v>CUSHAMEN</v>
          </cell>
          <cell r="D587" t="str">
            <v>LAGO PUELO</v>
          </cell>
          <cell r="E587" t="str">
            <v>AMANCAY</v>
          </cell>
          <cell r="F587">
            <v>0</v>
          </cell>
          <cell r="H587" t="str">
            <v>LAGO PUELO</v>
          </cell>
          <cell r="I587" t="str">
            <v>U9211ZAA</v>
          </cell>
        </row>
        <row r="588">
          <cell r="A588" t="str">
            <v>U0120</v>
          </cell>
          <cell r="B588" t="str">
            <v>CHUBUT</v>
          </cell>
          <cell r="C588" t="str">
            <v>RAWSON</v>
          </cell>
          <cell r="D588" t="str">
            <v>RAWSON</v>
          </cell>
          <cell r="E588" t="str">
            <v>BERNARDO VACCHINA</v>
          </cell>
          <cell r="F588">
            <v>22</v>
          </cell>
          <cell r="H588" t="str">
            <v>RAWSON</v>
          </cell>
          <cell r="I588" t="str">
            <v>U9103ZAA</v>
          </cell>
        </row>
        <row r="589">
          <cell r="A589" t="str">
            <v>U0122</v>
          </cell>
          <cell r="B589" t="str">
            <v>CHUBUT</v>
          </cell>
          <cell r="C589" t="str">
            <v>LANGUIÃ‘EO</v>
          </cell>
          <cell r="D589" t="str">
            <v>TECKA</v>
          </cell>
          <cell r="E589" t="str">
            <v>AV GRAL SAN MARTIN</v>
          </cell>
          <cell r="F589">
            <v>891</v>
          </cell>
          <cell r="H589" t="str">
            <v>TECKA</v>
          </cell>
          <cell r="I589" t="str">
            <v>U9201ZAA</v>
          </cell>
        </row>
        <row r="590">
          <cell r="A590" t="str">
            <v>U0124</v>
          </cell>
          <cell r="B590" t="str">
            <v>CHUBUT</v>
          </cell>
          <cell r="C590" t="str">
            <v>TELSEN</v>
          </cell>
          <cell r="D590" t="str">
            <v>TELSEN</v>
          </cell>
          <cell r="E590" t="str">
            <v>SARMIENTO</v>
          </cell>
          <cell r="F590">
            <v>0</v>
          </cell>
          <cell r="H590" t="str">
            <v>TELSEN</v>
          </cell>
          <cell r="I590" t="str">
            <v>U9121ZAA</v>
          </cell>
        </row>
        <row r="591">
          <cell r="A591" t="str">
            <v>U3232</v>
          </cell>
          <cell r="B591" t="str">
            <v>CHUBUT</v>
          </cell>
          <cell r="C591" t="str">
            <v>CUSHAMEN</v>
          </cell>
          <cell r="D591" t="str">
            <v>GUALJAINA</v>
          </cell>
          <cell r="E591" t="str">
            <v>GDOR BENITO FERNANDEZ</v>
          </cell>
          <cell r="F591">
            <v>0</v>
          </cell>
          <cell r="H591" t="str">
            <v>GUALJAINA</v>
          </cell>
          <cell r="I591" t="str">
            <v>U9202ZAB</v>
          </cell>
        </row>
        <row r="592">
          <cell r="A592" t="str">
            <v>X0000</v>
          </cell>
          <cell r="B592" t="str">
            <v>CORDOBA</v>
          </cell>
          <cell r="C592" t="str">
            <v>CAPITAL</v>
          </cell>
          <cell r="D592" t="str">
            <v>CORDOBA</v>
          </cell>
          <cell r="E592" t="str">
            <v>AV COLON</v>
          </cell>
          <cell r="F592">
            <v>210</v>
          </cell>
          <cell r="H592" t="str">
            <v>CORDOBA</v>
          </cell>
          <cell r="I592" t="str">
            <v>X5000ZAA</v>
          </cell>
        </row>
        <row r="593">
          <cell r="A593" t="str">
            <v>X0001</v>
          </cell>
          <cell r="B593" t="str">
            <v>CORDOBA</v>
          </cell>
          <cell r="C593" t="str">
            <v>CAPITAL</v>
          </cell>
          <cell r="D593" t="str">
            <v>CORDOBA</v>
          </cell>
          <cell r="E593" t="str">
            <v>AV J B JUSTO</v>
          </cell>
          <cell r="F593">
            <v>3479</v>
          </cell>
          <cell r="H593" t="str">
            <v>CORDOBA 1</v>
          </cell>
          <cell r="I593" t="str">
            <v>X5001ZAA</v>
          </cell>
        </row>
        <row r="594">
          <cell r="A594" t="str">
            <v>X0003</v>
          </cell>
          <cell r="B594" t="str">
            <v>CORDOBA</v>
          </cell>
          <cell r="C594" t="str">
            <v>CAPITAL</v>
          </cell>
          <cell r="D594" t="str">
            <v>CORDOBA</v>
          </cell>
          <cell r="E594" t="str">
            <v>AV COLON</v>
          </cell>
          <cell r="F594">
            <v>2547</v>
          </cell>
          <cell r="H594" t="str">
            <v>CORDOBA 3</v>
          </cell>
          <cell r="I594" t="str">
            <v>X5003ZAA</v>
          </cell>
        </row>
        <row r="595">
          <cell r="A595" t="str">
            <v>X0006</v>
          </cell>
          <cell r="B595" t="str">
            <v>CORDOBA</v>
          </cell>
          <cell r="C595" t="str">
            <v>CAPITAL</v>
          </cell>
          <cell r="D595" t="str">
            <v>CORDOBA</v>
          </cell>
          <cell r="E595" t="str">
            <v>JUAN RODRIGUEZ</v>
          </cell>
          <cell r="F595">
            <v>1351</v>
          </cell>
          <cell r="H595" t="str">
            <v>CORDOBA 6</v>
          </cell>
          <cell r="I595" t="str">
            <v>X5006ZAA</v>
          </cell>
        </row>
        <row r="596">
          <cell r="A596" t="str">
            <v>X0007</v>
          </cell>
          <cell r="B596" t="str">
            <v>CORDOBA</v>
          </cell>
          <cell r="C596" t="str">
            <v>CAPITAL</v>
          </cell>
          <cell r="D596" t="str">
            <v>CORDOBA</v>
          </cell>
          <cell r="E596" t="str">
            <v>AV RAFAEL NUÃ‘EZ</v>
          </cell>
          <cell r="F596">
            <v>6237</v>
          </cell>
          <cell r="H596" t="str">
            <v>CORDOBA  22</v>
          </cell>
          <cell r="I596" t="str">
            <v>X5001ZAB</v>
          </cell>
        </row>
        <row r="597">
          <cell r="A597" t="str">
            <v>X0008</v>
          </cell>
          <cell r="B597" t="str">
            <v>CORDOBA</v>
          </cell>
          <cell r="C597" t="str">
            <v>CAPITAL</v>
          </cell>
          <cell r="D597" t="str">
            <v>CORDOBA</v>
          </cell>
          <cell r="E597" t="str">
            <v>AV MONS PABLO CABRERA</v>
          </cell>
          <cell r="F597">
            <v>3160</v>
          </cell>
          <cell r="H597" t="str">
            <v>CORDOBA 8</v>
          </cell>
          <cell r="I597" t="str">
            <v>X5008ZAA</v>
          </cell>
        </row>
        <row r="598">
          <cell r="A598" t="str">
            <v>X0009</v>
          </cell>
          <cell r="B598" t="str">
            <v>CORDOBA</v>
          </cell>
          <cell r="C598" t="str">
            <v>CAPITAL</v>
          </cell>
          <cell r="D598" t="str">
            <v>CORDOBA</v>
          </cell>
          <cell r="E598" t="str">
            <v>AV RAFAEL NUÃ‘EZ</v>
          </cell>
          <cell r="F598">
            <v>3782</v>
          </cell>
          <cell r="H598" t="str">
            <v>CORDOBA 9</v>
          </cell>
          <cell r="I598" t="str">
            <v>X5009ZAA</v>
          </cell>
        </row>
        <row r="599">
          <cell r="A599" t="str">
            <v>X0010</v>
          </cell>
          <cell r="B599" t="str">
            <v>CORDOBA</v>
          </cell>
          <cell r="C599" t="str">
            <v>CAPITAL</v>
          </cell>
          <cell r="D599" t="str">
            <v>CORDOBA</v>
          </cell>
          <cell r="E599" t="str">
            <v>AV FUERZA AEREA ARG</v>
          </cell>
          <cell r="F599">
            <v>2921</v>
          </cell>
          <cell r="H599" t="str">
            <v>CORDOBA 10</v>
          </cell>
          <cell r="I599" t="str">
            <v>X5010ZAA</v>
          </cell>
        </row>
        <row r="600">
          <cell r="A600" t="str">
            <v>X0011</v>
          </cell>
          <cell r="B600" t="str">
            <v>CORDOBA</v>
          </cell>
          <cell r="C600" t="str">
            <v>CAPITAL</v>
          </cell>
          <cell r="D600" t="str">
            <v>CORDOBA</v>
          </cell>
          <cell r="E600" t="str">
            <v>ARTURO M BAS</v>
          </cell>
          <cell r="F600">
            <v>251</v>
          </cell>
          <cell r="H600" t="str">
            <v>CORDOBA 23 TRIB PROVINCIALES</v>
          </cell>
          <cell r="I600" t="str">
            <v>X5000ZAB</v>
          </cell>
        </row>
        <row r="601">
          <cell r="A601" t="str">
            <v>X0012</v>
          </cell>
          <cell r="B601" t="str">
            <v>CORDOBA</v>
          </cell>
          <cell r="C601" t="str">
            <v>CAPITAL</v>
          </cell>
          <cell r="D601" t="str">
            <v>CORDOBA</v>
          </cell>
          <cell r="E601" t="str">
            <v>AV L N ALEM</v>
          </cell>
          <cell r="F601">
            <v>753</v>
          </cell>
          <cell r="H601" t="str">
            <v>CORDOBA 12</v>
          </cell>
          <cell r="I601" t="str">
            <v>X5012ZAA</v>
          </cell>
        </row>
        <row r="602">
          <cell r="A602" t="str">
            <v>X0016</v>
          </cell>
          <cell r="B602" t="str">
            <v>CORDOBA</v>
          </cell>
          <cell r="C602" t="str">
            <v>CAPITAL</v>
          </cell>
          <cell r="D602" t="str">
            <v>CORDOBA</v>
          </cell>
          <cell r="E602" t="str">
            <v>AV DR VELEZ SARSFIELD</v>
          </cell>
          <cell r="F602">
            <v>3458</v>
          </cell>
          <cell r="H602" t="str">
            <v>CORDOBA 16</v>
          </cell>
          <cell r="I602" t="str">
            <v>X5016ZAA</v>
          </cell>
        </row>
        <row r="603">
          <cell r="A603" t="str">
            <v>X0025</v>
          </cell>
          <cell r="B603" t="str">
            <v>CORDOBA</v>
          </cell>
          <cell r="C603" t="str">
            <v>SAN JUSTO</v>
          </cell>
          <cell r="D603" t="str">
            <v>ALICIA</v>
          </cell>
          <cell r="E603" t="str">
            <v>GRAL SAN MARTIN</v>
          </cell>
          <cell r="F603">
            <v>604</v>
          </cell>
          <cell r="H603" t="str">
            <v>ALICIA</v>
          </cell>
          <cell r="I603" t="str">
            <v>X5949ZAA</v>
          </cell>
        </row>
        <row r="604">
          <cell r="A604" t="str">
            <v>X0026</v>
          </cell>
          <cell r="B604" t="str">
            <v>CORDOBA</v>
          </cell>
          <cell r="C604" t="str">
            <v>COLON</v>
          </cell>
          <cell r="D604" t="str">
            <v>AGUA DE ORO</v>
          </cell>
          <cell r="E604" t="str">
            <v>OBISPO ZENON BUSTOS</v>
          </cell>
          <cell r="F604">
            <v>1</v>
          </cell>
          <cell r="H604" t="str">
            <v>AGUA DE ORO</v>
          </cell>
          <cell r="I604" t="str">
            <v>X5107ZAA</v>
          </cell>
        </row>
        <row r="605">
          <cell r="A605" t="str">
            <v>X0027</v>
          </cell>
          <cell r="B605" t="str">
            <v>CORDOBA</v>
          </cell>
          <cell r="C605" t="str">
            <v>SANTA MARIA</v>
          </cell>
          <cell r="D605" t="str">
            <v>ALTA GRACIA</v>
          </cell>
          <cell r="E605" t="str">
            <v>AV LIBERTADOR</v>
          </cell>
          <cell r="F605">
            <v>577</v>
          </cell>
          <cell r="H605" t="str">
            <v>ALTA GRACIA</v>
          </cell>
          <cell r="I605" t="str">
            <v>X5186ZAA</v>
          </cell>
        </row>
        <row r="606">
          <cell r="A606" t="str">
            <v>X0028</v>
          </cell>
          <cell r="B606" t="str">
            <v>CORDOBA</v>
          </cell>
          <cell r="C606" t="str">
            <v>SAN JUSTO</v>
          </cell>
          <cell r="D606" t="str">
            <v>ALTOS DE CHIPION</v>
          </cell>
          <cell r="E606" t="str">
            <v>AV L N ALEM</v>
          </cell>
          <cell r="F606">
            <v>544</v>
          </cell>
          <cell r="H606" t="str">
            <v>ALTOS DE CHIPION</v>
          </cell>
          <cell r="I606" t="str">
            <v>X2417ZAA</v>
          </cell>
        </row>
        <row r="607">
          <cell r="A607" t="str">
            <v>X0033</v>
          </cell>
          <cell r="B607" t="str">
            <v>CORDOBA</v>
          </cell>
          <cell r="C607" t="str">
            <v>SAN JUSTO</v>
          </cell>
          <cell r="D607" t="str">
            <v>ARROYITO</v>
          </cell>
          <cell r="E607" t="str">
            <v>PRES BERNARDINO RIVADAVIA</v>
          </cell>
          <cell r="F607">
            <v>505</v>
          </cell>
          <cell r="H607" t="str">
            <v>ARROYITO</v>
          </cell>
          <cell r="I607" t="str">
            <v>X2434ZAA</v>
          </cell>
        </row>
        <row r="608">
          <cell r="A608" t="str">
            <v>X0041</v>
          </cell>
          <cell r="B608" t="str">
            <v>CORDOBA</v>
          </cell>
          <cell r="C608" t="str">
            <v>SAN JUSTO</v>
          </cell>
          <cell r="D608" t="str">
            <v>BALNEARIA</v>
          </cell>
          <cell r="E608" t="str">
            <v>TRISTAN CORNEJO</v>
          </cell>
          <cell r="F608">
            <v>168</v>
          </cell>
          <cell r="H608" t="str">
            <v>BALNEARIA</v>
          </cell>
          <cell r="I608" t="str">
            <v>X5141ZAA</v>
          </cell>
        </row>
        <row r="609">
          <cell r="A609" t="str">
            <v>X0043</v>
          </cell>
          <cell r="B609" t="str">
            <v>CORDOBA</v>
          </cell>
          <cell r="C609" t="str">
            <v>SAN JUSTO</v>
          </cell>
          <cell r="D609" t="str">
            <v>BRINKMANN</v>
          </cell>
          <cell r="E609" t="str">
            <v>INTE SABINO GIAVENO</v>
          </cell>
          <cell r="F609">
            <v>101</v>
          </cell>
          <cell r="H609" t="str">
            <v>BRINKMANN</v>
          </cell>
          <cell r="I609" t="str">
            <v>X2419ZAA</v>
          </cell>
        </row>
        <row r="610">
          <cell r="A610" t="str">
            <v>X0050</v>
          </cell>
          <cell r="B610" t="str">
            <v>CORDOBA</v>
          </cell>
          <cell r="C610" t="str">
            <v>PUNILLA</v>
          </cell>
          <cell r="D610" t="str">
            <v>CAPILLA DEL MONTE</v>
          </cell>
          <cell r="E610" t="str">
            <v>CORRIENTES</v>
          </cell>
          <cell r="F610">
            <v>165</v>
          </cell>
          <cell r="H610" t="str">
            <v>CAPILLA DEL MONTE</v>
          </cell>
          <cell r="I610" t="str">
            <v>X5184ZAA</v>
          </cell>
        </row>
        <row r="611">
          <cell r="A611" t="str">
            <v>X0053</v>
          </cell>
          <cell r="B611" t="str">
            <v>CORDOBA</v>
          </cell>
          <cell r="C611" t="str">
            <v>CAPITAL</v>
          </cell>
          <cell r="D611" t="str">
            <v>CORDOBA</v>
          </cell>
          <cell r="E611" t="str">
            <v>AV EJERCITO ARGENTINO</v>
          </cell>
          <cell r="F611">
            <v>7200</v>
          </cell>
          <cell r="H611" t="str">
            <v>CORDOBA 10</v>
          </cell>
          <cell r="I611" t="str">
            <v>X5023ZAA</v>
          </cell>
        </row>
        <row r="612">
          <cell r="A612" t="str">
            <v>X0054</v>
          </cell>
          <cell r="B612" t="str">
            <v>CORDOBA</v>
          </cell>
          <cell r="C612" t="str">
            <v>COLON</v>
          </cell>
          <cell r="D612" t="str">
            <v>COLONIA CAROYA</v>
          </cell>
          <cell r="E612" t="str">
            <v>ITALIA</v>
          </cell>
          <cell r="F612">
            <v>50</v>
          </cell>
          <cell r="H612" t="str">
            <v>COLONIA CAROYA</v>
          </cell>
          <cell r="I612" t="str">
            <v>X5223ZAA</v>
          </cell>
        </row>
        <row r="613">
          <cell r="A613" t="str">
            <v>X0056</v>
          </cell>
          <cell r="B613" t="str">
            <v>CORDOBA</v>
          </cell>
          <cell r="C613" t="str">
            <v>SAN JUSTO</v>
          </cell>
          <cell r="D613" t="str">
            <v>COLONIA SAN BARTOLOME</v>
          </cell>
          <cell r="E613" t="str">
            <v>AV DE MAYO</v>
          </cell>
          <cell r="F613">
            <v>472</v>
          </cell>
          <cell r="H613" t="str">
            <v>COLONIA SAN BARTOLOME</v>
          </cell>
          <cell r="I613" t="str">
            <v>X2426ZAA</v>
          </cell>
        </row>
        <row r="614">
          <cell r="A614" t="str">
            <v>X0058</v>
          </cell>
          <cell r="B614" t="str">
            <v>CORDOBA</v>
          </cell>
          <cell r="C614" t="str">
            <v>PUNILLA</v>
          </cell>
          <cell r="D614" t="str">
            <v>COSQUIN</v>
          </cell>
          <cell r="E614" t="str">
            <v>TUCUMAN</v>
          </cell>
          <cell r="F614">
            <v>1069</v>
          </cell>
          <cell r="H614" t="str">
            <v>COSQUIN</v>
          </cell>
          <cell r="I614" t="str">
            <v>X5166ZAA</v>
          </cell>
        </row>
        <row r="615">
          <cell r="A615" t="str">
            <v>X0062</v>
          </cell>
          <cell r="B615" t="str">
            <v>CORDOBA</v>
          </cell>
          <cell r="C615" t="str">
            <v>CRUZ DEL EJE</v>
          </cell>
          <cell r="D615" t="str">
            <v>CRUZ DEL EJE</v>
          </cell>
          <cell r="E615" t="str">
            <v>PTE M T DE ALVEAR</v>
          </cell>
          <cell r="F615">
            <v>403</v>
          </cell>
          <cell r="H615" t="str">
            <v>CRUZ DEL EJE</v>
          </cell>
          <cell r="I615" t="str">
            <v>X5280ZAA</v>
          </cell>
        </row>
        <row r="616">
          <cell r="A616" t="str">
            <v>X0066</v>
          </cell>
          <cell r="B616" t="str">
            <v>CORDOBA</v>
          </cell>
          <cell r="C616" t="str">
            <v>ISCHILIN</v>
          </cell>
          <cell r="D616" t="str">
            <v>DEAN FUNES</v>
          </cell>
          <cell r="E616" t="str">
            <v>RIVADAVIA</v>
          </cell>
          <cell r="F616">
            <v>200</v>
          </cell>
          <cell r="H616" t="str">
            <v>DEAN FUNES</v>
          </cell>
          <cell r="I616" t="str">
            <v>X5200ZAA</v>
          </cell>
        </row>
        <row r="617">
          <cell r="A617" t="str">
            <v>X0068</v>
          </cell>
          <cell r="B617" t="str">
            <v>CORDOBA</v>
          </cell>
          <cell r="C617" t="str">
            <v>SANTA MARIA</v>
          </cell>
          <cell r="D617" t="str">
            <v>DESPEÃ‘ADEROS</v>
          </cell>
          <cell r="E617" t="str">
            <v>FLORIDA</v>
          </cell>
          <cell r="F617">
            <v>231</v>
          </cell>
          <cell r="H617" t="str">
            <v>DESPEÃ‘ADEROS (AG. 30)</v>
          </cell>
          <cell r="I617" t="str">
            <v>X5121ZAA</v>
          </cell>
        </row>
        <row r="618">
          <cell r="A618" t="str">
            <v>X0070</v>
          </cell>
          <cell r="B618" t="str">
            <v>CORDOBA</v>
          </cell>
          <cell r="C618" t="str">
            <v>SAN JUSTO</v>
          </cell>
          <cell r="D618" t="str">
            <v>DEVOTO</v>
          </cell>
          <cell r="E618" t="str">
            <v>SARMIENTO</v>
          </cell>
          <cell r="F618">
            <v>449</v>
          </cell>
          <cell r="H618" t="str">
            <v>DEVOTO</v>
          </cell>
          <cell r="I618" t="str">
            <v>X2424ZAA</v>
          </cell>
        </row>
        <row r="619">
          <cell r="A619" t="str">
            <v>X0072</v>
          </cell>
          <cell r="B619" t="str">
            <v>CORDOBA</v>
          </cell>
          <cell r="C619" t="str">
            <v>SAN JUSTO</v>
          </cell>
          <cell r="D619" t="str">
            <v>EL ARAÃ‘ADO</v>
          </cell>
          <cell r="E619" t="str">
            <v>9 DE JULIO</v>
          </cell>
          <cell r="F619">
            <v>353</v>
          </cell>
          <cell r="H619" t="str">
            <v>EL ARAÃ‘ADO</v>
          </cell>
          <cell r="I619" t="str">
            <v>X5947ZAA</v>
          </cell>
        </row>
        <row r="620">
          <cell r="A620" t="str">
            <v>X0076</v>
          </cell>
          <cell r="B620" t="str">
            <v>CORDOBA</v>
          </cell>
          <cell r="C620" t="str">
            <v>SAN JUSTO</v>
          </cell>
          <cell r="D620" t="str">
            <v>EL TIO</v>
          </cell>
          <cell r="E620" t="str">
            <v>AV 25 DE MAYO</v>
          </cell>
          <cell r="F620">
            <v>631</v>
          </cell>
          <cell r="H620" t="str">
            <v>EL TIO</v>
          </cell>
          <cell r="I620" t="str">
            <v>X2432ZAA</v>
          </cell>
        </row>
        <row r="621">
          <cell r="A621" t="str">
            <v>X0078</v>
          </cell>
          <cell r="B621" t="str">
            <v>CORDOBA</v>
          </cell>
          <cell r="C621" t="str">
            <v>RIO SEGUNDO</v>
          </cell>
          <cell r="D621" t="str">
            <v>ESTACION CALCHIN</v>
          </cell>
          <cell r="E621" t="str">
            <v>25 DE MAYO 100</v>
          </cell>
          <cell r="H621" t="str">
            <v>ESTACION CALCHIN</v>
          </cell>
          <cell r="I621" t="str">
            <v>X5969ZAA</v>
          </cell>
        </row>
        <row r="622">
          <cell r="A622" t="str">
            <v>X0082</v>
          </cell>
          <cell r="B622" t="str">
            <v>CORDOBA</v>
          </cell>
          <cell r="C622" t="str">
            <v>SAN JUSTO</v>
          </cell>
          <cell r="D622" t="str">
            <v>FREYRE</v>
          </cell>
          <cell r="E622" t="str">
            <v>GRAL SAN MARTIN</v>
          </cell>
          <cell r="F622">
            <v>790</v>
          </cell>
          <cell r="H622" t="str">
            <v>FREYRE</v>
          </cell>
          <cell r="I622" t="str">
            <v>X2413ZAA</v>
          </cell>
        </row>
        <row r="623">
          <cell r="A623" t="str">
            <v>X0088</v>
          </cell>
          <cell r="B623" t="str">
            <v>CORDOBA</v>
          </cell>
          <cell r="C623" t="str">
            <v>COLON</v>
          </cell>
          <cell r="D623" t="str">
            <v>JESUS MARIA</v>
          </cell>
          <cell r="E623" t="str">
            <v>SARMIENTO</v>
          </cell>
          <cell r="F623">
            <v>15</v>
          </cell>
          <cell r="H623" t="str">
            <v>JESUS MARIA</v>
          </cell>
          <cell r="I623" t="str">
            <v>X5220ZAA</v>
          </cell>
        </row>
        <row r="624">
          <cell r="A624" t="str">
            <v>X0090</v>
          </cell>
          <cell r="B624" t="str">
            <v>CORDOBA</v>
          </cell>
          <cell r="C624" t="str">
            <v>SAN JAVIER</v>
          </cell>
          <cell r="D624" t="str">
            <v>LA PAZ</v>
          </cell>
          <cell r="E624" t="str">
            <v>PRES BERNARDINO RIVADAVIA</v>
          </cell>
          <cell r="F624">
            <v>1</v>
          </cell>
          <cell r="H624" t="str">
            <v>LA PAZ</v>
          </cell>
          <cell r="I624" t="str">
            <v>X5879ZAA</v>
          </cell>
        </row>
        <row r="625">
          <cell r="A625" t="str">
            <v>X0092</v>
          </cell>
          <cell r="B625" t="str">
            <v>CORDOBA</v>
          </cell>
          <cell r="C625" t="str">
            <v>COLON</v>
          </cell>
          <cell r="D625" t="str">
            <v>LA CALERA</v>
          </cell>
          <cell r="E625" t="str">
            <v>SAN MARTIN</v>
          </cell>
          <cell r="F625">
            <v>531</v>
          </cell>
          <cell r="H625" t="str">
            <v>LA CALERA</v>
          </cell>
          <cell r="I625" t="str">
            <v>X5151ZAA</v>
          </cell>
        </row>
        <row r="626">
          <cell r="A626" t="str">
            <v>X0094</v>
          </cell>
          <cell r="B626" t="str">
            <v>CORDOBA</v>
          </cell>
          <cell r="C626" t="str">
            <v>PUNILLA</v>
          </cell>
          <cell r="D626" t="str">
            <v>LA CUMBRE</v>
          </cell>
          <cell r="E626" t="str">
            <v>COLON</v>
          </cell>
          <cell r="F626">
            <v>60</v>
          </cell>
          <cell r="H626" t="str">
            <v>LA CUMBRE</v>
          </cell>
          <cell r="I626" t="str">
            <v>X5180ZAA</v>
          </cell>
        </row>
        <row r="627">
          <cell r="A627" t="str">
            <v>X0096</v>
          </cell>
          <cell r="B627" t="str">
            <v>CORDOBA</v>
          </cell>
          <cell r="C627" t="str">
            <v>PUNILLA</v>
          </cell>
          <cell r="D627" t="str">
            <v>LA FALDA</v>
          </cell>
          <cell r="E627" t="str">
            <v>AV ARGENTINA</v>
          </cell>
          <cell r="F627">
            <v>184</v>
          </cell>
          <cell r="H627" t="str">
            <v>LA FALDA</v>
          </cell>
          <cell r="I627" t="str">
            <v>X5172ZAA</v>
          </cell>
        </row>
        <row r="628">
          <cell r="A628" t="str">
            <v>X0098</v>
          </cell>
          <cell r="B628" t="str">
            <v>CORDOBA</v>
          </cell>
          <cell r="C628" t="str">
            <v>SAN JUSTO</v>
          </cell>
          <cell r="D628" t="str">
            <v>LA FRANCIA</v>
          </cell>
          <cell r="E628" t="str">
            <v>PASCUAL LENCINAS</v>
          </cell>
          <cell r="F628">
            <v>255</v>
          </cell>
          <cell r="H628" t="str">
            <v>LA FRANCIA</v>
          </cell>
          <cell r="I628" t="str">
            <v>X2425ZAA</v>
          </cell>
        </row>
        <row r="629">
          <cell r="A629" t="str">
            <v>X0100</v>
          </cell>
          <cell r="B629" t="str">
            <v>CORDOBA</v>
          </cell>
          <cell r="C629" t="str">
            <v>COLON</v>
          </cell>
          <cell r="D629" t="str">
            <v>LA GRANJA</v>
          </cell>
          <cell r="E629" t="str">
            <v>LOS ACERES ESQ LOS FRESNOS</v>
          </cell>
          <cell r="H629" t="str">
            <v>LA GRANJA</v>
          </cell>
          <cell r="I629" t="str">
            <v>X5115ZAA</v>
          </cell>
        </row>
        <row r="630">
          <cell r="A630" t="str">
            <v>X0102</v>
          </cell>
          <cell r="B630" t="str">
            <v>CORDOBA</v>
          </cell>
          <cell r="C630" t="str">
            <v>RIO PRIMERO</v>
          </cell>
          <cell r="D630" t="str">
            <v>LA PARA</v>
          </cell>
          <cell r="E630" t="str">
            <v>AV GRAL SAN MARTIN</v>
          </cell>
          <cell r="F630">
            <v>897</v>
          </cell>
          <cell r="H630" t="str">
            <v>LA PARA</v>
          </cell>
          <cell r="I630" t="str">
            <v>X5137ZAA</v>
          </cell>
        </row>
        <row r="631">
          <cell r="A631" t="str">
            <v>X0104</v>
          </cell>
          <cell r="B631" t="str">
            <v>CORDOBA</v>
          </cell>
          <cell r="C631" t="str">
            <v>COLON</v>
          </cell>
          <cell r="D631" t="str">
            <v>LA PUERTA</v>
          </cell>
          <cell r="E631" t="str">
            <v>LOS ALPES</v>
          </cell>
          <cell r="F631">
            <v>0</v>
          </cell>
          <cell r="H631" t="str">
            <v>LA PUERTA</v>
          </cell>
          <cell r="I631" t="str">
            <v>X4872ZAA</v>
          </cell>
        </row>
        <row r="632">
          <cell r="A632" t="str">
            <v>X0106</v>
          </cell>
          <cell r="B632" t="str">
            <v>CORDOBA</v>
          </cell>
          <cell r="C632" t="str">
            <v>RIO SEGUNDO</v>
          </cell>
          <cell r="D632" t="str">
            <v>LAGUNA LARGA</v>
          </cell>
          <cell r="E632" t="str">
            <v>LIBERTAD</v>
          </cell>
          <cell r="F632">
            <v>44</v>
          </cell>
          <cell r="H632" t="str">
            <v>LAGUNA LARGA</v>
          </cell>
          <cell r="I632" t="str">
            <v>X5974ZAA</v>
          </cell>
        </row>
        <row r="633">
          <cell r="A633" t="str">
            <v>X0108</v>
          </cell>
          <cell r="B633" t="str">
            <v>CORDOBA</v>
          </cell>
          <cell r="C633" t="str">
            <v>RIO SEGUNDO</v>
          </cell>
          <cell r="D633" t="str">
            <v>LAS JUNTURAS</v>
          </cell>
          <cell r="E633" t="str">
            <v>GRAL PAZ</v>
          </cell>
          <cell r="F633">
            <v>205</v>
          </cell>
          <cell r="H633" t="str">
            <v>LAS JUNTURAS</v>
          </cell>
          <cell r="I633" t="str">
            <v>X5965ZAA</v>
          </cell>
        </row>
        <row r="634">
          <cell r="A634" t="str">
            <v>X0110</v>
          </cell>
          <cell r="B634" t="str">
            <v>CORDOBA</v>
          </cell>
          <cell r="C634" t="str">
            <v>TOTORAL</v>
          </cell>
          <cell r="D634" t="str">
            <v>LAS PEÃ‘AS</v>
          </cell>
          <cell r="E634" t="str">
            <v>CARRANZA MARTINEZ</v>
          </cell>
          <cell r="F634">
            <v>246</v>
          </cell>
          <cell r="H634" t="str">
            <v>LAS PEÃ‘AS</v>
          </cell>
          <cell r="I634" t="str">
            <v>X5238ZAA</v>
          </cell>
        </row>
        <row r="635">
          <cell r="A635" t="str">
            <v>X0112</v>
          </cell>
          <cell r="B635" t="str">
            <v>CORDOBA</v>
          </cell>
          <cell r="C635" t="str">
            <v>SAN JUSTO</v>
          </cell>
          <cell r="D635" t="str">
            <v>LAS VARAS</v>
          </cell>
          <cell r="E635" t="str">
            <v>DR JUAN G GRUNDY</v>
          </cell>
          <cell r="F635">
            <v>332</v>
          </cell>
          <cell r="H635" t="str">
            <v>LAS VARAS</v>
          </cell>
          <cell r="I635" t="str">
            <v>X5941ZAA</v>
          </cell>
        </row>
        <row r="636">
          <cell r="A636" t="str">
            <v>X0114</v>
          </cell>
          <cell r="B636" t="str">
            <v>CORDOBA</v>
          </cell>
          <cell r="C636" t="str">
            <v>SAN JUSTO</v>
          </cell>
          <cell r="D636" t="str">
            <v>LAS VARILLAS</v>
          </cell>
          <cell r="E636" t="str">
            <v>BALDRICH</v>
          </cell>
          <cell r="F636">
            <v>51</v>
          </cell>
          <cell r="H636" t="str">
            <v>LAS VARILLAS</v>
          </cell>
          <cell r="I636" t="str">
            <v>X5992ZAA</v>
          </cell>
        </row>
        <row r="637">
          <cell r="A637" t="str">
            <v>X0116</v>
          </cell>
          <cell r="B637" t="str">
            <v>CORDOBA</v>
          </cell>
          <cell r="C637" t="str">
            <v>CALAMUCHITA</v>
          </cell>
          <cell r="D637" t="str">
            <v>LOS COCOS</v>
          </cell>
          <cell r="E637" t="str">
            <v>AV- GRIERSON 1774</v>
          </cell>
          <cell r="H637" t="str">
            <v>LOS COCOS</v>
          </cell>
          <cell r="I637" t="str">
            <v>X5182ZAA</v>
          </cell>
        </row>
        <row r="638">
          <cell r="A638" t="str">
            <v>X0118</v>
          </cell>
          <cell r="B638" t="str">
            <v>CORDOBA</v>
          </cell>
          <cell r="C638" t="str">
            <v>RIO SEGUNDO</v>
          </cell>
          <cell r="D638" t="str">
            <v>LUQUE</v>
          </cell>
          <cell r="E638" t="str">
            <v>AV CHACABUCO</v>
          </cell>
          <cell r="F638">
            <v>758</v>
          </cell>
          <cell r="H638" t="str">
            <v>LUQUE</v>
          </cell>
          <cell r="I638" t="str">
            <v>X5967ZAA</v>
          </cell>
        </row>
        <row r="639">
          <cell r="A639" t="str">
            <v>X0122</v>
          </cell>
          <cell r="B639" t="str">
            <v>CORDOBA</v>
          </cell>
          <cell r="C639" t="str">
            <v>SAN ALBERTO</v>
          </cell>
          <cell r="D639" t="str">
            <v>MINA CLAVERO</v>
          </cell>
          <cell r="E639" t="str">
            <v>AV SAN MARTIN</v>
          </cell>
          <cell r="F639">
            <v>707</v>
          </cell>
          <cell r="H639" t="str">
            <v>MINA CLAVERO</v>
          </cell>
          <cell r="I639" t="str">
            <v>X5889ZAA</v>
          </cell>
        </row>
        <row r="640">
          <cell r="A640" t="str">
            <v>X0124</v>
          </cell>
          <cell r="B640" t="str">
            <v>CORDOBA</v>
          </cell>
          <cell r="C640" t="str">
            <v>SAN JUSTO</v>
          </cell>
          <cell r="D640" t="str">
            <v>MARULL</v>
          </cell>
          <cell r="E640" t="str">
            <v>AV DOMINGO SARMIENTO</v>
          </cell>
          <cell r="F640">
            <v>283</v>
          </cell>
          <cell r="H640" t="str">
            <v>MARULL</v>
          </cell>
          <cell r="I640" t="str">
            <v>X5139ZAA</v>
          </cell>
        </row>
        <row r="641">
          <cell r="A641" t="str">
            <v>X0128</v>
          </cell>
          <cell r="B641" t="str">
            <v>CORDOBA</v>
          </cell>
          <cell r="C641" t="str">
            <v>SAN JUSTO</v>
          </cell>
          <cell r="D641" t="str">
            <v>MIRAMAR</v>
          </cell>
          <cell r="E641" t="str">
            <v>URQUIZA</v>
          </cell>
          <cell r="F641">
            <v>150</v>
          </cell>
          <cell r="H641" t="str">
            <v>MIRAMAR</v>
          </cell>
          <cell r="I641" t="str">
            <v>X5143ZAA</v>
          </cell>
        </row>
        <row r="642">
          <cell r="A642" t="str">
            <v>X0130</v>
          </cell>
          <cell r="B642" t="str">
            <v>CORDOBA</v>
          </cell>
          <cell r="C642" t="str">
            <v>RIO PRIMERO</v>
          </cell>
          <cell r="D642" t="str">
            <v>MONTE CRISTO</v>
          </cell>
          <cell r="E642" t="str">
            <v>INTE NEMIROSKY</v>
          </cell>
          <cell r="F642">
            <v>223</v>
          </cell>
          <cell r="H642" t="str">
            <v>MONTE CRISTO</v>
          </cell>
          <cell r="I642" t="str">
            <v>X5125ZAA</v>
          </cell>
        </row>
        <row r="643">
          <cell r="A643" t="str">
            <v>X0132</v>
          </cell>
          <cell r="B643" t="str">
            <v>CORDOBA</v>
          </cell>
          <cell r="C643" t="str">
            <v>SAN JUSTO</v>
          </cell>
          <cell r="D643" t="str">
            <v>MORTEROS</v>
          </cell>
          <cell r="E643" t="str">
            <v>ESPAÃ‘A</v>
          </cell>
          <cell r="F643">
            <v>964</v>
          </cell>
          <cell r="H643" t="str">
            <v>MORTEROS</v>
          </cell>
          <cell r="I643" t="str">
            <v>X2421ZAA</v>
          </cell>
        </row>
        <row r="644">
          <cell r="A644" t="str">
            <v>X0136</v>
          </cell>
          <cell r="B644" t="str">
            <v>CORDOBA</v>
          </cell>
          <cell r="C644" t="str">
            <v>RIO PRIMERO</v>
          </cell>
          <cell r="D644" t="str">
            <v>OBISPO TREJO</v>
          </cell>
          <cell r="E644" t="str">
            <v>GRAL M BELGRANO</v>
          </cell>
          <cell r="F644">
            <v>802</v>
          </cell>
          <cell r="H644" t="str">
            <v>OBISPO TREJO</v>
          </cell>
          <cell r="I644" t="str">
            <v>X5225ZAA</v>
          </cell>
        </row>
        <row r="645">
          <cell r="A645" t="str">
            <v>X0138</v>
          </cell>
          <cell r="B645" t="str">
            <v>CORDOBA</v>
          </cell>
          <cell r="C645" t="str">
            <v>RIO SEGUNDO</v>
          </cell>
          <cell r="D645" t="str">
            <v>ONCATIVO</v>
          </cell>
          <cell r="E645" t="str">
            <v>25 DE MAYO</v>
          </cell>
          <cell r="F645">
            <v>709</v>
          </cell>
          <cell r="H645" t="str">
            <v>ONCATIVO</v>
          </cell>
          <cell r="I645" t="str">
            <v>X5986ZAA</v>
          </cell>
        </row>
        <row r="646">
          <cell r="A646" t="str">
            <v>X0140</v>
          </cell>
          <cell r="B646" t="str">
            <v>CORDOBA</v>
          </cell>
          <cell r="C646" t="str">
            <v>RIO SEGUNDO</v>
          </cell>
          <cell r="D646" t="str">
            <v>PILAR</v>
          </cell>
          <cell r="E646" t="str">
            <v>9 DE JULIO</v>
          </cell>
          <cell r="F646">
            <v>112</v>
          </cell>
          <cell r="H646" t="str">
            <v>PILAR (AG. 31)</v>
          </cell>
          <cell r="I646" t="str">
            <v>X5972ZAA</v>
          </cell>
        </row>
        <row r="647">
          <cell r="A647" t="str">
            <v>X0142</v>
          </cell>
          <cell r="B647" t="str">
            <v>CORDOBA</v>
          </cell>
          <cell r="C647" t="str">
            <v>SAN JUSTO</v>
          </cell>
          <cell r="D647" t="str">
            <v>PORTEÃ‘A</v>
          </cell>
          <cell r="E647" t="str">
            <v>25 DE MAYO</v>
          </cell>
          <cell r="F647">
            <v>557</v>
          </cell>
          <cell r="H647" t="str">
            <v>PORTEÃ‘A</v>
          </cell>
          <cell r="I647" t="str">
            <v>X2415ZAA</v>
          </cell>
        </row>
        <row r="648">
          <cell r="A648" t="str">
            <v>X0144</v>
          </cell>
          <cell r="B648" t="str">
            <v>CORDOBA</v>
          </cell>
          <cell r="C648" t="str">
            <v>RIO SEGUNDO</v>
          </cell>
          <cell r="D648" t="str">
            <v>POZO DEL MOLLE</v>
          </cell>
          <cell r="E648" t="str">
            <v>DR MANUEL BELGRANO</v>
          </cell>
          <cell r="F648">
            <v>1</v>
          </cell>
          <cell r="H648" t="str">
            <v>POZO DEL MOLLE</v>
          </cell>
          <cell r="I648" t="str">
            <v>X5913ZAA</v>
          </cell>
        </row>
        <row r="649">
          <cell r="A649" t="str">
            <v>X0146</v>
          </cell>
          <cell r="B649" t="str">
            <v>CORDOBA</v>
          </cell>
          <cell r="C649" t="str">
            <v>ISCHILIN</v>
          </cell>
          <cell r="D649" t="str">
            <v>QUILINO</v>
          </cell>
          <cell r="E649" t="str">
            <v>DOMINGO SARMIENTO</v>
          </cell>
          <cell r="F649">
            <v>63</v>
          </cell>
          <cell r="H649" t="str">
            <v>QUILINO</v>
          </cell>
          <cell r="I649" t="str">
            <v>X5214ZAA</v>
          </cell>
        </row>
        <row r="650">
          <cell r="A650" t="str">
            <v>X0148</v>
          </cell>
          <cell r="B650" t="str">
            <v>CORDOBA</v>
          </cell>
          <cell r="C650" t="str">
            <v>COLON</v>
          </cell>
          <cell r="D650" t="str">
            <v>RIO CEBALLOS</v>
          </cell>
          <cell r="E650" t="str">
            <v>AV SAN MARTIN</v>
          </cell>
          <cell r="F650">
            <v>4444</v>
          </cell>
          <cell r="H650" t="str">
            <v>RIO CEBALLOS</v>
          </cell>
          <cell r="I650" t="str">
            <v>X5111ZAA</v>
          </cell>
        </row>
        <row r="651">
          <cell r="A651" t="str">
            <v>X0150</v>
          </cell>
          <cell r="B651" t="str">
            <v>CORDOBA</v>
          </cell>
          <cell r="C651" t="str">
            <v>RIO PRIMERO</v>
          </cell>
          <cell r="D651" t="str">
            <v>RIO PRIMERO</v>
          </cell>
          <cell r="E651" t="str">
            <v>INTE ANTONIO MOSCATI</v>
          </cell>
          <cell r="F651">
            <v>43</v>
          </cell>
          <cell r="H651" t="str">
            <v>RIO PRIMERO</v>
          </cell>
          <cell r="I651" t="str">
            <v>X5127ZAA</v>
          </cell>
        </row>
        <row r="652">
          <cell r="A652" t="str">
            <v>X0152</v>
          </cell>
          <cell r="B652" t="str">
            <v>CORDOBA</v>
          </cell>
          <cell r="C652" t="str">
            <v>RIO SEGUNDO</v>
          </cell>
          <cell r="D652" t="str">
            <v>RIO SEGUNDO</v>
          </cell>
          <cell r="E652" t="str">
            <v>DOMINGO SARMIENTO</v>
          </cell>
          <cell r="F652">
            <v>1193</v>
          </cell>
          <cell r="H652" t="str">
            <v>RIO SEGUNDO</v>
          </cell>
          <cell r="I652" t="str">
            <v>X5960ZAA</v>
          </cell>
        </row>
        <row r="653">
          <cell r="A653" t="str">
            <v>X0154</v>
          </cell>
          <cell r="B653" t="str">
            <v>CORDOBA</v>
          </cell>
          <cell r="C653" t="str">
            <v>POCHO</v>
          </cell>
          <cell r="D653" t="str">
            <v>SALSACATE</v>
          </cell>
          <cell r="E653" t="str">
            <v>AV EJERCITO ARGENTINO</v>
          </cell>
          <cell r="F653">
            <v>305</v>
          </cell>
          <cell r="H653" t="str">
            <v>SALSACATE</v>
          </cell>
          <cell r="I653" t="str">
            <v>X5295ZAA</v>
          </cell>
        </row>
        <row r="654">
          <cell r="A654" t="str">
            <v>X0156</v>
          </cell>
          <cell r="B654" t="str">
            <v>CORDOBA</v>
          </cell>
          <cell r="C654" t="str">
            <v>SAN JUSTO</v>
          </cell>
          <cell r="D654" t="str">
            <v>SACANTA</v>
          </cell>
          <cell r="E654" t="str">
            <v>DR MANUEL BELGRANO</v>
          </cell>
          <cell r="F654">
            <v>499</v>
          </cell>
          <cell r="H654" t="str">
            <v>SACANTA</v>
          </cell>
          <cell r="I654" t="str">
            <v>X5945ZAA</v>
          </cell>
        </row>
        <row r="655">
          <cell r="A655" t="str">
            <v>X0158</v>
          </cell>
          <cell r="B655" t="str">
            <v>CORDOBA</v>
          </cell>
          <cell r="C655" t="str">
            <v>COLON</v>
          </cell>
          <cell r="D655" t="str">
            <v>SALSIPUEDES</v>
          </cell>
          <cell r="E655" t="str">
            <v>SANTA ROSA</v>
          </cell>
          <cell r="F655">
            <v>235</v>
          </cell>
          <cell r="H655" t="str">
            <v>SALSIPUEDES</v>
          </cell>
          <cell r="I655" t="str">
            <v>X5113ZAA</v>
          </cell>
        </row>
        <row r="656">
          <cell r="A656" t="str">
            <v>X0160</v>
          </cell>
          <cell r="B656" t="str">
            <v>CORDOBA</v>
          </cell>
          <cell r="C656" t="str">
            <v>MINAS</v>
          </cell>
          <cell r="D656" t="str">
            <v>SAN CARLOS</v>
          </cell>
          <cell r="E656" t="str">
            <v>AV GRAL SAN MARTIN</v>
          </cell>
          <cell r="F656">
            <v>230</v>
          </cell>
          <cell r="H656" t="str">
            <v>SAN CARLOS MINAS</v>
          </cell>
          <cell r="I656" t="str">
            <v>X5291ZAA</v>
          </cell>
        </row>
        <row r="657">
          <cell r="A657" t="str">
            <v>X0164</v>
          </cell>
          <cell r="B657" t="str">
            <v>CORDOBA</v>
          </cell>
          <cell r="C657" t="str">
            <v>SAN JUSTO</v>
          </cell>
          <cell r="D657" t="str">
            <v>SAN FRANCISCO</v>
          </cell>
          <cell r="E657" t="str">
            <v>JUAN B ALBERDI</v>
          </cell>
          <cell r="F657">
            <v>198</v>
          </cell>
          <cell r="H657" t="str">
            <v>SAN FRANCISCO</v>
          </cell>
          <cell r="I657" t="str">
            <v>X2400ZAA</v>
          </cell>
        </row>
        <row r="658">
          <cell r="A658" t="str">
            <v>X0166</v>
          </cell>
          <cell r="B658" t="str">
            <v>CORDOBA</v>
          </cell>
          <cell r="C658" t="str">
            <v>TULUMBA</v>
          </cell>
          <cell r="D658" t="str">
            <v>SAN JOSE DE LA DORMIDA</v>
          </cell>
          <cell r="E658" t="str">
            <v>AV SAN MARTIN</v>
          </cell>
          <cell r="F658">
            <v>533</v>
          </cell>
          <cell r="H658" t="str">
            <v>SAN JOSE DE LA DORMIDA (AG. 54</v>
          </cell>
          <cell r="I658" t="str">
            <v>X5244ZAA</v>
          </cell>
        </row>
        <row r="659">
          <cell r="A659" t="str">
            <v>X0168</v>
          </cell>
          <cell r="B659" t="str">
            <v>CORDOBA</v>
          </cell>
          <cell r="C659" t="str">
            <v>CRUZ DEL EJE</v>
          </cell>
          <cell r="D659" t="str">
            <v>SAN MARCOS SIERRAS</v>
          </cell>
          <cell r="E659" t="str">
            <v>AV LIBERTAD</v>
          </cell>
          <cell r="F659">
            <v>841</v>
          </cell>
          <cell r="H659" t="str">
            <v>SAN MARCO SIERRAS</v>
          </cell>
          <cell r="I659" t="str">
            <v>X5282ZAA</v>
          </cell>
        </row>
        <row r="660">
          <cell r="A660" t="str">
            <v>X0172</v>
          </cell>
          <cell r="B660" t="str">
            <v>CORDOBA</v>
          </cell>
          <cell r="C660" t="str">
            <v>RIO PRIMERO</v>
          </cell>
          <cell r="D660" t="str">
            <v>SANTA ROSA DE RIO PRIMERO</v>
          </cell>
          <cell r="E660" t="str">
            <v>9 DE JULIO</v>
          </cell>
          <cell r="F660">
            <v>650</v>
          </cell>
          <cell r="H660" t="str">
            <v>STA. ROSA DE RIO PRIMERO</v>
          </cell>
          <cell r="I660" t="str">
            <v>X5133ZAA</v>
          </cell>
        </row>
        <row r="661">
          <cell r="A661" t="str">
            <v>X0174</v>
          </cell>
          <cell r="B661" t="str">
            <v>CORDOBA</v>
          </cell>
          <cell r="C661" t="str">
            <v>RIO SEGUNDO</v>
          </cell>
          <cell r="D661" t="str">
            <v>SANTIAGO TEMPLE</v>
          </cell>
          <cell r="E661" t="str">
            <v>LEOPOLDO LUGONES</v>
          </cell>
          <cell r="F661">
            <v>1105</v>
          </cell>
          <cell r="H661" t="str">
            <v>SANTIAGO TEMPLE</v>
          </cell>
          <cell r="I661" t="str">
            <v>X5124ZAA</v>
          </cell>
        </row>
        <row r="662">
          <cell r="A662" t="str">
            <v>X0176</v>
          </cell>
          <cell r="B662" t="str">
            <v>CORDOBA</v>
          </cell>
          <cell r="C662" t="str">
            <v>SAN JUSTO</v>
          </cell>
          <cell r="D662" t="str">
            <v>SATURNINO M LASPIUR</v>
          </cell>
          <cell r="E662" t="str">
            <v>AV DR LAMELAS</v>
          </cell>
          <cell r="F662">
            <v>98</v>
          </cell>
          <cell r="H662" t="str">
            <v>SATURNINO MARIA LASPIUR</v>
          </cell>
          <cell r="I662" t="str">
            <v>X5943ZAB</v>
          </cell>
        </row>
        <row r="663">
          <cell r="A663" t="str">
            <v>X0180</v>
          </cell>
          <cell r="B663" t="str">
            <v>CORDOBA</v>
          </cell>
          <cell r="C663" t="str">
            <v>CRUZ DEL EJE</v>
          </cell>
          <cell r="D663" t="str">
            <v>SERREZUELA</v>
          </cell>
          <cell r="E663" t="str">
            <v>GRAL PAZ</v>
          </cell>
          <cell r="F663">
            <v>152</v>
          </cell>
          <cell r="H663" t="str">
            <v>SERREZUELA</v>
          </cell>
          <cell r="I663" t="str">
            <v>X5270ZAA</v>
          </cell>
        </row>
        <row r="664">
          <cell r="A664" t="str">
            <v>X0182</v>
          </cell>
          <cell r="B664" t="str">
            <v>CORDOBA</v>
          </cell>
          <cell r="C664" t="str">
            <v>PUNILLA</v>
          </cell>
          <cell r="D664" t="str">
            <v>TANTI</v>
          </cell>
          <cell r="E664" t="str">
            <v>SAN MARTIN</v>
          </cell>
          <cell r="F664">
            <v>314</v>
          </cell>
          <cell r="H664" t="str">
            <v>TANTI</v>
          </cell>
          <cell r="I664" t="str">
            <v>X5155ZAA</v>
          </cell>
        </row>
        <row r="665">
          <cell r="A665" t="str">
            <v>X0184</v>
          </cell>
          <cell r="B665" t="str">
            <v>CORDOBA</v>
          </cell>
          <cell r="C665" t="str">
            <v>SAN JUSTO</v>
          </cell>
          <cell r="D665" t="str">
            <v>TRANSITO</v>
          </cell>
          <cell r="E665" t="str">
            <v>LOPEZ MARTI</v>
          </cell>
          <cell r="F665">
            <v>111</v>
          </cell>
          <cell r="H665" t="str">
            <v>TRÃNSITO</v>
          </cell>
          <cell r="I665" t="str">
            <v>X2436ZAA</v>
          </cell>
        </row>
        <row r="666">
          <cell r="A666" t="str">
            <v>X0188</v>
          </cell>
          <cell r="B666" t="str">
            <v>CORDOBA</v>
          </cell>
          <cell r="C666" t="str">
            <v>COLON</v>
          </cell>
          <cell r="D666" t="str">
            <v>UNQUILLO</v>
          </cell>
          <cell r="E666" t="str">
            <v>AV SAN MARTIN</v>
          </cell>
          <cell r="F666">
            <v>2035</v>
          </cell>
          <cell r="H666" t="str">
            <v>UNQUILLO</v>
          </cell>
          <cell r="I666" t="str">
            <v>X5109ZAA</v>
          </cell>
        </row>
        <row r="667">
          <cell r="A667" t="str">
            <v>X0192</v>
          </cell>
          <cell r="B667" t="str">
            <v>CORDOBA</v>
          </cell>
          <cell r="C667" t="str">
            <v>COLON</v>
          </cell>
          <cell r="D667" t="str">
            <v>VILLA ALLENDE</v>
          </cell>
          <cell r="E667" t="str">
            <v>AV ELPIDIO GONZALEZ</v>
          </cell>
          <cell r="F667">
            <v>61</v>
          </cell>
          <cell r="H667" t="str">
            <v>VILLA ALLENDE</v>
          </cell>
          <cell r="I667" t="str">
            <v>X5105ZAA</v>
          </cell>
        </row>
        <row r="668">
          <cell r="A668" t="str">
            <v>X0194</v>
          </cell>
          <cell r="B668" t="str">
            <v>CORDOBA</v>
          </cell>
          <cell r="C668" t="str">
            <v>PUNILLA</v>
          </cell>
          <cell r="D668" t="str">
            <v>VILLA CARLOS PAZ</v>
          </cell>
          <cell r="E668" t="str">
            <v>SAN MARTIN</v>
          </cell>
          <cell r="F668">
            <v>199</v>
          </cell>
          <cell r="H668" t="str">
            <v>VILLA CARLOS PAZ</v>
          </cell>
          <cell r="I668" t="str">
            <v>X5152ZAA</v>
          </cell>
        </row>
        <row r="669">
          <cell r="A669" t="str">
            <v>X0196</v>
          </cell>
          <cell r="B669" t="str">
            <v>CORDOBA</v>
          </cell>
          <cell r="C669" t="str">
            <v>SAN JUSTO</v>
          </cell>
          <cell r="D669" t="str">
            <v>VILLA CONCEPCION DEL TIO</v>
          </cell>
          <cell r="E669" t="str">
            <v>GRAL PAZ</v>
          </cell>
          <cell r="F669">
            <v>495</v>
          </cell>
          <cell r="H669" t="str">
            <v>VILLA CONCEPCION DEL TIO</v>
          </cell>
          <cell r="I669" t="str">
            <v>X2433ZAA</v>
          </cell>
        </row>
        <row r="670">
          <cell r="A670" t="str">
            <v>X0198</v>
          </cell>
          <cell r="B670" t="str">
            <v>CORDOBA</v>
          </cell>
          <cell r="C670" t="str">
            <v>RIO SECO</v>
          </cell>
          <cell r="D670" t="str">
            <v>VILLA DE MARIA</v>
          </cell>
          <cell r="E670" t="str">
            <v>9 DE JULIO</v>
          </cell>
          <cell r="F670">
            <v>46</v>
          </cell>
          <cell r="H670" t="str">
            <v>VILLA MARIA DEL RIO SECO</v>
          </cell>
          <cell r="I670" t="str">
            <v>X5248ZAA</v>
          </cell>
        </row>
        <row r="671">
          <cell r="A671" t="str">
            <v>X0200</v>
          </cell>
          <cell r="B671" t="str">
            <v>CORDOBA</v>
          </cell>
          <cell r="C671" t="str">
            <v>CRUZ DEL EJE</v>
          </cell>
          <cell r="D671" t="str">
            <v>VILLA DE SOTO</v>
          </cell>
          <cell r="E671" t="str">
            <v>GRAL SAN MARTIN</v>
          </cell>
          <cell r="F671">
            <v>505</v>
          </cell>
          <cell r="H671" t="str">
            <v>VILLA DE SOTO</v>
          </cell>
          <cell r="I671" t="str">
            <v>X5284ZAB</v>
          </cell>
        </row>
        <row r="672">
          <cell r="A672" t="str">
            <v>X0202</v>
          </cell>
          <cell r="B672" t="str">
            <v>CORDOBA</v>
          </cell>
          <cell r="C672" t="str">
            <v>RIO SEGUNDO</v>
          </cell>
          <cell r="D672" t="str">
            <v>VILLA DEL ROSARIO</v>
          </cell>
          <cell r="E672" t="str">
            <v>OBISPO FERREYRA</v>
          </cell>
          <cell r="F672">
            <v>905</v>
          </cell>
          <cell r="H672" t="str">
            <v>VILLA DEL ROSARIO</v>
          </cell>
          <cell r="I672" t="str">
            <v>X5963ZAA</v>
          </cell>
        </row>
        <row r="673">
          <cell r="A673" t="str">
            <v>X0204</v>
          </cell>
          <cell r="B673" t="str">
            <v>CORDOBA</v>
          </cell>
          <cell r="C673" t="str">
            <v>TOTORAL</v>
          </cell>
          <cell r="D673" t="str">
            <v>VILLA DEL TOTORAL</v>
          </cell>
          <cell r="E673" t="str">
            <v>DIOGENES MOYANO</v>
          </cell>
          <cell r="F673">
            <v>745</v>
          </cell>
          <cell r="H673" t="str">
            <v>VILLA DEL TOTORAL</v>
          </cell>
          <cell r="I673" t="str">
            <v>X5236ZAA</v>
          </cell>
        </row>
        <row r="674">
          <cell r="A674" t="str">
            <v>X0210</v>
          </cell>
          <cell r="B674" t="str">
            <v>CORDOBA</v>
          </cell>
          <cell r="C674" t="str">
            <v>SAN JAVIER</v>
          </cell>
          <cell r="D674" t="str">
            <v>VILLA DOLORES</v>
          </cell>
          <cell r="E674" t="str">
            <v>ITALIA</v>
          </cell>
          <cell r="F674">
            <v>299</v>
          </cell>
          <cell r="H674" t="str">
            <v>VILLA DOLORES</v>
          </cell>
          <cell r="I674" t="str">
            <v>X5870ZAA</v>
          </cell>
        </row>
        <row r="675">
          <cell r="A675" t="str">
            <v>X0212</v>
          </cell>
          <cell r="B675" t="str">
            <v>CORDOBA</v>
          </cell>
          <cell r="C675" t="str">
            <v>SOBREMONTE</v>
          </cell>
          <cell r="D675" t="str">
            <v>SAN FRANCISCO DEL CHAÃ‘AR</v>
          </cell>
          <cell r="E675" t="str">
            <v>ALBERDI</v>
          </cell>
          <cell r="F675">
            <v>0</v>
          </cell>
          <cell r="H675" t="str">
            <v>SAN FRANCISCO DEL CHANAR</v>
          </cell>
          <cell r="I675" t="str">
            <v>X5209ZAA</v>
          </cell>
        </row>
        <row r="676">
          <cell r="A676" t="str">
            <v>X0214</v>
          </cell>
          <cell r="B676" t="str">
            <v>CORDOBA</v>
          </cell>
          <cell r="C676" t="str">
            <v>SANTA MARIA</v>
          </cell>
          <cell r="D676" t="str">
            <v>MALAGUEÃ‘O</v>
          </cell>
          <cell r="E676" t="str">
            <v>GRAL FRANCISCO RAMIREZ</v>
          </cell>
          <cell r="F676">
            <v>518</v>
          </cell>
          <cell r="H676" t="str">
            <v>MALAGUEÃ‘O</v>
          </cell>
          <cell r="I676" t="str">
            <v>X4687ZAA</v>
          </cell>
        </row>
        <row r="677">
          <cell r="A677" t="str">
            <v>X0300</v>
          </cell>
          <cell r="B677" t="str">
            <v>CORDOBA</v>
          </cell>
          <cell r="C677" t="str">
            <v>RIO CUARTO</v>
          </cell>
          <cell r="D677" t="str">
            <v>RIO CUARTO</v>
          </cell>
          <cell r="E677" t="str">
            <v>GRAL PAZ</v>
          </cell>
          <cell r="F677">
            <v>624</v>
          </cell>
          <cell r="H677" t="str">
            <v>RIO CUARTO</v>
          </cell>
          <cell r="I677" t="str">
            <v>X5806ZAB</v>
          </cell>
        </row>
        <row r="678">
          <cell r="A678" t="str">
            <v>X0302</v>
          </cell>
          <cell r="B678" t="str">
            <v>CORDOBA</v>
          </cell>
          <cell r="C678" t="str">
            <v>RIO CUARTO</v>
          </cell>
          <cell r="D678" t="str">
            <v>RIO CUARTO</v>
          </cell>
          <cell r="E678" t="str">
            <v>ENTRE RIOS</v>
          </cell>
          <cell r="F678">
            <v>484</v>
          </cell>
          <cell r="H678" t="str">
            <v>RIO CUARTO 1 ALBERDI</v>
          </cell>
          <cell r="I678" t="str">
            <v>X5808ZAA</v>
          </cell>
        </row>
        <row r="679">
          <cell r="A679" t="str">
            <v>X0303</v>
          </cell>
          <cell r="B679" t="str">
            <v>CORDOBA</v>
          </cell>
          <cell r="C679" t="str">
            <v>RIO CUARTO</v>
          </cell>
          <cell r="D679" t="str">
            <v>RIO CUARTO</v>
          </cell>
          <cell r="E679" t="str">
            <v>AV DR AMADEO SABATTINI</v>
          </cell>
          <cell r="F679">
            <v>1982</v>
          </cell>
          <cell r="H679" t="str">
            <v>RIO CUARTO 5</v>
          </cell>
          <cell r="I679" t="str">
            <v>X5806ZAA</v>
          </cell>
        </row>
        <row r="680">
          <cell r="A680" t="str">
            <v>X0304</v>
          </cell>
          <cell r="B680" t="str">
            <v>CORDOBA</v>
          </cell>
          <cell r="C680" t="str">
            <v>RIO CUARTO</v>
          </cell>
          <cell r="D680" t="str">
            <v>RIO CUARTO</v>
          </cell>
          <cell r="E680" t="str">
            <v>MARTIRES RIOCUARTENSES</v>
          </cell>
          <cell r="F680">
            <v>1044</v>
          </cell>
          <cell r="H680" t="str">
            <v>RIO CUARTO 4</v>
          </cell>
          <cell r="I680" t="str">
            <v>X5802ZAB</v>
          </cell>
        </row>
        <row r="681">
          <cell r="A681" t="str">
            <v>X0305</v>
          </cell>
          <cell r="B681" t="str">
            <v>CORDOBA</v>
          </cell>
          <cell r="C681" t="str">
            <v>RIO CUARTO</v>
          </cell>
          <cell r="D681" t="str">
            <v>ACHIRAS</v>
          </cell>
          <cell r="E681" t="str">
            <v>DOMINGO SARMIENTO</v>
          </cell>
          <cell r="F681">
            <v>151</v>
          </cell>
          <cell r="H681" t="str">
            <v>ACHIRAS</v>
          </cell>
          <cell r="I681" t="str">
            <v>X5833ZAA</v>
          </cell>
        </row>
        <row r="682">
          <cell r="A682" t="str">
            <v>X0306</v>
          </cell>
          <cell r="B682" t="str">
            <v>CORDOBA</v>
          </cell>
          <cell r="C682" t="str">
            <v>RIO CUARTO</v>
          </cell>
          <cell r="D682" t="str">
            <v>ADELIA MARIA</v>
          </cell>
          <cell r="E682" t="str">
            <v>AV GRAL SAN MARTIN</v>
          </cell>
          <cell r="F682">
            <v>178</v>
          </cell>
          <cell r="H682" t="str">
            <v>ADELIA MARIA</v>
          </cell>
          <cell r="I682" t="str">
            <v>X5843ZAA</v>
          </cell>
        </row>
        <row r="683">
          <cell r="A683" t="str">
            <v>X0307</v>
          </cell>
          <cell r="B683" t="str">
            <v>CORDOBA</v>
          </cell>
          <cell r="C683" t="str">
            <v>JUAREZ CELMAN</v>
          </cell>
          <cell r="D683" t="str">
            <v>ALEJANDRO ROCA</v>
          </cell>
          <cell r="E683" t="str">
            <v>DR VELEZ SARSFIELD</v>
          </cell>
          <cell r="F683">
            <v>110</v>
          </cell>
          <cell r="H683" t="str">
            <v>ALEJANDRO</v>
          </cell>
          <cell r="I683" t="str">
            <v>X2686ZAA</v>
          </cell>
        </row>
        <row r="684">
          <cell r="A684" t="str">
            <v>X0308</v>
          </cell>
          <cell r="B684" t="str">
            <v>CORDOBA</v>
          </cell>
          <cell r="C684" t="str">
            <v>MARCOS JUAREZ</v>
          </cell>
          <cell r="D684" t="str">
            <v>ALEJO LEDESMA</v>
          </cell>
          <cell r="E684" t="str">
            <v>AV SARMIENTO</v>
          </cell>
          <cell r="F684">
            <v>698</v>
          </cell>
          <cell r="H684" t="str">
            <v>ALEJO LEDESMA</v>
          </cell>
          <cell r="I684" t="str">
            <v>X2662ZAA</v>
          </cell>
        </row>
        <row r="685">
          <cell r="A685" t="str">
            <v>X0310</v>
          </cell>
          <cell r="B685" t="str">
            <v>CORDOBA</v>
          </cell>
          <cell r="C685" t="str">
            <v>MARCOS JUAREZ</v>
          </cell>
          <cell r="D685" t="str">
            <v>ARIAS</v>
          </cell>
          <cell r="E685" t="str">
            <v>AV GRAL SAN MARTIN</v>
          </cell>
          <cell r="F685">
            <v>1053</v>
          </cell>
          <cell r="H685" t="str">
            <v>ARIAS</v>
          </cell>
          <cell r="I685" t="str">
            <v>X2624ZAA</v>
          </cell>
        </row>
        <row r="686">
          <cell r="A686" t="str">
            <v>X0312</v>
          </cell>
          <cell r="B686" t="str">
            <v>CORDOBA</v>
          </cell>
          <cell r="C686" t="str">
            <v>GENERAL SAN MARTIN</v>
          </cell>
          <cell r="D686" t="str">
            <v>ARROYO CABRAL</v>
          </cell>
          <cell r="E686" t="str">
            <v>25 DE MAYO</v>
          </cell>
          <cell r="F686">
            <v>684</v>
          </cell>
          <cell r="H686" t="str">
            <v>ARROYO CABRAL</v>
          </cell>
          <cell r="I686" t="str">
            <v>X5917ZAA</v>
          </cell>
        </row>
        <row r="687">
          <cell r="A687" t="str">
            <v>X0314</v>
          </cell>
          <cell r="B687" t="str">
            <v>CORDOBA</v>
          </cell>
          <cell r="C687" t="str">
            <v>TERCERO ARRIBA</v>
          </cell>
          <cell r="D687" t="str">
            <v>ALMAFUERTE</v>
          </cell>
          <cell r="E687" t="str">
            <v>PEDRO C MOLINA</v>
          </cell>
          <cell r="F687">
            <v>1104</v>
          </cell>
          <cell r="H687" t="str">
            <v>ALMAFUERTE</v>
          </cell>
          <cell r="I687" t="str">
            <v>X5854ZAA</v>
          </cell>
        </row>
        <row r="688">
          <cell r="A688" t="str">
            <v>X0316</v>
          </cell>
          <cell r="B688" t="str">
            <v>CORDOBA</v>
          </cell>
          <cell r="C688" t="str">
            <v>UNION</v>
          </cell>
          <cell r="D688" t="str">
            <v>BALLESTEROS</v>
          </cell>
          <cell r="E688" t="str">
            <v>REP ARGENTINA</v>
          </cell>
          <cell r="F688">
            <v>107</v>
          </cell>
          <cell r="H688" t="str">
            <v>BALLESTEROS</v>
          </cell>
          <cell r="I688" t="str">
            <v>X2572ZAA</v>
          </cell>
        </row>
        <row r="689">
          <cell r="A689" t="str">
            <v>X0318</v>
          </cell>
          <cell r="B689" t="str">
            <v>CORDOBA</v>
          </cell>
          <cell r="C689" t="str">
            <v>UNION</v>
          </cell>
          <cell r="D689" t="str">
            <v>BELL VILLE</v>
          </cell>
          <cell r="E689" t="str">
            <v>CORDOBA</v>
          </cell>
          <cell r="F689">
            <v>599</v>
          </cell>
          <cell r="H689" t="str">
            <v>BELL VILLE</v>
          </cell>
          <cell r="I689" t="str">
            <v>X2550ZAA</v>
          </cell>
        </row>
        <row r="690">
          <cell r="A690" t="str">
            <v>X0324</v>
          </cell>
          <cell r="B690" t="str">
            <v>CORDOBA</v>
          </cell>
          <cell r="C690" t="str">
            <v>RIO CUARTO</v>
          </cell>
          <cell r="D690" t="str">
            <v>BERROTARAN</v>
          </cell>
          <cell r="E690" t="str">
            <v>FRAY M ESQUIU</v>
          </cell>
          <cell r="F690">
            <v>110</v>
          </cell>
          <cell r="H690" t="str">
            <v>BERROTARAN</v>
          </cell>
          <cell r="I690" t="str">
            <v>X5817ZAA</v>
          </cell>
        </row>
        <row r="691">
          <cell r="A691" t="str">
            <v>X0326</v>
          </cell>
          <cell r="B691" t="str">
            <v>CORDOBA</v>
          </cell>
          <cell r="C691" t="str">
            <v>MARCOS JUAREZ</v>
          </cell>
          <cell r="D691" t="str">
            <v>CAMILO ALDAO</v>
          </cell>
          <cell r="E691" t="str">
            <v>GRAL M BELGRANO</v>
          </cell>
          <cell r="F691">
            <v>945</v>
          </cell>
          <cell r="H691" t="str">
            <v>CAMILO ALDAO</v>
          </cell>
          <cell r="I691" t="str">
            <v>X2585ZAA</v>
          </cell>
        </row>
        <row r="692">
          <cell r="A692" t="str">
            <v>X0328</v>
          </cell>
          <cell r="B692" t="str">
            <v>CORDOBA</v>
          </cell>
          <cell r="C692" t="str">
            <v>UNION</v>
          </cell>
          <cell r="D692" t="str">
            <v>CANALS</v>
          </cell>
          <cell r="E692" t="str">
            <v>VELEZ SARSFIELD</v>
          </cell>
          <cell r="F692">
            <v>99</v>
          </cell>
          <cell r="H692" t="str">
            <v>CANALS</v>
          </cell>
          <cell r="I692" t="str">
            <v>X2650ZAA</v>
          </cell>
        </row>
        <row r="693">
          <cell r="A693" t="str">
            <v>X0330</v>
          </cell>
          <cell r="B693" t="str">
            <v>CORDOBA</v>
          </cell>
          <cell r="C693" t="str">
            <v>GENERAL SAN MARTIN</v>
          </cell>
          <cell r="D693" t="str">
            <v>CHAZON</v>
          </cell>
          <cell r="E693" t="str">
            <v>CALLE 14</v>
          </cell>
          <cell r="F693">
            <v>235</v>
          </cell>
          <cell r="H693" t="str">
            <v>CHAZON</v>
          </cell>
          <cell r="I693" t="str">
            <v>X2675ZAA</v>
          </cell>
        </row>
        <row r="694">
          <cell r="A694" t="str">
            <v>X0331</v>
          </cell>
          <cell r="B694" t="str">
            <v>CORDOBA</v>
          </cell>
          <cell r="C694" t="str">
            <v>UNION</v>
          </cell>
          <cell r="D694" t="str">
            <v>CINTRA</v>
          </cell>
          <cell r="E694" t="str">
            <v>GOB JOSE A CEBALLOS</v>
          </cell>
          <cell r="F694">
            <v>460</v>
          </cell>
          <cell r="H694" t="str">
            <v>CINTRA</v>
          </cell>
          <cell r="I694" t="str">
            <v>X2559ZAA</v>
          </cell>
        </row>
        <row r="695">
          <cell r="A695" t="str">
            <v>X0334</v>
          </cell>
          <cell r="B695" t="str">
            <v>CORDOBA</v>
          </cell>
          <cell r="C695" t="str">
            <v>RIO CUARTO</v>
          </cell>
          <cell r="D695" t="str">
            <v>CORONEL MOLDES</v>
          </cell>
          <cell r="E695" t="str">
            <v>URUGUAY</v>
          </cell>
          <cell r="F695">
            <v>198</v>
          </cell>
          <cell r="H695" t="str">
            <v>CORONEL MOLDES</v>
          </cell>
          <cell r="I695" t="str">
            <v>X5847ZAA</v>
          </cell>
        </row>
        <row r="696">
          <cell r="A696" t="str">
            <v>X0336</v>
          </cell>
          <cell r="B696" t="str">
            <v>CORDOBA</v>
          </cell>
          <cell r="C696" t="str">
            <v>MARCOS JUAREZ</v>
          </cell>
          <cell r="D696" t="str">
            <v>CORRAL DE BUSTOS</v>
          </cell>
          <cell r="E696" t="str">
            <v>CORDOBA</v>
          </cell>
          <cell r="F696">
            <v>470</v>
          </cell>
          <cell r="H696" t="str">
            <v>CORRAL DE BUSTOS</v>
          </cell>
          <cell r="I696" t="str">
            <v>X2645ZAA</v>
          </cell>
        </row>
        <row r="697">
          <cell r="A697" t="str">
            <v>X0338</v>
          </cell>
          <cell r="B697" t="str">
            <v>CORDOBA</v>
          </cell>
          <cell r="C697" t="str">
            <v>MARCOS JUAREZ</v>
          </cell>
          <cell r="D697" t="str">
            <v>CRUZ ALTA</v>
          </cell>
          <cell r="E697" t="str">
            <v>ANGEL COLOCCINI</v>
          </cell>
          <cell r="F697">
            <v>840</v>
          </cell>
          <cell r="H697" t="str">
            <v>CRUZ ALTA</v>
          </cell>
          <cell r="I697" t="str">
            <v>X2189ZAA</v>
          </cell>
        </row>
        <row r="698">
          <cell r="A698" t="str">
            <v>X0342</v>
          </cell>
          <cell r="B698" t="str">
            <v>CORDOBA</v>
          </cell>
          <cell r="C698" t="str">
            <v>GENERAL ROCA</v>
          </cell>
          <cell r="D698" t="str">
            <v>DEL CAMPILLO</v>
          </cell>
          <cell r="E698" t="str">
            <v>DR DANIEL MORRA</v>
          </cell>
          <cell r="F698">
            <v>137</v>
          </cell>
          <cell r="H698" t="str">
            <v>DEL CAMPILLO</v>
          </cell>
          <cell r="I698" t="str">
            <v>X6271ZAA</v>
          </cell>
        </row>
        <row r="699">
          <cell r="A699" t="str">
            <v>X0344</v>
          </cell>
          <cell r="B699" t="str">
            <v>CORDOBA</v>
          </cell>
          <cell r="C699" t="str">
            <v>CALAMUCHITA</v>
          </cell>
          <cell r="D699" t="str">
            <v>EMBALSE</v>
          </cell>
          <cell r="E699" t="str">
            <v>LOS AROMILLOS</v>
          </cell>
          <cell r="F699">
            <v>163</v>
          </cell>
          <cell r="H699" t="str">
            <v>EMBALSE</v>
          </cell>
          <cell r="I699" t="str">
            <v>X5856ZAA</v>
          </cell>
        </row>
        <row r="700">
          <cell r="A700" t="str">
            <v>X0346</v>
          </cell>
          <cell r="B700" t="str">
            <v>CORDOBA</v>
          </cell>
          <cell r="C700" t="str">
            <v>RIO CUARTO</v>
          </cell>
          <cell r="D700" t="str">
            <v>ELENA</v>
          </cell>
          <cell r="E700" t="str">
            <v>CORDOBA</v>
          </cell>
          <cell r="F700">
            <v>391</v>
          </cell>
          <cell r="H700" t="str">
            <v>ELENA</v>
          </cell>
          <cell r="I700" t="str">
            <v>X5815ZAA</v>
          </cell>
        </row>
        <row r="701">
          <cell r="A701" t="str">
            <v>X0348</v>
          </cell>
          <cell r="B701" t="str">
            <v>CORDOBA</v>
          </cell>
          <cell r="C701" t="str">
            <v>GENERAL SAN MARTIN</v>
          </cell>
          <cell r="D701" t="str">
            <v>ETRURIA</v>
          </cell>
          <cell r="E701" t="str">
            <v>PEDRO PELLESCHI</v>
          </cell>
          <cell r="F701">
            <v>470</v>
          </cell>
          <cell r="H701" t="str">
            <v>ETRURIA</v>
          </cell>
          <cell r="I701" t="str">
            <v>X2681ZAA</v>
          </cell>
        </row>
        <row r="702">
          <cell r="A702" t="str">
            <v>X0350</v>
          </cell>
          <cell r="B702" t="str">
            <v>CORDOBA</v>
          </cell>
          <cell r="C702" t="str">
            <v>MARCOS JUAREZ</v>
          </cell>
          <cell r="D702" t="str">
            <v>GENERAL BALDISSERA</v>
          </cell>
          <cell r="E702" t="str">
            <v>GRAL SAN MARTIN</v>
          </cell>
          <cell r="F702">
            <v>370</v>
          </cell>
          <cell r="H702" t="str">
            <v>GENERAL BALDISSERA</v>
          </cell>
          <cell r="I702" t="str">
            <v>X2583ZAA</v>
          </cell>
        </row>
        <row r="703">
          <cell r="A703" t="str">
            <v>X0352</v>
          </cell>
          <cell r="B703" t="str">
            <v>CORDOBA</v>
          </cell>
          <cell r="C703" t="str">
            <v>JUAREZ CELMAN</v>
          </cell>
          <cell r="D703" t="str">
            <v>GENERAL CABRERA</v>
          </cell>
          <cell r="E703" t="str">
            <v>25 DE MAYO</v>
          </cell>
          <cell r="F703">
            <v>754</v>
          </cell>
          <cell r="H703" t="str">
            <v>GENERAL CABRERA</v>
          </cell>
          <cell r="I703" t="str">
            <v>X5809ZAA</v>
          </cell>
        </row>
        <row r="704">
          <cell r="A704" t="str">
            <v>X0354</v>
          </cell>
          <cell r="B704" t="str">
            <v>CORDOBA</v>
          </cell>
          <cell r="C704" t="str">
            <v>JUAREZ CELMAN</v>
          </cell>
          <cell r="D704" t="str">
            <v>GENERAL DEHEZA</v>
          </cell>
          <cell r="E704" t="str">
            <v>GRAL CORNELIO SAAVEDRA</v>
          </cell>
          <cell r="F704">
            <v>205</v>
          </cell>
          <cell r="H704" t="str">
            <v>GENERAL DEHEZA</v>
          </cell>
          <cell r="I704" t="str">
            <v>X5923ZAA</v>
          </cell>
        </row>
        <row r="705">
          <cell r="A705" t="str">
            <v>X0356</v>
          </cell>
          <cell r="B705" t="str">
            <v>CORDOBA</v>
          </cell>
          <cell r="C705" t="str">
            <v>PRESIDENTE ROQUE SAENZ PEÃ‘A</v>
          </cell>
          <cell r="D705" t="str">
            <v>GENERAL LEVALLE</v>
          </cell>
          <cell r="E705" t="str">
            <v>CARLOS PELLEGRINI</v>
          </cell>
          <cell r="F705">
            <v>200</v>
          </cell>
          <cell r="H705" t="str">
            <v>GENERAL LEVALLE</v>
          </cell>
          <cell r="I705" t="str">
            <v>X6132ZAA</v>
          </cell>
        </row>
        <row r="706">
          <cell r="A706" t="str">
            <v>X0358</v>
          </cell>
          <cell r="B706" t="str">
            <v>CORDOBA</v>
          </cell>
          <cell r="C706" t="str">
            <v>MARCOS JUAREZ</v>
          </cell>
          <cell r="D706" t="str">
            <v>GENERAL ROCA</v>
          </cell>
          <cell r="E706" t="str">
            <v>DR NICOLAS AVELLANEDA</v>
          </cell>
          <cell r="F706">
            <v>403</v>
          </cell>
          <cell r="H706" t="str">
            <v>GENERAL ROCA</v>
          </cell>
          <cell r="I706" t="str">
            <v>X2592ZAA</v>
          </cell>
        </row>
        <row r="707">
          <cell r="A707" t="str">
            <v>X0362</v>
          </cell>
          <cell r="B707" t="str">
            <v>CORDOBA</v>
          </cell>
          <cell r="C707" t="str">
            <v>RIO CUARTO</v>
          </cell>
          <cell r="D707" t="str">
            <v>ALCIRA ESTACION GIGENA</v>
          </cell>
          <cell r="E707" t="str">
            <v>INDEPENDENCIA</v>
          </cell>
          <cell r="F707">
            <v>130</v>
          </cell>
          <cell r="H707" t="str">
            <v>GIGENA</v>
          </cell>
          <cell r="I707" t="str">
            <v>X5813ZAB</v>
          </cell>
        </row>
        <row r="708">
          <cell r="A708" t="str">
            <v>X0364</v>
          </cell>
          <cell r="B708" t="str">
            <v>CORDOBA</v>
          </cell>
          <cell r="C708" t="str">
            <v>MARCOS JUAREZ</v>
          </cell>
          <cell r="D708" t="str">
            <v>GUATIMOZIN</v>
          </cell>
          <cell r="E708" t="str">
            <v>CORRIENTES</v>
          </cell>
          <cell r="F708">
            <v>297</v>
          </cell>
          <cell r="H708" t="str">
            <v>GUATMOZIN</v>
          </cell>
          <cell r="I708" t="str">
            <v>X2627ZAA</v>
          </cell>
        </row>
        <row r="709">
          <cell r="A709" t="str">
            <v>X0366</v>
          </cell>
          <cell r="B709" t="str">
            <v>CORDOBA</v>
          </cell>
          <cell r="C709" t="str">
            <v>TERCERO ARRIBA</v>
          </cell>
          <cell r="D709" t="str">
            <v>HERNANDO</v>
          </cell>
          <cell r="E709" t="str">
            <v>DR MANUEL BELGRANO</v>
          </cell>
          <cell r="F709">
            <v>316</v>
          </cell>
          <cell r="H709" t="str">
            <v>HERNANDO</v>
          </cell>
          <cell r="I709" t="str">
            <v>X5968ZAA</v>
          </cell>
        </row>
        <row r="710">
          <cell r="A710" t="str">
            <v>X0368</v>
          </cell>
          <cell r="B710" t="str">
            <v>CORDOBA</v>
          </cell>
          <cell r="C710" t="str">
            <v>GENERAL ROCA</v>
          </cell>
          <cell r="D710" t="str">
            <v>HIPOLITO BOUCHARD</v>
          </cell>
          <cell r="E710" t="str">
            <v>AV SAN MARTIN</v>
          </cell>
          <cell r="F710">
            <v>0</v>
          </cell>
          <cell r="H710" t="str">
            <v>HIPOLITO BOUCHARD</v>
          </cell>
          <cell r="I710" t="str">
            <v>X6225ZAA</v>
          </cell>
        </row>
        <row r="711">
          <cell r="A711" t="str">
            <v>X0370</v>
          </cell>
          <cell r="B711" t="str">
            <v>CORDOBA</v>
          </cell>
          <cell r="C711" t="str">
            <v>RIO CUARTO</v>
          </cell>
          <cell r="D711" t="str">
            <v>HOLMBERG</v>
          </cell>
          <cell r="E711" t="str">
            <v>AV. GRAL PAZ 363</v>
          </cell>
          <cell r="H711" t="str">
            <v>HOLMBERG</v>
          </cell>
          <cell r="I711" t="str">
            <v>X5825ZAA</v>
          </cell>
        </row>
        <row r="712">
          <cell r="A712" t="str">
            <v>X0374</v>
          </cell>
          <cell r="B712" t="str">
            <v>CORDOBA</v>
          </cell>
          <cell r="C712" t="str">
            <v>GENERAL ROCA</v>
          </cell>
          <cell r="D712" t="str">
            <v>HUINCA RENANCO</v>
          </cell>
          <cell r="E712" t="str">
            <v>SAN LUIS</v>
          </cell>
          <cell r="F712">
            <v>26</v>
          </cell>
          <cell r="H712" t="str">
            <v>HUINCA RENANCO</v>
          </cell>
          <cell r="I712" t="str">
            <v>X6270ZAA</v>
          </cell>
        </row>
        <row r="713">
          <cell r="A713" t="str">
            <v>X0376</v>
          </cell>
          <cell r="B713" t="str">
            <v>CORDOBA</v>
          </cell>
          <cell r="C713" t="str">
            <v>UNION</v>
          </cell>
          <cell r="D713" t="str">
            <v>IDIAZABAL</v>
          </cell>
          <cell r="E713" t="str">
            <v>PTE D F SARMIENTO</v>
          </cell>
          <cell r="F713">
            <v>485</v>
          </cell>
          <cell r="H713" t="str">
            <v>IDIAZABAL</v>
          </cell>
          <cell r="I713" t="str">
            <v>X2557ZAA</v>
          </cell>
        </row>
        <row r="714">
          <cell r="A714" t="str">
            <v>X0378</v>
          </cell>
          <cell r="B714" t="str">
            <v>CORDOBA</v>
          </cell>
          <cell r="C714" t="str">
            <v>MARCOS JUAREZ</v>
          </cell>
          <cell r="D714" t="str">
            <v>INRIVILLE</v>
          </cell>
          <cell r="E714" t="str">
            <v>DR MARIANO MORENO</v>
          </cell>
          <cell r="F714">
            <v>102</v>
          </cell>
          <cell r="H714" t="str">
            <v>INRIVILLE</v>
          </cell>
          <cell r="I714" t="str">
            <v>X2587ZAA</v>
          </cell>
        </row>
        <row r="715">
          <cell r="A715" t="str">
            <v>X0380</v>
          </cell>
          <cell r="B715" t="str">
            <v>CORDOBA</v>
          </cell>
          <cell r="C715" t="str">
            <v>MARCOS JUAREZ</v>
          </cell>
          <cell r="D715" t="str">
            <v>ISLA VERDE</v>
          </cell>
          <cell r="E715" t="str">
            <v>MANUEL BELGRANO</v>
          </cell>
          <cell r="F715">
            <v>50</v>
          </cell>
          <cell r="H715" t="str">
            <v>ISLA VERDE</v>
          </cell>
          <cell r="I715" t="str">
            <v>X2661ZAA</v>
          </cell>
        </row>
        <row r="716">
          <cell r="A716" t="str">
            <v>X0382</v>
          </cell>
          <cell r="B716" t="str">
            <v>CORDOBA</v>
          </cell>
          <cell r="C716" t="str">
            <v>GENERAL ROCA</v>
          </cell>
          <cell r="D716" t="str">
            <v>ITALO</v>
          </cell>
          <cell r="E716" t="str">
            <v>MANUEL BELGRANO</v>
          </cell>
          <cell r="F716">
            <v>314</v>
          </cell>
          <cell r="H716" t="str">
            <v>ITALO</v>
          </cell>
          <cell r="I716" t="str">
            <v>X6276ZAA</v>
          </cell>
        </row>
        <row r="717">
          <cell r="A717" t="str">
            <v>X0384</v>
          </cell>
          <cell r="B717" t="str">
            <v>CORDOBA</v>
          </cell>
          <cell r="C717" t="str">
            <v>GENERAL ROCA</v>
          </cell>
          <cell r="D717" t="str">
            <v>JOVITA</v>
          </cell>
          <cell r="E717" t="str">
            <v>L N ALEM</v>
          </cell>
          <cell r="F717">
            <v>202</v>
          </cell>
          <cell r="H717" t="str">
            <v>JOVITA</v>
          </cell>
          <cell r="I717" t="str">
            <v>X6127ZAA</v>
          </cell>
        </row>
        <row r="718">
          <cell r="A718" t="str">
            <v>X0386</v>
          </cell>
          <cell r="B718" t="str">
            <v>CORDOBA</v>
          </cell>
          <cell r="C718" t="str">
            <v>UNION</v>
          </cell>
          <cell r="D718" t="str">
            <v>JUSTINIANO POSSE</v>
          </cell>
          <cell r="E718" t="str">
            <v>AV DE MAYO</v>
          </cell>
          <cell r="F718">
            <v>295</v>
          </cell>
          <cell r="H718" t="str">
            <v>JUSTINIANO POSSE</v>
          </cell>
          <cell r="I718" t="str">
            <v>X2553ZAA</v>
          </cell>
        </row>
        <row r="719">
          <cell r="A719" t="str">
            <v>X0388</v>
          </cell>
          <cell r="B719" t="str">
            <v>CORDOBA</v>
          </cell>
          <cell r="C719" t="str">
            <v>TERCERO ARRIBA</v>
          </cell>
          <cell r="D719" t="str">
            <v>JAMES CRAIK</v>
          </cell>
          <cell r="E719" t="str">
            <v>GRAL SAN MARTIN</v>
          </cell>
          <cell r="F719">
            <v>373</v>
          </cell>
          <cell r="H719" t="str">
            <v>JAMES CRAIK</v>
          </cell>
          <cell r="I719" t="str">
            <v>X5984ZAA</v>
          </cell>
        </row>
        <row r="720">
          <cell r="A720" t="str">
            <v>X0390</v>
          </cell>
          <cell r="B720" t="str">
            <v>CORDOBA</v>
          </cell>
          <cell r="C720" t="str">
            <v>CALAMUCHITA</v>
          </cell>
          <cell r="D720" t="str">
            <v>LA CRUZ</v>
          </cell>
          <cell r="E720" t="str">
            <v>SARMIENTO</v>
          </cell>
          <cell r="F720">
            <v>462</v>
          </cell>
          <cell r="H720" t="str">
            <v>LA CRUZ</v>
          </cell>
          <cell r="I720" t="str">
            <v>X5859ZAA</v>
          </cell>
        </row>
        <row r="721">
          <cell r="A721" t="str">
            <v>X0392</v>
          </cell>
          <cell r="B721" t="str">
            <v>CORDOBA</v>
          </cell>
          <cell r="C721" t="str">
            <v>GENERAL SAN MARTIN</v>
          </cell>
          <cell r="D721" t="str">
            <v>LA PLAYOSA</v>
          </cell>
          <cell r="E721" t="str">
            <v>FERNANDEZ</v>
          </cell>
          <cell r="F721">
            <v>99</v>
          </cell>
          <cell r="H721" t="str">
            <v>LA PLAYOSA</v>
          </cell>
          <cell r="I721" t="str">
            <v>X5911ZAA</v>
          </cell>
        </row>
        <row r="722">
          <cell r="A722" t="str">
            <v>X0394</v>
          </cell>
          <cell r="B722" t="str">
            <v>CORDOBA</v>
          </cell>
          <cell r="C722" t="str">
            <v>JUAREZ CELMAN</v>
          </cell>
          <cell r="D722" t="str">
            <v>LA CARLOTA</v>
          </cell>
          <cell r="E722" t="str">
            <v>GRAL PAZ</v>
          </cell>
          <cell r="F722">
            <v>1</v>
          </cell>
          <cell r="H722" t="str">
            <v>LA CARLOTA</v>
          </cell>
          <cell r="I722" t="str">
            <v>X2670ZAA</v>
          </cell>
        </row>
        <row r="723">
          <cell r="A723" t="str">
            <v>X0398</v>
          </cell>
          <cell r="B723" t="str">
            <v>CORDOBA</v>
          </cell>
          <cell r="C723" t="str">
            <v>UNION</v>
          </cell>
          <cell r="D723" t="str">
            <v>LABORDE</v>
          </cell>
          <cell r="E723" t="str">
            <v>CASTRO BARROS</v>
          </cell>
          <cell r="F723">
            <v>494</v>
          </cell>
          <cell r="H723" t="str">
            <v>LABORDE</v>
          </cell>
          <cell r="I723" t="str">
            <v>X2657ZAA</v>
          </cell>
        </row>
        <row r="724">
          <cell r="A724" t="str">
            <v>X0400</v>
          </cell>
          <cell r="B724" t="str">
            <v>CORDOBA</v>
          </cell>
          <cell r="C724" t="str">
            <v>PRESIDENTE ROQUE SAENZ PEÃ‘A</v>
          </cell>
          <cell r="D724" t="str">
            <v>LABOULAYE</v>
          </cell>
          <cell r="E724" t="str">
            <v>AV INDEPENDENCIA</v>
          </cell>
          <cell r="F724">
            <v>266</v>
          </cell>
          <cell r="H724" t="str">
            <v>LABOULAYE</v>
          </cell>
          <cell r="I724" t="str">
            <v>X6120ZAA</v>
          </cell>
        </row>
        <row r="725">
          <cell r="A725" t="str">
            <v>X0404</v>
          </cell>
          <cell r="B725" t="str">
            <v>CORDOBA</v>
          </cell>
          <cell r="C725" t="str">
            <v>TERCERO ARRIBA</v>
          </cell>
          <cell r="D725" t="str">
            <v>LAS PERDICES</v>
          </cell>
          <cell r="E725" t="str">
            <v>B RIVADAVIA</v>
          </cell>
          <cell r="F725">
            <v>751</v>
          </cell>
          <cell r="H725" t="str">
            <v>LAS PERDICES</v>
          </cell>
          <cell r="I725" t="str">
            <v>X5921ZAA</v>
          </cell>
        </row>
        <row r="726">
          <cell r="A726" t="str">
            <v>X0406</v>
          </cell>
          <cell r="B726" t="str">
            <v>CORDOBA</v>
          </cell>
          <cell r="C726" t="str">
            <v>MARCOS JUAREZ</v>
          </cell>
          <cell r="D726" t="str">
            <v>LEONES</v>
          </cell>
          <cell r="E726" t="str">
            <v>RAMON INFANTES</v>
          </cell>
          <cell r="F726">
            <v>495</v>
          </cell>
          <cell r="H726" t="str">
            <v>LEONES</v>
          </cell>
          <cell r="I726" t="str">
            <v>X2594ZAA</v>
          </cell>
        </row>
        <row r="727">
          <cell r="A727" t="str">
            <v>X0408</v>
          </cell>
          <cell r="B727" t="str">
            <v>CORDOBA</v>
          </cell>
          <cell r="C727" t="str">
            <v>MARCOS JUAREZ</v>
          </cell>
          <cell r="D727" t="str">
            <v>LOS SURGENTES</v>
          </cell>
          <cell r="E727" t="str">
            <v>GDOR GARZON</v>
          </cell>
          <cell r="F727">
            <v>598</v>
          </cell>
          <cell r="H727" t="str">
            <v>LOS SURGENTES</v>
          </cell>
          <cell r="I727" t="str">
            <v>X2581ZAA</v>
          </cell>
        </row>
        <row r="728">
          <cell r="A728" t="str">
            <v>X0410</v>
          </cell>
          <cell r="B728" t="str">
            <v>CORDOBA</v>
          </cell>
          <cell r="C728" t="str">
            <v>CALAMUCHITA</v>
          </cell>
          <cell r="D728" t="str">
            <v>LOS CONDORES</v>
          </cell>
          <cell r="E728" t="str">
            <v>AV DON BOSCO</v>
          </cell>
          <cell r="F728">
            <v>330</v>
          </cell>
          <cell r="H728" t="str">
            <v>LOS CONDORES</v>
          </cell>
          <cell r="I728" t="str">
            <v>X5823ZAA</v>
          </cell>
        </row>
        <row r="729">
          <cell r="A729" t="str">
            <v>X0412</v>
          </cell>
          <cell r="B729" t="str">
            <v>CORDOBA</v>
          </cell>
          <cell r="C729" t="str">
            <v>RIO CUARTO</v>
          </cell>
          <cell r="D729" t="str">
            <v>LAS HIGUERAS</v>
          </cell>
          <cell r="E729" t="str">
            <v>JORGE NEWBERY</v>
          </cell>
          <cell r="F729">
            <v>174</v>
          </cell>
          <cell r="H729" t="str">
            <v>LAS HIGUERAS</v>
          </cell>
          <cell r="I729" t="str">
            <v>X5805ZAA</v>
          </cell>
        </row>
        <row r="730">
          <cell r="A730" t="str">
            <v>X0414</v>
          </cell>
          <cell r="B730" t="str">
            <v>CORDOBA</v>
          </cell>
          <cell r="C730" t="str">
            <v>MARCOS JUAREZ</v>
          </cell>
          <cell r="D730" t="str">
            <v>MARCOS JUAREZ</v>
          </cell>
          <cell r="E730" t="str">
            <v>AV L N ALEM</v>
          </cell>
          <cell r="F730">
            <v>352</v>
          </cell>
          <cell r="H730" t="str">
            <v>MARCOS JUAREZ</v>
          </cell>
          <cell r="I730" t="str">
            <v>X2580ZAA</v>
          </cell>
        </row>
        <row r="731">
          <cell r="A731" t="str">
            <v>X0416</v>
          </cell>
          <cell r="B731" t="str">
            <v>CORDOBA</v>
          </cell>
          <cell r="C731" t="str">
            <v>GENERAL ROCA</v>
          </cell>
          <cell r="D731" t="str">
            <v>MATTALDI</v>
          </cell>
          <cell r="E731" t="str">
            <v>MENDOZA</v>
          </cell>
          <cell r="F731">
            <v>301</v>
          </cell>
          <cell r="H731" t="str">
            <v>MATTALDI</v>
          </cell>
          <cell r="I731" t="str">
            <v>X6272ZAA</v>
          </cell>
        </row>
        <row r="732">
          <cell r="A732" t="str">
            <v>X0418</v>
          </cell>
          <cell r="B732" t="str">
            <v>CORDOBA</v>
          </cell>
          <cell r="C732" t="str">
            <v>MARCOS JUAREZ</v>
          </cell>
          <cell r="D732" t="str">
            <v>MONTE BUEY</v>
          </cell>
          <cell r="E732" t="str">
            <v>RIVADAVIA</v>
          </cell>
          <cell r="F732">
            <v>462</v>
          </cell>
          <cell r="H732" t="str">
            <v>MONTE BUEY</v>
          </cell>
          <cell r="I732" t="str">
            <v>X2589ZAA</v>
          </cell>
        </row>
        <row r="733">
          <cell r="A733" t="str">
            <v>X0420</v>
          </cell>
          <cell r="B733" t="str">
            <v>CORDOBA</v>
          </cell>
          <cell r="C733" t="str">
            <v>UNION</v>
          </cell>
          <cell r="D733" t="str">
            <v>MONTE MAIZ</v>
          </cell>
          <cell r="E733" t="str">
            <v>SAN SALVADOR DE JUJUY</v>
          </cell>
          <cell r="F733">
            <v>1441</v>
          </cell>
          <cell r="H733" t="str">
            <v>MONTE MAIZ</v>
          </cell>
          <cell r="I733" t="str">
            <v>X2659ZAA</v>
          </cell>
        </row>
        <row r="734">
          <cell r="A734" t="str">
            <v>X0422</v>
          </cell>
          <cell r="B734" t="str">
            <v>CORDOBA</v>
          </cell>
          <cell r="C734" t="str">
            <v>UNION</v>
          </cell>
          <cell r="D734" t="str">
            <v>MORRISON</v>
          </cell>
          <cell r="E734" t="str">
            <v>AV GRAL PAZ</v>
          </cell>
          <cell r="F734">
            <v>248</v>
          </cell>
          <cell r="H734" t="str">
            <v>MORRISON</v>
          </cell>
          <cell r="I734" t="str">
            <v>X2568ZAA</v>
          </cell>
        </row>
        <row r="735">
          <cell r="A735" t="str">
            <v>X0424</v>
          </cell>
          <cell r="B735" t="str">
            <v>CORDOBA</v>
          </cell>
          <cell r="C735" t="str">
            <v>UNION</v>
          </cell>
          <cell r="D735" t="str">
            <v>NOETINGER</v>
          </cell>
          <cell r="E735" t="str">
            <v>CALLE 1</v>
          </cell>
          <cell r="F735">
            <v>25</v>
          </cell>
          <cell r="H735" t="str">
            <v>NOETINGER</v>
          </cell>
          <cell r="I735" t="str">
            <v>X2563ZAA</v>
          </cell>
        </row>
        <row r="736">
          <cell r="A736" t="str">
            <v>X0426</v>
          </cell>
          <cell r="B736" t="str">
            <v>CORDOBA</v>
          </cell>
          <cell r="C736" t="str">
            <v>TERCERO ARRIBA</v>
          </cell>
          <cell r="D736" t="str">
            <v>OLIVA</v>
          </cell>
          <cell r="E736" t="str">
            <v>CASEROS</v>
          </cell>
          <cell r="F736">
            <v>297</v>
          </cell>
          <cell r="H736" t="str">
            <v>OLIVA</v>
          </cell>
          <cell r="I736" t="str">
            <v>X5980ZAA</v>
          </cell>
        </row>
        <row r="737">
          <cell r="A737" t="str">
            <v>X0428</v>
          </cell>
          <cell r="B737" t="str">
            <v>CORDOBA</v>
          </cell>
          <cell r="C737" t="str">
            <v>UNION</v>
          </cell>
          <cell r="D737" t="str">
            <v>ORDOÃ‘EZ</v>
          </cell>
          <cell r="E737" t="str">
            <v>CALLE 5</v>
          </cell>
          <cell r="F737">
            <v>398</v>
          </cell>
          <cell r="H737" t="str">
            <v>ORDOÃ‘EZ</v>
          </cell>
          <cell r="I737" t="str">
            <v>X2555ZAA</v>
          </cell>
        </row>
        <row r="738">
          <cell r="A738" t="str">
            <v>X0430</v>
          </cell>
          <cell r="B738" t="str">
            <v>CORDOBA</v>
          </cell>
          <cell r="C738" t="str">
            <v>UNION</v>
          </cell>
          <cell r="D738" t="str">
            <v>PASCANAS</v>
          </cell>
          <cell r="E738" t="str">
            <v>AV ARGENTINA</v>
          </cell>
          <cell r="F738">
            <v>433</v>
          </cell>
          <cell r="H738" t="str">
            <v>PASCANAS</v>
          </cell>
          <cell r="I738" t="str">
            <v>X2679ZAA</v>
          </cell>
        </row>
        <row r="739">
          <cell r="A739" t="str">
            <v>X0446</v>
          </cell>
          <cell r="B739" t="str">
            <v>CORDOBA</v>
          </cell>
          <cell r="C739" t="str">
            <v>TERCERO ARRIBA</v>
          </cell>
          <cell r="D739" t="str">
            <v>RIO TERCERO</v>
          </cell>
          <cell r="E739" t="str">
            <v>INTE DE BUONO</v>
          </cell>
          <cell r="F739">
            <v>81</v>
          </cell>
          <cell r="H739" t="str">
            <v>RIO TERCERO</v>
          </cell>
          <cell r="I739" t="str">
            <v>X5850ZAA</v>
          </cell>
        </row>
        <row r="740">
          <cell r="A740" t="str">
            <v>X0448</v>
          </cell>
          <cell r="B740" t="str">
            <v>CORDOBA</v>
          </cell>
          <cell r="C740" t="str">
            <v>CALAMUCHITA</v>
          </cell>
          <cell r="D740" t="str">
            <v>SAN AGUSTIN</v>
          </cell>
          <cell r="E740" t="str">
            <v>PTE J D PERON</v>
          </cell>
          <cell r="F740">
            <v>201</v>
          </cell>
          <cell r="H740" t="str">
            <v>SAN AGUSTIN (AG. 39)</v>
          </cell>
          <cell r="I740" t="str">
            <v>X5191ZAB</v>
          </cell>
        </row>
        <row r="741">
          <cell r="A741" t="str">
            <v>X0450</v>
          </cell>
          <cell r="B741" t="str">
            <v>CORDOBA</v>
          </cell>
          <cell r="C741" t="str">
            <v>RIO CUARTO</v>
          </cell>
          <cell r="D741" t="str">
            <v>SAMPACHO</v>
          </cell>
          <cell r="E741" t="str">
            <v>9 DE JULIO</v>
          </cell>
          <cell r="F741">
            <v>405</v>
          </cell>
          <cell r="H741" t="str">
            <v>SAMPACHO</v>
          </cell>
          <cell r="I741" t="str">
            <v>X5829ZAA</v>
          </cell>
        </row>
        <row r="742">
          <cell r="A742" t="str">
            <v>X0452</v>
          </cell>
          <cell r="B742" t="str">
            <v>CORDOBA</v>
          </cell>
          <cell r="C742" t="str">
            <v>RIO CUARTO</v>
          </cell>
          <cell r="D742" t="str">
            <v>SAN BASILIO</v>
          </cell>
          <cell r="E742" t="str">
            <v>CORDOBA</v>
          </cell>
          <cell r="F742">
            <v>45</v>
          </cell>
          <cell r="H742" t="str">
            <v>SAN BASILIO</v>
          </cell>
          <cell r="I742" t="str">
            <v>X5841ZAA</v>
          </cell>
        </row>
        <row r="743">
          <cell r="A743" t="str">
            <v>X0454</v>
          </cell>
          <cell r="B743" t="str">
            <v>CORDOBA</v>
          </cell>
          <cell r="C743" t="str">
            <v>UNION</v>
          </cell>
          <cell r="D743" t="str">
            <v>SAN MARCOS SUD</v>
          </cell>
          <cell r="E743" t="str">
            <v>SAN JOSE</v>
          </cell>
          <cell r="F743">
            <v>1100</v>
          </cell>
          <cell r="H743" t="str">
            <v>SAN MARCOS SUD</v>
          </cell>
          <cell r="I743" t="str">
            <v>X2566ZAA</v>
          </cell>
        </row>
        <row r="744">
          <cell r="A744" t="str">
            <v>X0456</v>
          </cell>
          <cell r="B744" t="str">
            <v>CORDOBA</v>
          </cell>
          <cell r="C744" t="str">
            <v>JUAREZ CELMAN</v>
          </cell>
          <cell r="D744" t="str">
            <v>SANTA EUFEMIA</v>
          </cell>
          <cell r="E744" t="str">
            <v>PEDRO PELLESCHI</v>
          </cell>
          <cell r="F744">
            <v>538</v>
          </cell>
          <cell r="H744" t="str">
            <v>SANTA EUFEMIA</v>
          </cell>
          <cell r="I744" t="str">
            <v>X2671ZAA</v>
          </cell>
        </row>
        <row r="745">
          <cell r="A745" t="str">
            <v>X0458</v>
          </cell>
          <cell r="B745" t="str">
            <v>CORDOBA</v>
          </cell>
          <cell r="C745" t="str">
            <v>PRESIDENTE ROQUE SAENZ PEÃ‘A</v>
          </cell>
          <cell r="D745" t="str">
            <v>SERRANO</v>
          </cell>
          <cell r="E745" t="str">
            <v>JUAN XXIII</v>
          </cell>
          <cell r="F745">
            <v>350</v>
          </cell>
          <cell r="H745" t="str">
            <v>SERRANO</v>
          </cell>
          <cell r="I745" t="str">
            <v>X6125ZAA</v>
          </cell>
        </row>
        <row r="746">
          <cell r="A746" t="str">
            <v>X0460</v>
          </cell>
          <cell r="B746" t="str">
            <v>CORDOBA</v>
          </cell>
          <cell r="C746" t="str">
            <v>CALAMUCHITA</v>
          </cell>
          <cell r="D746" t="str">
            <v>SANTA ROSA DE CALAMUCHITA</v>
          </cell>
          <cell r="E746" t="str">
            <v>EL NOGAL</v>
          </cell>
          <cell r="F746">
            <v>170</v>
          </cell>
          <cell r="H746" t="str">
            <v>STA. R. DE CALAMUCHITA</v>
          </cell>
          <cell r="I746" t="str">
            <v>X5196ZAA</v>
          </cell>
        </row>
        <row r="747">
          <cell r="A747" t="str">
            <v>X0462</v>
          </cell>
          <cell r="B747" t="str">
            <v>CORDOBA</v>
          </cell>
          <cell r="C747" t="str">
            <v>TERCERO ARRIBA</v>
          </cell>
          <cell r="D747" t="str">
            <v>TANCACHA</v>
          </cell>
          <cell r="E747" t="str">
            <v>BME MITRE</v>
          </cell>
          <cell r="F747">
            <v>1</v>
          </cell>
          <cell r="H747" t="str">
            <v>TANCACHA</v>
          </cell>
          <cell r="I747" t="str">
            <v>X5933ZAA</v>
          </cell>
        </row>
        <row r="748">
          <cell r="A748" t="str">
            <v>X0466</v>
          </cell>
          <cell r="B748" t="str">
            <v>CORDOBA</v>
          </cell>
          <cell r="C748" t="str">
            <v>JUAREZ CELMAN</v>
          </cell>
          <cell r="D748" t="str">
            <v>UCACHA</v>
          </cell>
          <cell r="E748" t="str">
            <v>CORRIENTES</v>
          </cell>
          <cell r="F748">
            <v>51</v>
          </cell>
          <cell r="H748" t="str">
            <v>UCACHA</v>
          </cell>
          <cell r="I748" t="str">
            <v>X2677ZAA</v>
          </cell>
        </row>
        <row r="749">
          <cell r="A749" t="str">
            <v>X0468</v>
          </cell>
          <cell r="B749" t="str">
            <v>CORDOBA</v>
          </cell>
          <cell r="C749" t="str">
            <v>TERCERO ARRIBA</v>
          </cell>
          <cell r="D749" t="str">
            <v>VILLA ASCASUBI</v>
          </cell>
          <cell r="E749" t="str">
            <v>DUSSAN ALACEVICH</v>
          </cell>
          <cell r="F749">
            <v>262</v>
          </cell>
          <cell r="H749" t="str">
            <v>VILLA ASCASUBI</v>
          </cell>
          <cell r="I749" t="str">
            <v>X5935ZAA</v>
          </cell>
        </row>
        <row r="750">
          <cell r="A750" t="str">
            <v>X0470</v>
          </cell>
          <cell r="B750" t="str">
            <v>CORDOBA</v>
          </cell>
          <cell r="C750" t="str">
            <v>RIO CUARTO</v>
          </cell>
          <cell r="D750" t="str">
            <v>VICUÃ‘A MACKENNA</v>
          </cell>
          <cell r="E750" t="str">
            <v>AV CARLOS S YDE</v>
          </cell>
          <cell r="F750">
            <v>630</v>
          </cell>
          <cell r="H750" t="str">
            <v>VICUÃ‘A MACKENNA</v>
          </cell>
          <cell r="I750" t="str">
            <v>X6140ZAA</v>
          </cell>
        </row>
        <row r="751">
          <cell r="A751" t="str">
            <v>X0472</v>
          </cell>
          <cell r="B751" t="str">
            <v>CORDOBA</v>
          </cell>
          <cell r="C751" t="str">
            <v>CALAMUCHITA</v>
          </cell>
          <cell r="D751" t="str">
            <v>VILLA DEL DIQUE</v>
          </cell>
          <cell r="E751" t="str">
            <v>SANTIAGO DEL ESTERO</v>
          </cell>
          <cell r="F751">
            <v>106</v>
          </cell>
          <cell r="H751" t="str">
            <v>VILLA DEL DIQUE</v>
          </cell>
          <cell r="I751" t="str">
            <v>X5862ZAA</v>
          </cell>
        </row>
        <row r="752">
          <cell r="A752" t="str">
            <v>X0474</v>
          </cell>
          <cell r="B752" t="str">
            <v>CORDOBA</v>
          </cell>
          <cell r="C752" t="str">
            <v>GENERAL ROCA</v>
          </cell>
          <cell r="D752" t="str">
            <v>VILLA HUIDOBRO</v>
          </cell>
          <cell r="E752" t="str">
            <v>AV MANUEL ESPINOSA</v>
          </cell>
          <cell r="F752">
            <v>300</v>
          </cell>
          <cell r="H752" t="str">
            <v>VILLA HUIDOBRO</v>
          </cell>
          <cell r="I752" t="str">
            <v>X6275ZAA</v>
          </cell>
        </row>
        <row r="753">
          <cell r="A753" t="str">
            <v>X0476</v>
          </cell>
          <cell r="B753" t="str">
            <v>CORDOBA</v>
          </cell>
          <cell r="C753" t="str">
            <v>GENERAL SAN MARTIN</v>
          </cell>
          <cell r="D753" t="str">
            <v>VILLA MARIA</v>
          </cell>
          <cell r="E753" t="str">
            <v>CATAMARCA</v>
          </cell>
          <cell r="F753">
            <v>1190</v>
          </cell>
          <cell r="H753" t="str">
            <v>VILLA MARÃA</v>
          </cell>
          <cell r="I753" t="str">
            <v>X5900ZAA</v>
          </cell>
        </row>
        <row r="754">
          <cell r="A754" t="str">
            <v>X0478</v>
          </cell>
          <cell r="B754" t="str">
            <v>CORDOBA</v>
          </cell>
          <cell r="C754" t="str">
            <v>GENERAL SAN MARTIN</v>
          </cell>
          <cell r="D754" t="str">
            <v>VILLA NUEVA</v>
          </cell>
          <cell r="E754" t="str">
            <v>MARCOS JUAREZ</v>
          </cell>
          <cell r="F754">
            <v>760</v>
          </cell>
          <cell r="H754" t="str">
            <v>VILLA NUEVA</v>
          </cell>
          <cell r="I754" t="str">
            <v>X5903ZAA</v>
          </cell>
        </row>
        <row r="755">
          <cell r="A755" t="str">
            <v>X0480</v>
          </cell>
          <cell r="B755" t="str">
            <v>CORDOBA</v>
          </cell>
          <cell r="C755" t="str">
            <v>GENERAL ROCA</v>
          </cell>
          <cell r="D755" t="str">
            <v>VILLA VALERIA</v>
          </cell>
          <cell r="E755" t="str">
            <v>LUCIO V MANSILLA</v>
          </cell>
          <cell r="F755">
            <v>995</v>
          </cell>
          <cell r="H755" t="str">
            <v>VILLA VALERIA</v>
          </cell>
          <cell r="I755" t="str">
            <v>X6273ZAA</v>
          </cell>
        </row>
        <row r="756">
          <cell r="A756" t="str">
            <v>X0482</v>
          </cell>
          <cell r="B756" t="str">
            <v>CORDOBA</v>
          </cell>
          <cell r="C756" t="str">
            <v>CALAMUCHITA</v>
          </cell>
          <cell r="D756" t="str">
            <v>VILLA GENERAL BELGRANO</v>
          </cell>
          <cell r="E756" t="str">
            <v>SAN MARTIN</v>
          </cell>
          <cell r="F756">
            <v>164</v>
          </cell>
          <cell r="H756" t="str">
            <v>VILLA GRAL. BELGRANO</v>
          </cell>
          <cell r="I756" t="str">
            <v>X5194ZAA</v>
          </cell>
        </row>
        <row r="757">
          <cell r="A757" t="str">
            <v>X0484</v>
          </cell>
          <cell r="B757" t="str">
            <v>CORDOBA</v>
          </cell>
          <cell r="C757" t="str">
            <v>CALAMUCHITA</v>
          </cell>
          <cell r="D757" t="str">
            <v>VILLA RUMIPAL</v>
          </cell>
          <cell r="E757" t="str">
            <v>AV RIEMANN</v>
          </cell>
          <cell r="F757">
            <v>599</v>
          </cell>
          <cell r="H757" t="str">
            <v>VILLA RUMIPAL</v>
          </cell>
          <cell r="I757" t="str">
            <v>X5864ZAA</v>
          </cell>
        </row>
        <row r="758">
          <cell r="A758" t="str">
            <v>X0486</v>
          </cell>
          <cell r="B758" t="str">
            <v>CORDOBA</v>
          </cell>
          <cell r="C758" t="str">
            <v>UNION</v>
          </cell>
          <cell r="D758" t="str">
            <v>WENCESLAO ESCALANTE</v>
          </cell>
          <cell r="E758" t="str">
            <v>AV ITALIA</v>
          </cell>
          <cell r="F758">
            <v>847</v>
          </cell>
          <cell r="H758" t="str">
            <v>WENCESLAO ESCALANTE</v>
          </cell>
          <cell r="I758" t="str">
            <v>X2655ZAA</v>
          </cell>
        </row>
        <row r="759">
          <cell r="A759" t="str">
            <v>X1016</v>
          </cell>
          <cell r="B759" t="str">
            <v>CORDOBA</v>
          </cell>
          <cell r="C759" t="str">
            <v>CAPITAL</v>
          </cell>
          <cell r="D759" t="str">
            <v>CORDOBA</v>
          </cell>
          <cell r="E759" t="str">
            <v>AV CONCEPCION ARENAL</v>
          </cell>
          <cell r="F759">
            <v>690</v>
          </cell>
          <cell r="H759" t="str">
            <v>TRIBUNALES FEDERALES 1 CBA</v>
          </cell>
          <cell r="I759" t="str">
            <v>X5021ZAA</v>
          </cell>
        </row>
        <row r="760">
          <cell r="A760" t="str">
            <v>X1048</v>
          </cell>
          <cell r="B760" t="str">
            <v>CORDOBA</v>
          </cell>
          <cell r="C760" t="str">
            <v>CAPITAL</v>
          </cell>
          <cell r="D760" t="str">
            <v>CORDOBA</v>
          </cell>
          <cell r="E760" t="str">
            <v>ANTONIO LOCATELLI</v>
          </cell>
          <cell r="F760">
            <v>1</v>
          </cell>
          <cell r="H760" t="str">
            <v>BARRIO LAS VIOLETAS (N 36)</v>
          </cell>
          <cell r="I760" t="str">
            <v>X5002ZAA</v>
          </cell>
        </row>
        <row r="761">
          <cell r="A761" t="str">
            <v>X1356</v>
          </cell>
          <cell r="B761" t="str">
            <v>CORDOBA</v>
          </cell>
          <cell r="C761" t="str">
            <v>RIO CUARTO</v>
          </cell>
          <cell r="D761" t="str">
            <v>RIO CUARTO</v>
          </cell>
          <cell r="E761" t="str">
            <v>R NAC 36</v>
          </cell>
          <cell r="F761">
            <v>0</v>
          </cell>
          <cell r="H761" t="str">
            <v>RIO CUARTO 3 UNIVERCIDAD</v>
          </cell>
          <cell r="I761" t="str">
            <v>X5804ZAB</v>
          </cell>
        </row>
        <row r="762">
          <cell r="A762" t="str">
            <v>X1562</v>
          </cell>
          <cell r="B762" t="str">
            <v>CORDOBA</v>
          </cell>
          <cell r="C762" t="str">
            <v>RIO SEGUNDO</v>
          </cell>
          <cell r="D762" t="str">
            <v>COLAZO</v>
          </cell>
          <cell r="E762" t="str">
            <v>LAS CUATRO HERMANAS</v>
          </cell>
          <cell r="F762">
            <v>227</v>
          </cell>
          <cell r="H762" t="str">
            <v>COLAZO</v>
          </cell>
          <cell r="I762" t="str">
            <v>X5971ZAA</v>
          </cell>
        </row>
        <row r="763">
          <cell r="A763" t="str">
            <v>X1574</v>
          </cell>
          <cell r="B763" t="str">
            <v>CORDOBA</v>
          </cell>
          <cell r="C763" t="str">
            <v>COLON</v>
          </cell>
          <cell r="D763" t="str">
            <v>COLONIA TIROLESA</v>
          </cell>
          <cell r="E763" t="str">
            <v>ARTURO H ILIA 16</v>
          </cell>
          <cell r="H763" t="str">
            <v>COLONIA TIROLESA</v>
          </cell>
          <cell r="I763" t="str">
            <v>X5000ZAI</v>
          </cell>
        </row>
        <row r="764">
          <cell r="A764" t="str">
            <v>X1690</v>
          </cell>
          <cell r="B764" t="str">
            <v>CORDOBA</v>
          </cell>
          <cell r="C764" t="str">
            <v>CRUZ DEL EJE</v>
          </cell>
          <cell r="D764" t="str">
            <v>PASO VIEJO</v>
          </cell>
          <cell r="E764" t="str">
            <v>PUBLICA</v>
          </cell>
          <cell r="F764">
            <v>1</v>
          </cell>
          <cell r="H764" t="str">
            <v>PASO VIEJO</v>
          </cell>
          <cell r="I764" t="str">
            <v>X4525ZAA</v>
          </cell>
        </row>
        <row r="765">
          <cell r="A765" t="str">
            <v>X1724</v>
          </cell>
          <cell r="B765" t="str">
            <v>CORDOBA</v>
          </cell>
          <cell r="C765" t="str">
            <v>TOTORAL</v>
          </cell>
          <cell r="D765" t="str">
            <v>SIMBOLAR</v>
          </cell>
          <cell r="E765" t="str">
            <v>PUBLICA S N</v>
          </cell>
          <cell r="H765" t="str">
            <v>SIMBOLAR</v>
          </cell>
          <cell r="I765" t="str">
            <v>X5242ZAA</v>
          </cell>
        </row>
        <row r="766">
          <cell r="A766" t="str">
            <v>X1752</v>
          </cell>
          <cell r="B766" t="str">
            <v>CORDOBA</v>
          </cell>
          <cell r="C766" t="str">
            <v>SANTA MARIA</v>
          </cell>
          <cell r="D766" t="str">
            <v>COLONIA SAN ISIDRO</v>
          </cell>
          <cell r="E766" t="str">
            <v>BUENOS AIRES S/N</v>
          </cell>
          <cell r="H766" t="str">
            <v>VILLA SAN ISIDRO</v>
          </cell>
          <cell r="I766" t="str">
            <v>X5189ZAA</v>
          </cell>
        </row>
        <row r="767">
          <cell r="A767" t="str">
            <v>X1784</v>
          </cell>
          <cell r="B767" t="str">
            <v>CORDOBA</v>
          </cell>
          <cell r="C767" t="str">
            <v>COLON</v>
          </cell>
          <cell r="D767" t="str">
            <v>MALVINAS ARGENTINAS</v>
          </cell>
          <cell r="E767" t="str">
            <v>AV GRAL SAN MARTIN</v>
          </cell>
          <cell r="F767">
            <v>401</v>
          </cell>
          <cell r="H767" t="str">
            <v>MALVINAS ARGENTINAS</v>
          </cell>
          <cell r="I767" t="str">
            <v>X5004ZAA</v>
          </cell>
        </row>
        <row r="768">
          <cell r="A768" t="str">
            <v>X5626</v>
          </cell>
          <cell r="B768" t="str">
            <v>CORDOBA</v>
          </cell>
          <cell r="C768" t="str">
            <v>CAPITAL</v>
          </cell>
          <cell r="D768" t="str">
            <v>CORDOBA</v>
          </cell>
          <cell r="E768" t="str">
            <v>AV DR AMADEO SABATTINI</v>
          </cell>
          <cell r="F768">
            <v>2680</v>
          </cell>
          <cell r="H768" t="str">
            <v>CORDOBA NÂº 21</v>
          </cell>
          <cell r="I768" t="str">
            <v>X5014ZAA</v>
          </cell>
        </row>
        <row r="769">
          <cell r="A769" t="str">
            <v>X5987</v>
          </cell>
          <cell r="B769" t="str">
            <v>CORDOBA</v>
          </cell>
          <cell r="C769" t="str">
            <v>CAPITAL</v>
          </cell>
          <cell r="D769" t="str">
            <v>CORDOBA</v>
          </cell>
          <cell r="E769" t="str">
            <v>GRAL M BELGRANO</v>
          </cell>
          <cell r="F769">
            <v>381</v>
          </cell>
          <cell r="H769" t="str">
            <v>PATIO OLMOS</v>
          </cell>
          <cell r="I769" t="str">
            <v>X5000ZAP</v>
          </cell>
        </row>
        <row r="770">
          <cell r="A770" t="str">
            <v>X6361</v>
          </cell>
          <cell r="B770" t="str">
            <v>CORDOBA</v>
          </cell>
          <cell r="C770" t="str">
            <v>GENERAL SAN MARTIN</v>
          </cell>
          <cell r="D770" t="str">
            <v>TICINO</v>
          </cell>
          <cell r="E770" t="str">
            <v>INT ROBERTO STOLL</v>
          </cell>
          <cell r="F770">
            <v>398</v>
          </cell>
          <cell r="H770" t="str">
            <v>TICINO</v>
          </cell>
          <cell r="I770" t="str">
            <v>X5966ZAB</v>
          </cell>
        </row>
        <row r="771">
          <cell r="A771" t="str">
            <v>X6567</v>
          </cell>
          <cell r="B771" t="str">
            <v>CORDOBA</v>
          </cell>
          <cell r="C771" t="str">
            <v>GENERAL SAN MARTIN</v>
          </cell>
          <cell r="D771" t="str">
            <v>VILLA MARIA</v>
          </cell>
          <cell r="E771" t="str">
            <v>AV PTE J D PERON</v>
          </cell>
          <cell r="F771">
            <v>2756</v>
          </cell>
          <cell r="H771" t="str">
            <v>VILLA MARIA 2</v>
          </cell>
          <cell r="I771" t="str">
            <v>X5900ZAJ</v>
          </cell>
        </row>
        <row r="772">
          <cell r="A772" t="str">
            <v>X6568</v>
          </cell>
          <cell r="B772" t="str">
            <v>CORDOBA</v>
          </cell>
          <cell r="C772" t="str">
            <v>GENERAL SAN MARTIN</v>
          </cell>
          <cell r="D772" t="str">
            <v>VILLA MARIA</v>
          </cell>
          <cell r="E772" t="str">
            <v>CARTAGENA</v>
          </cell>
          <cell r="F772">
            <v>690</v>
          </cell>
          <cell r="H772" t="str">
            <v>VILLA MARIA 3</v>
          </cell>
          <cell r="I772" t="str">
            <v>X5900ZAK</v>
          </cell>
        </row>
        <row r="773">
          <cell r="A773" t="str">
            <v>X6569</v>
          </cell>
          <cell r="B773" t="str">
            <v>CORDOBA</v>
          </cell>
          <cell r="C773" t="str">
            <v>GENERAL SAN MARTIN</v>
          </cell>
          <cell r="D773" t="str">
            <v>VILLA MARIA</v>
          </cell>
          <cell r="E773" t="str">
            <v>VELEZ SARSFIELD</v>
          </cell>
          <cell r="F773">
            <v>405</v>
          </cell>
          <cell r="H773" t="str">
            <v>VILLA MARIA 4</v>
          </cell>
          <cell r="I773" t="str">
            <v>X5901ZAD</v>
          </cell>
        </row>
        <row r="774">
          <cell r="A774" t="str">
            <v>X6583</v>
          </cell>
          <cell r="B774" t="str">
            <v>CORDOBA</v>
          </cell>
          <cell r="C774" t="str">
            <v>SANTA MARIA</v>
          </cell>
          <cell r="D774" t="str">
            <v>ANISACATE</v>
          </cell>
          <cell r="E774" t="str">
            <v>R PROV 5</v>
          </cell>
          <cell r="F774">
            <v>0</v>
          </cell>
          <cell r="H774" t="str">
            <v>ANISACATE</v>
          </cell>
          <cell r="I774" t="str">
            <v>X5189ZAH</v>
          </cell>
        </row>
        <row r="775">
          <cell r="A775" t="str">
            <v>X6659</v>
          </cell>
          <cell r="B775" t="str">
            <v>CORDOBA</v>
          </cell>
          <cell r="C775" t="str">
            <v>COLON</v>
          </cell>
          <cell r="D775" t="str">
            <v>SALDAN</v>
          </cell>
          <cell r="E775" t="str">
            <v>AV VELEZ SARSFIELD</v>
          </cell>
          <cell r="F775">
            <v>417</v>
          </cell>
          <cell r="H775" t="str">
            <v>SALDAN</v>
          </cell>
          <cell r="I775" t="str">
            <v>X5150ZAC</v>
          </cell>
        </row>
        <row r="776">
          <cell r="A776" t="str">
            <v>X6674</v>
          </cell>
          <cell r="B776" t="str">
            <v>CORDOBA</v>
          </cell>
          <cell r="C776" t="str">
            <v>RIO SECO</v>
          </cell>
          <cell r="D776" t="str">
            <v>SEBASTIAN ELCANO</v>
          </cell>
          <cell r="E776" t="str">
            <v>AV GRAL SAN MARTIN</v>
          </cell>
          <cell r="F776">
            <v>953</v>
          </cell>
          <cell r="H776" t="str">
            <v>SEBASTIAN ELCANO</v>
          </cell>
          <cell r="I776" t="str">
            <v>X5231ZAC</v>
          </cell>
        </row>
        <row r="777">
          <cell r="A777" t="str">
            <v>X6675</v>
          </cell>
          <cell r="B777" t="str">
            <v>CORDOBA</v>
          </cell>
          <cell r="C777" t="str">
            <v>SAN ALBERTO</v>
          </cell>
          <cell r="D777" t="str">
            <v>VILLA CURA BROCHERO</v>
          </cell>
          <cell r="E777" t="str">
            <v>RIVADAVIA</v>
          </cell>
          <cell r="F777">
            <v>288</v>
          </cell>
          <cell r="H777" t="str">
            <v>CURA BROCHERO</v>
          </cell>
          <cell r="I777" t="str">
            <v>X5891ZAB</v>
          </cell>
        </row>
        <row r="778">
          <cell r="A778" t="str">
            <v>X6676</v>
          </cell>
          <cell r="B778" t="str">
            <v>CORDOBA</v>
          </cell>
          <cell r="C778" t="str">
            <v>SANTA MARIA</v>
          </cell>
          <cell r="D778" t="str">
            <v>TOLEDO</v>
          </cell>
          <cell r="E778" t="str">
            <v>ITUZAINGO</v>
          </cell>
          <cell r="F778">
            <v>1</v>
          </cell>
          <cell r="H778" t="str">
            <v>TOLEDO</v>
          </cell>
          <cell r="I778" t="str">
            <v>X5123ZAB</v>
          </cell>
        </row>
        <row r="779">
          <cell r="A779" t="str">
            <v>X6677</v>
          </cell>
          <cell r="B779" t="str">
            <v>CORDOBA</v>
          </cell>
          <cell r="C779" t="str">
            <v>COLON</v>
          </cell>
          <cell r="D779" t="str">
            <v>MENDIOLAZA</v>
          </cell>
          <cell r="E779" t="str">
            <v>LAS MERCEDES</v>
          </cell>
          <cell r="F779">
            <v>6</v>
          </cell>
          <cell r="H779" t="str">
            <v>MENDIOLAZA</v>
          </cell>
          <cell r="I779" t="str">
            <v>X5108ZAF</v>
          </cell>
        </row>
        <row r="780">
          <cell r="A780" t="str">
            <v>X6678</v>
          </cell>
          <cell r="B780" t="str">
            <v>CORDOBA</v>
          </cell>
          <cell r="C780" t="str">
            <v>SAN ALBERTO</v>
          </cell>
          <cell r="D780" t="str">
            <v>NONO</v>
          </cell>
          <cell r="E780" t="str">
            <v>DOMINGO SARMIENTO</v>
          </cell>
          <cell r="F780">
            <v>18</v>
          </cell>
          <cell r="H780" t="str">
            <v>NONO</v>
          </cell>
          <cell r="I780" t="str">
            <v>X5887ZAB</v>
          </cell>
        </row>
        <row r="781">
          <cell r="A781" t="str">
            <v>X6679</v>
          </cell>
          <cell r="B781" t="str">
            <v>CORDOBA</v>
          </cell>
          <cell r="C781" t="str">
            <v>TOTORAL</v>
          </cell>
          <cell r="D781" t="str">
            <v>SINSACATE</v>
          </cell>
          <cell r="E781" t="str">
            <v>25 DE MAYO</v>
          </cell>
          <cell r="F781">
            <v>1</v>
          </cell>
          <cell r="H781" t="str">
            <v>SINSACATE</v>
          </cell>
          <cell r="I781" t="str">
            <v>X5221ZAH</v>
          </cell>
        </row>
        <row r="782">
          <cell r="A782" t="str">
            <v>X6680</v>
          </cell>
          <cell r="B782" t="str">
            <v>CORDOBA</v>
          </cell>
          <cell r="C782" t="str">
            <v>SAN JAVIER</v>
          </cell>
          <cell r="D782" t="str">
            <v>VILLA DE LAS ROSAS</v>
          </cell>
          <cell r="E782" t="str">
            <v>AV DR MANUEL BELGRANO</v>
          </cell>
          <cell r="F782">
            <v>0</v>
          </cell>
          <cell r="H782" t="str">
            <v>VILLA DE LAS ROSAS</v>
          </cell>
          <cell r="I782" t="str">
            <v>X5885ZAD</v>
          </cell>
        </row>
        <row r="783">
          <cell r="A783" t="str">
            <v>W0000</v>
          </cell>
          <cell r="B783" t="str">
            <v>CORRIENTES</v>
          </cell>
          <cell r="C783" t="str">
            <v>CAPITAL</v>
          </cell>
          <cell r="D783" t="str">
            <v>CORRIENTES</v>
          </cell>
          <cell r="E783" t="str">
            <v>SAN JUAN</v>
          </cell>
          <cell r="F783">
            <v>1098</v>
          </cell>
          <cell r="H783" t="str">
            <v>CORRIENTES</v>
          </cell>
          <cell r="I783" t="str">
            <v>W3400ZAC</v>
          </cell>
        </row>
        <row r="784">
          <cell r="A784" t="str">
            <v>W0001</v>
          </cell>
          <cell r="B784" t="str">
            <v>CORRIENTES</v>
          </cell>
          <cell r="C784" t="str">
            <v>CAPITAL</v>
          </cell>
          <cell r="D784" t="str">
            <v>CORRIENTES</v>
          </cell>
          <cell r="E784" t="str">
            <v>GRAL M BELGRANO</v>
          </cell>
          <cell r="F784">
            <v>2295</v>
          </cell>
          <cell r="H784" t="str">
            <v>SUCURSAL 1</v>
          </cell>
          <cell r="I784" t="str">
            <v>W3400ZAA</v>
          </cell>
        </row>
        <row r="785">
          <cell r="A785" t="str">
            <v>W0003</v>
          </cell>
          <cell r="B785" t="str">
            <v>CORRIENTES</v>
          </cell>
          <cell r="C785" t="str">
            <v>CAPITAL</v>
          </cell>
          <cell r="D785" t="str">
            <v>CORRIENTES</v>
          </cell>
          <cell r="E785" t="str">
            <v>COSQUIN</v>
          </cell>
          <cell r="F785">
            <v>1890</v>
          </cell>
          <cell r="H785" t="str">
            <v>SUCURSAL 3</v>
          </cell>
          <cell r="I785" t="str">
            <v>W3404ZAA</v>
          </cell>
        </row>
        <row r="786">
          <cell r="A786" t="str">
            <v>W0004</v>
          </cell>
          <cell r="B786" t="str">
            <v>CORRIENTES</v>
          </cell>
          <cell r="C786" t="str">
            <v>BELLA VISTA</v>
          </cell>
          <cell r="D786" t="str">
            <v>BELLA VISTA</v>
          </cell>
          <cell r="E786" t="str">
            <v>CORRIENTES</v>
          </cell>
          <cell r="F786">
            <v>689</v>
          </cell>
          <cell r="H786" t="str">
            <v>BELLA VISTA</v>
          </cell>
          <cell r="I786" t="str">
            <v>W3432ZAA</v>
          </cell>
        </row>
        <row r="787">
          <cell r="A787" t="str">
            <v>W0005</v>
          </cell>
          <cell r="B787" t="str">
            <v>CORRIENTES</v>
          </cell>
          <cell r="C787" t="str">
            <v>SAN ROQUE</v>
          </cell>
          <cell r="D787" t="str">
            <v>CHAVARRIA</v>
          </cell>
          <cell r="E787" t="str">
            <v>GDOR JUAN V PAMPIN</v>
          </cell>
          <cell r="F787">
            <v>0</v>
          </cell>
          <cell r="H787" t="str">
            <v>CHAVARRIA</v>
          </cell>
          <cell r="I787" t="str">
            <v>W3474ZAA</v>
          </cell>
        </row>
        <row r="788">
          <cell r="A788" t="str">
            <v>W0006</v>
          </cell>
          <cell r="B788" t="str">
            <v>CORRIENTES</v>
          </cell>
          <cell r="C788" t="str">
            <v>CONCEPCION</v>
          </cell>
          <cell r="D788" t="str">
            <v>CONCEPCION</v>
          </cell>
          <cell r="E788" t="str">
            <v>SAN MARTIN</v>
          </cell>
          <cell r="F788">
            <v>555</v>
          </cell>
          <cell r="H788" t="str">
            <v>CONCEPCION</v>
          </cell>
          <cell r="I788" t="str">
            <v>W3423ZAA</v>
          </cell>
        </row>
        <row r="789">
          <cell r="A789" t="str">
            <v>W0007</v>
          </cell>
          <cell r="B789" t="str">
            <v>CORRIENTES</v>
          </cell>
          <cell r="C789" t="str">
            <v>EMPEDRADO</v>
          </cell>
          <cell r="D789" t="str">
            <v>EMPEDRADO</v>
          </cell>
          <cell r="E789" t="str">
            <v>AV BME MITRE</v>
          </cell>
          <cell r="F789">
            <v>1184</v>
          </cell>
          <cell r="H789" t="str">
            <v>EMPEDRADO</v>
          </cell>
          <cell r="I789" t="str">
            <v>W3418ZAA</v>
          </cell>
        </row>
        <row r="790">
          <cell r="A790" t="str">
            <v>W0008</v>
          </cell>
          <cell r="B790" t="str">
            <v>CORRIENTES</v>
          </cell>
          <cell r="C790" t="str">
            <v>ESQUINA</v>
          </cell>
          <cell r="D790" t="str">
            <v>ESQUINA</v>
          </cell>
          <cell r="E790" t="str">
            <v>BME MITRE</v>
          </cell>
          <cell r="F790">
            <v>810</v>
          </cell>
          <cell r="H790" t="str">
            <v>ESQUINA</v>
          </cell>
          <cell r="I790" t="str">
            <v>W3196ZAA</v>
          </cell>
        </row>
        <row r="791">
          <cell r="A791" t="str">
            <v>W0009</v>
          </cell>
          <cell r="B791" t="str">
            <v>CORRIENTES</v>
          </cell>
          <cell r="C791" t="str">
            <v>GENERAL PAZ</v>
          </cell>
          <cell r="D791" t="str">
            <v>NTRA SRA DEL ROS DE CAA CATI</v>
          </cell>
          <cell r="E791" t="str">
            <v>GORDIOLA NIELLA</v>
          </cell>
          <cell r="F791">
            <v>115</v>
          </cell>
          <cell r="H791" t="str">
            <v>NUESTRA SEÃ‘ORA DE CAA CATI</v>
          </cell>
          <cell r="I791" t="str">
            <v>W3407ZAA</v>
          </cell>
        </row>
        <row r="792">
          <cell r="A792" t="str">
            <v>W0010</v>
          </cell>
          <cell r="B792" t="str">
            <v>CORRIENTES</v>
          </cell>
          <cell r="C792" t="str">
            <v>GOYA</v>
          </cell>
          <cell r="D792" t="str">
            <v>GOYA</v>
          </cell>
          <cell r="E792" t="str">
            <v>GRAL M BELGRANO</v>
          </cell>
          <cell r="F792">
            <v>942</v>
          </cell>
          <cell r="H792" t="str">
            <v>GOYA</v>
          </cell>
          <cell r="I792" t="str">
            <v>W3450ZAA</v>
          </cell>
        </row>
        <row r="793">
          <cell r="A793" t="str">
            <v>W0011</v>
          </cell>
          <cell r="B793" t="str">
            <v>CORRIENTES</v>
          </cell>
          <cell r="C793" t="str">
            <v>GENERAL PAZ</v>
          </cell>
          <cell r="D793" t="str">
            <v>ITA IBATE</v>
          </cell>
          <cell r="E793" t="str">
            <v>9 DE JULIO</v>
          </cell>
          <cell r="F793">
            <v>100</v>
          </cell>
          <cell r="H793" t="str">
            <v>ITA IBATE</v>
          </cell>
          <cell r="I793" t="str">
            <v>W3480ZAA</v>
          </cell>
        </row>
        <row r="794">
          <cell r="A794" t="str">
            <v>W0012</v>
          </cell>
          <cell r="B794" t="str">
            <v>CORRIENTES</v>
          </cell>
          <cell r="C794" t="str">
            <v>ITATI</v>
          </cell>
          <cell r="D794" t="str">
            <v>ITATI</v>
          </cell>
          <cell r="E794" t="str">
            <v>CASTOR DE LEON</v>
          </cell>
          <cell r="F794">
            <v>0</v>
          </cell>
          <cell r="H794" t="str">
            <v>ITATI</v>
          </cell>
          <cell r="I794" t="str">
            <v>W3414ZAA</v>
          </cell>
        </row>
        <row r="795">
          <cell r="A795" t="str">
            <v>W0013</v>
          </cell>
          <cell r="B795" t="str">
            <v>CORRIENTES</v>
          </cell>
          <cell r="C795" t="str">
            <v>ITUZAINGO</v>
          </cell>
          <cell r="D795" t="str">
            <v>ITUZAINGO</v>
          </cell>
          <cell r="E795" t="str">
            <v>BERNARDINO VALLE</v>
          </cell>
          <cell r="F795">
            <v>1801</v>
          </cell>
          <cell r="H795" t="str">
            <v>ITUZAINGO</v>
          </cell>
          <cell r="I795" t="str">
            <v>W3302ZAA</v>
          </cell>
        </row>
        <row r="796">
          <cell r="A796" t="str">
            <v>W0015</v>
          </cell>
          <cell r="B796" t="str">
            <v>CORRIENTES</v>
          </cell>
          <cell r="C796" t="str">
            <v>SAN MIGUEL</v>
          </cell>
          <cell r="D796" t="str">
            <v>LORETO</v>
          </cell>
          <cell r="E796" t="str">
            <v>25 DE MAYO</v>
          </cell>
          <cell r="F796">
            <v>0</v>
          </cell>
          <cell r="H796" t="str">
            <v>LORETO</v>
          </cell>
          <cell r="I796" t="str">
            <v>W3483ZAA</v>
          </cell>
        </row>
        <row r="797">
          <cell r="A797" t="str">
            <v>W0016</v>
          </cell>
          <cell r="B797" t="str">
            <v>CORRIENTES</v>
          </cell>
          <cell r="C797" t="str">
            <v>SAN ROQUE</v>
          </cell>
          <cell r="D797" t="str">
            <v>MANUEL FLORENCIO MANTILLA</v>
          </cell>
          <cell r="E797" t="str">
            <v>URQUIZA</v>
          </cell>
          <cell r="F797">
            <v>0</v>
          </cell>
          <cell r="H797" t="str">
            <v>MANTILLA</v>
          </cell>
          <cell r="I797" t="str">
            <v>W3446ZAA</v>
          </cell>
        </row>
        <row r="798">
          <cell r="A798" t="str">
            <v>W0017</v>
          </cell>
          <cell r="B798" t="str">
            <v>CORRIENTES</v>
          </cell>
          <cell r="C798" t="str">
            <v>MBURUCUYA</v>
          </cell>
          <cell r="D798" t="str">
            <v>MBURUCUYA</v>
          </cell>
          <cell r="E798" t="str">
            <v>MANUEL BELGRANO</v>
          </cell>
          <cell r="F798">
            <v>984</v>
          </cell>
          <cell r="H798" t="str">
            <v>MBURUCUYA</v>
          </cell>
          <cell r="I798" t="str">
            <v>W3427ZAA</v>
          </cell>
        </row>
        <row r="799">
          <cell r="A799" t="str">
            <v>W0018</v>
          </cell>
          <cell r="B799" t="str">
            <v>CORRIENTES</v>
          </cell>
          <cell r="C799" t="str">
            <v>MERCEDES</v>
          </cell>
          <cell r="D799" t="str">
            <v>MERCEDES</v>
          </cell>
          <cell r="E799" t="str">
            <v>RIVADAVIA</v>
          </cell>
          <cell r="F799">
            <v>599</v>
          </cell>
          <cell r="H799" t="str">
            <v>MERCEDES</v>
          </cell>
          <cell r="I799" t="str">
            <v>W3470ZAA</v>
          </cell>
        </row>
        <row r="800">
          <cell r="A800" t="str">
            <v>W0020</v>
          </cell>
          <cell r="B800" t="str">
            <v>CORRIENTES</v>
          </cell>
          <cell r="C800" t="str">
            <v>SAN COSME</v>
          </cell>
          <cell r="D800" t="str">
            <v>PASO DE LA PATRIA</v>
          </cell>
          <cell r="E800" t="str">
            <v>25 DE MAYO</v>
          </cell>
          <cell r="F800">
            <v>642</v>
          </cell>
          <cell r="H800" t="str">
            <v>PASO DE LA PATRIA</v>
          </cell>
          <cell r="I800" t="str">
            <v>W3409ZAA</v>
          </cell>
        </row>
        <row r="801">
          <cell r="A801" t="str">
            <v>W0021</v>
          </cell>
          <cell r="B801" t="str">
            <v>CORRIENTES</v>
          </cell>
          <cell r="C801" t="str">
            <v>CURUZU CUATIA</v>
          </cell>
          <cell r="D801" t="str">
            <v>PERUGORRIA</v>
          </cell>
          <cell r="E801" t="str">
            <v>COLON</v>
          </cell>
          <cell r="F801">
            <v>0</v>
          </cell>
          <cell r="H801" t="str">
            <v>PERUGORRIA</v>
          </cell>
          <cell r="I801" t="str">
            <v>W3461ZAA</v>
          </cell>
        </row>
        <row r="802">
          <cell r="A802" t="str">
            <v>W0022</v>
          </cell>
          <cell r="B802" t="str">
            <v>CORRIENTES</v>
          </cell>
          <cell r="C802" t="str">
            <v>SALADAS</v>
          </cell>
          <cell r="D802" t="str">
            <v>SALADAS</v>
          </cell>
          <cell r="E802" t="str">
            <v>BME MITRE</v>
          </cell>
          <cell r="F802">
            <v>605</v>
          </cell>
          <cell r="H802" t="str">
            <v>SALADAS</v>
          </cell>
          <cell r="I802" t="str">
            <v>W3420ZAA</v>
          </cell>
        </row>
        <row r="803">
          <cell r="A803" t="str">
            <v>W0023</v>
          </cell>
          <cell r="B803" t="str">
            <v>CORRIENTES</v>
          </cell>
          <cell r="C803" t="str">
            <v>SAN COSME</v>
          </cell>
          <cell r="D803" t="str">
            <v>SAN COSME</v>
          </cell>
          <cell r="E803" t="str">
            <v>JUAN RAMON VIDAL</v>
          </cell>
          <cell r="F803">
            <v>0</v>
          </cell>
          <cell r="H803" t="str">
            <v>SAN COSME</v>
          </cell>
          <cell r="I803" t="str">
            <v>W3412ZAA</v>
          </cell>
        </row>
        <row r="804">
          <cell r="A804" t="str">
            <v>W0024</v>
          </cell>
          <cell r="B804" t="str">
            <v>CORRIENTES</v>
          </cell>
          <cell r="C804" t="str">
            <v>SALADAS</v>
          </cell>
          <cell r="D804" t="str">
            <v>SAN LORENZO</v>
          </cell>
          <cell r="E804" t="str">
            <v>SARMIENTO</v>
          </cell>
          <cell r="F804">
            <v>0</v>
          </cell>
          <cell r="H804" t="str">
            <v>SAN LORENZO</v>
          </cell>
          <cell r="I804" t="str">
            <v>W3416ZAA</v>
          </cell>
        </row>
        <row r="805">
          <cell r="A805" t="str">
            <v>W0025</v>
          </cell>
          <cell r="B805" t="str">
            <v>CORRIENTES</v>
          </cell>
          <cell r="C805" t="str">
            <v>SAN LUIS DEL PALMAR</v>
          </cell>
          <cell r="D805" t="str">
            <v>SAN LUIS DEL PALMAR</v>
          </cell>
          <cell r="E805" t="str">
            <v>TUCUMAN</v>
          </cell>
          <cell r="F805">
            <v>687</v>
          </cell>
          <cell r="H805" t="str">
            <v>SAN LUIS DEL PALMAR</v>
          </cell>
          <cell r="I805" t="str">
            <v>W3403ZAA</v>
          </cell>
        </row>
        <row r="806">
          <cell r="A806" t="str">
            <v>W0026</v>
          </cell>
          <cell r="B806" t="str">
            <v>CORRIENTES</v>
          </cell>
          <cell r="C806" t="str">
            <v>SAN MIGUEL</v>
          </cell>
          <cell r="D806" t="str">
            <v>SAN MIGUEL</v>
          </cell>
          <cell r="E806" t="str">
            <v>SARMIENTO</v>
          </cell>
          <cell r="F806">
            <v>895</v>
          </cell>
          <cell r="H806" t="str">
            <v>SAN MIGUEL</v>
          </cell>
          <cell r="I806" t="str">
            <v>W3485ZAA</v>
          </cell>
        </row>
        <row r="807">
          <cell r="A807" t="str">
            <v>W0027</v>
          </cell>
          <cell r="B807" t="str">
            <v>CORRIENTES</v>
          </cell>
          <cell r="C807" t="str">
            <v>SAN ROQUE</v>
          </cell>
          <cell r="D807" t="str">
            <v>SAN ROQUE</v>
          </cell>
          <cell r="E807" t="str">
            <v>RUPERTO MONTENEGRO</v>
          </cell>
          <cell r="F807">
            <v>850</v>
          </cell>
          <cell r="H807" t="str">
            <v>SAN ROQUE</v>
          </cell>
          <cell r="I807" t="str">
            <v>W3448ZAA</v>
          </cell>
        </row>
        <row r="808">
          <cell r="A808" t="str">
            <v>W0028</v>
          </cell>
          <cell r="B808" t="str">
            <v>CORRIENTES</v>
          </cell>
          <cell r="C808" t="str">
            <v>LAVALLE</v>
          </cell>
          <cell r="D808" t="str">
            <v>SANTA LUCIA</v>
          </cell>
          <cell r="E808" t="str">
            <v>CRISTOBAL COLON</v>
          </cell>
          <cell r="F808">
            <v>204</v>
          </cell>
          <cell r="H808" t="str">
            <v>SANTA LUCIA</v>
          </cell>
          <cell r="I808" t="str">
            <v>W3440ZAA</v>
          </cell>
        </row>
        <row r="809">
          <cell r="A809" t="str">
            <v>W0029</v>
          </cell>
          <cell r="B809" t="str">
            <v>CORRIENTES</v>
          </cell>
          <cell r="C809" t="str">
            <v>MERCEDES</v>
          </cell>
          <cell r="D809" t="str">
            <v>EST SOLARI</v>
          </cell>
          <cell r="E809" t="str">
            <v>BAIGORRIA S/N</v>
          </cell>
          <cell r="H809" t="str">
            <v>SOLARI</v>
          </cell>
          <cell r="I809" t="str">
            <v>W3476ZAA</v>
          </cell>
        </row>
        <row r="810">
          <cell r="A810" t="str">
            <v>W0030</v>
          </cell>
          <cell r="B810" t="str">
            <v>CORRIENTES</v>
          </cell>
          <cell r="C810" t="str">
            <v>GENERAL ALVEAR</v>
          </cell>
          <cell r="D810" t="str">
            <v>ALVEAR</v>
          </cell>
          <cell r="E810" t="str">
            <v>FRANCISCO SUSSINI</v>
          </cell>
          <cell r="F810">
            <v>595</v>
          </cell>
          <cell r="H810" t="str">
            <v>ALVEAR</v>
          </cell>
          <cell r="I810" t="str">
            <v>W3344ZAA</v>
          </cell>
        </row>
        <row r="811">
          <cell r="A811" t="str">
            <v>W0031</v>
          </cell>
          <cell r="B811" t="str">
            <v>CORRIENTES</v>
          </cell>
          <cell r="C811" t="str">
            <v>ITUZAINGO</v>
          </cell>
          <cell r="D811" t="str">
            <v>COLONIA LIEBIGS</v>
          </cell>
          <cell r="E811" t="str">
            <v>BME MITRE</v>
          </cell>
          <cell r="F811">
            <v>1</v>
          </cell>
          <cell r="H811" t="str">
            <v>COLONIA LIEBIGS</v>
          </cell>
          <cell r="I811" t="str">
            <v>W3358ZAA</v>
          </cell>
        </row>
        <row r="812">
          <cell r="A812" t="str">
            <v>W0032</v>
          </cell>
          <cell r="B812" t="str">
            <v>CORRIENTES</v>
          </cell>
          <cell r="C812" t="str">
            <v>SANTO TOME</v>
          </cell>
          <cell r="D812" t="str">
            <v>GARRUCHOS</v>
          </cell>
          <cell r="E812" t="str">
            <v>SAN MARTIN</v>
          </cell>
          <cell r="F812">
            <v>0</v>
          </cell>
          <cell r="H812" t="str">
            <v>GARRUCHOS</v>
          </cell>
          <cell r="I812" t="str">
            <v>W3349ZAA</v>
          </cell>
        </row>
        <row r="813">
          <cell r="A813" t="str">
            <v>W0033</v>
          </cell>
          <cell r="B813" t="str">
            <v>CORRIENTES</v>
          </cell>
          <cell r="C813" t="str">
            <v>SANTO TOME</v>
          </cell>
          <cell r="D813" t="str">
            <v>GOBERNADOR VIRASORO</v>
          </cell>
          <cell r="E813" t="str">
            <v>AV GRAL JUAN LAVALLE</v>
          </cell>
          <cell r="F813">
            <v>2113</v>
          </cell>
          <cell r="H813" t="str">
            <v>GOB. VIRASORO</v>
          </cell>
          <cell r="I813" t="str">
            <v>W3342ZAA</v>
          </cell>
        </row>
        <row r="814">
          <cell r="A814" t="str">
            <v>W0034</v>
          </cell>
          <cell r="B814" t="str">
            <v>CORRIENTES</v>
          </cell>
          <cell r="C814" t="str">
            <v>SAN MARTIN</v>
          </cell>
          <cell r="D814" t="str">
            <v>LA CRUZ</v>
          </cell>
          <cell r="E814" t="str">
            <v>COLON</v>
          </cell>
          <cell r="F814">
            <v>798</v>
          </cell>
          <cell r="H814" t="str">
            <v>LA CRUZ</v>
          </cell>
          <cell r="I814" t="str">
            <v>W3346ZAA</v>
          </cell>
        </row>
        <row r="815">
          <cell r="A815" t="str">
            <v>W0035</v>
          </cell>
          <cell r="B815" t="str">
            <v>CORRIENTES</v>
          </cell>
          <cell r="C815" t="str">
            <v>ITUZAINGO</v>
          </cell>
          <cell r="D815" t="str">
            <v>SAN CARLOS</v>
          </cell>
          <cell r="E815" t="str">
            <v>AV GRAL SAN MARTIN</v>
          </cell>
          <cell r="F815">
            <v>0</v>
          </cell>
          <cell r="H815" t="str">
            <v>SAN CARLOS</v>
          </cell>
          <cell r="I815" t="str">
            <v>W3306ZAA</v>
          </cell>
        </row>
        <row r="816">
          <cell r="A816" t="str">
            <v>W0036</v>
          </cell>
          <cell r="B816" t="str">
            <v>CORRIENTES</v>
          </cell>
          <cell r="C816" t="str">
            <v>SANTO TOME</v>
          </cell>
          <cell r="D816" t="str">
            <v>SANTO TOME</v>
          </cell>
          <cell r="E816" t="str">
            <v>AV BRASIL</v>
          </cell>
          <cell r="F816">
            <v>805</v>
          </cell>
          <cell r="H816" t="str">
            <v>SANTO TOME</v>
          </cell>
          <cell r="I816" t="str">
            <v>W3341ZAA</v>
          </cell>
        </row>
        <row r="817">
          <cell r="A817" t="str">
            <v>W0037</v>
          </cell>
          <cell r="B817" t="str">
            <v>CORRIENTES</v>
          </cell>
          <cell r="C817" t="str">
            <v>SAN MARTIN</v>
          </cell>
          <cell r="D817" t="str">
            <v>YAPEYU</v>
          </cell>
          <cell r="E817" t="str">
            <v>OBISPO ROMERO</v>
          </cell>
          <cell r="F817">
            <v>302</v>
          </cell>
          <cell r="H817" t="str">
            <v>YAPEYU</v>
          </cell>
          <cell r="I817" t="str">
            <v>W3231ZAA</v>
          </cell>
        </row>
        <row r="818">
          <cell r="A818" t="str">
            <v>W0038</v>
          </cell>
          <cell r="B818" t="str">
            <v>CORRIENTES</v>
          </cell>
          <cell r="C818" t="str">
            <v>PASO DE LOS LIBRES</v>
          </cell>
          <cell r="D818" t="str">
            <v>BONPLAND</v>
          </cell>
          <cell r="E818" t="str">
            <v>AV SAN MARTIN</v>
          </cell>
          <cell r="F818">
            <v>0</v>
          </cell>
          <cell r="H818" t="str">
            <v>BONPLAND</v>
          </cell>
          <cell r="I818" t="str">
            <v>W3234ZAA</v>
          </cell>
        </row>
        <row r="819">
          <cell r="A819" t="str">
            <v>W0039</v>
          </cell>
          <cell r="B819" t="str">
            <v>CORRIENTES</v>
          </cell>
          <cell r="C819" t="str">
            <v>CURUZU CUATIA</v>
          </cell>
          <cell r="D819" t="str">
            <v>CURUZU CUATIA</v>
          </cell>
          <cell r="E819" t="str">
            <v>BERON DE ASTRADA</v>
          </cell>
          <cell r="F819">
            <v>999</v>
          </cell>
          <cell r="H819" t="str">
            <v>CURUZU CUATIA</v>
          </cell>
          <cell r="I819" t="str">
            <v>W3460ZAA</v>
          </cell>
        </row>
        <row r="820">
          <cell r="A820" t="str">
            <v>W0040</v>
          </cell>
          <cell r="B820" t="str">
            <v>CORRIENTES</v>
          </cell>
          <cell r="C820" t="str">
            <v>MONTE CASEROS</v>
          </cell>
          <cell r="D820" t="str">
            <v>MOCORETA</v>
          </cell>
          <cell r="E820" t="str">
            <v>GRAL SAN MARTIN</v>
          </cell>
          <cell r="F820">
            <v>501</v>
          </cell>
          <cell r="H820" t="str">
            <v>MOCORETA</v>
          </cell>
          <cell r="I820" t="str">
            <v>W3226ZAA</v>
          </cell>
        </row>
        <row r="821">
          <cell r="A821" t="str">
            <v>W0041</v>
          </cell>
          <cell r="B821" t="str">
            <v>CORRIENTES</v>
          </cell>
          <cell r="C821" t="str">
            <v>MONTE CASEROS</v>
          </cell>
          <cell r="D821" t="str">
            <v>MONTE CASEROS</v>
          </cell>
          <cell r="E821" t="str">
            <v>AV ALVEAR</v>
          </cell>
          <cell r="F821">
            <v>1199</v>
          </cell>
          <cell r="H821" t="str">
            <v>MONTE CASEROS</v>
          </cell>
          <cell r="I821" t="str">
            <v>W3220ZAA</v>
          </cell>
        </row>
        <row r="822">
          <cell r="A822" t="str">
            <v>W0042</v>
          </cell>
          <cell r="B822" t="str">
            <v>CORRIENTES</v>
          </cell>
          <cell r="C822" t="str">
            <v>PASO DE LOS LIBRES</v>
          </cell>
          <cell r="D822" t="str">
            <v>PASO DE LOS LIBRES</v>
          </cell>
          <cell r="E822" t="str">
            <v>JUAN SITJANIN</v>
          </cell>
          <cell r="F822">
            <v>998</v>
          </cell>
          <cell r="H822" t="str">
            <v>PASO DE LOS LIBRES</v>
          </cell>
          <cell r="I822" t="str">
            <v>W3230ZAA</v>
          </cell>
        </row>
        <row r="823">
          <cell r="A823" t="str">
            <v>W0044</v>
          </cell>
          <cell r="B823" t="str">
            <v>CORRIENTES</v>
          </cell>
          <cell r="C823" t="str">
            <v>SAUCE</v>
          </cell>
          <cell r="D823" t="str">
            <v>SAUCE</v>
          </cell>
          <cell r="E823" t="str">
            <v>MANUEL BELGRANO</v>
          </cell>
          <cell r="F823">
            <v>1251</v>
          </cell>
          <cell r="H823" t="str">
            <v>SAUCE</v>
          </cell>
          <cell r="I823" t="str">
            <v>W3463ZAA</v>
          </cell>
        </row>
        <row r="824">
          <cell r="A824" t="str">
            <v>W1126</v>
          </cell>
          <cell r="B824" t="str">
            <v>CORRIENTES</v>
          </cell>
          <cell r="C824" t="str">
            <v>CAPITAL</v>
          </cell>
          <cell r="D824" t="str">
            <v>CORRIENTES</v>
          </cell>
          <cell r="E824" t="str">
            <v>SAN JUAN</v>
          </cell>
          <cell r="F824">
            <v>798</v>
          </cell>
          <cell r="H824" t="str">
            <v>AGENCIA 12</v>
          </cell>
          <cell r="I824" t="str">
            <v>W3400ZAB</v>
          </cell>
        </row>
        <row r="825">
          <cell r="A825" t="str">
            <v>E0000</v>
          </cell>
          <cell r="B825" t="str">
            <v>ENTRE RIOS</v>
          </cell>
          <cell r="C825" t="str">
            <v>PARANA</v>
          </cell>
          <cell r="D825" t="str">
            <v>PARANA</v>
          </cell>
          <cell r="E825" t="str">
            <v>25 DE MAYO</v>
          </cell>
          <cell r="F825">
            <v>102</v>
          </cell>
          <cell r="H825" t="str">
            <v>PARANA</v>
          </cell>
          <cell r="I825" t="str">
            <v>E3100ZAA</v>
          </cell>
        </row>
        <row r="826">
          <cell r="A826" t="str">
            <v>E0001</v>
          </cell>
          <cell r="B826" t="str">
            <v>ENTRE RIOS</v>
          </cell>
          <cell r="C826" t="str">
            <v>PARANA</v>
          </cell>
          <cell r="D826" t="str">
            <v>PARANA</v>
          </cell>
          <cell r="E826" t="str">
            <v>CORDOBA</v>
          </cell>
          <cell r="F826">
            <v>360</v>
          </cell>
          <cell r="H826" t="str">
            <v>SUCURSAL 1</v>
          </cell>
          <cell r="I826" t="str">
            <v>E3104ZAA</v>
          </cell>
        </row>
        <row r="827">
          <cell r="A827" t="str">
            <v>E0002</v>
          </cell>
          <cell r="B827" t="str">
            <v>ENTRE RIOS</v>
          </cell>
          <cell r="C827" t="str">
            <v>PARANA</v>
          </cell>
          <cell r="D827" t="str">
            <v>PARANA</v>
          </cell>
          <cell r="E827" t="str">
            <v>GRAL JOSE MARIA GALAN</v>
          </cell>
          <cell r="F827">
            <v>1620</v>
          </cell>
          <cell r="H827" t="str">
            <v>SUCURSAL 2</v>
          </cell>
          <cell r="I827" t="str">
            <v>E3104ZAB</v>
          </cell>
        </row>
        <row r="828">
          <cell r="A828" t="str">
            <v>E0003</v>
          </cell>
          <cell r="B828" t="str">
            <v>ENTRE RIOS</v>
          </cell>
          <cell r="C828" t="str">
            <v>PARANA</v>
          </cell>
          <cell r="D828" t="str">
            <v>PARANA</v>
          </cell>
          <cell r="E828" t="str">
            <v>AV GRAL FRANCISCO RAMIREZ</v>
          </cell>
          <cell r="F828">
            <v>2664</v>
          </cell>
          <cell r="H828" t="str">
            <v>SUCURSAL 3</v>
          </cell>
          <cell r="I828" t="str">
            <v>E3100ZAC</v>
          </cell>
        </row>
        <row r="829">
          <cell r="A829" t="str">
            <v>E0004</v>
          </cell>
          <cell r="B829" t="str">
            <v>ENTRE RIOS</v>
          </cell>
          <cell r="C829" t="str">
            <v>PARANA</v>
          </cell>
          <cell r="D829" t="str">
            <v>PARANA</v>
          </cell>
          <cell r="E829" t="str">
            <v>AV ALMAFUERTE</v>
          </cell>
          <cell r="F829">
            <v>1737</v>
          </cell>
          <cell r="H829" t="str">
            <v>SUCURSAL 4</v>
          </cell>
          <cell r="I829" t="str">
            <v>E3102ZAA</v>
          </cell>
        </row>
        <row r="830">
          <cell r="A830" t="str">
            <v>E0012</v>
          </cell>
          <cell r="B830" t="str">
            <v>ENTRE RIOS</v>
          </cell>
          <cell r="C830" t="str">
            <v>LA PAZ</v>
          </cell>
          <cell r="D830" t="str">
            <v>PUEBLO ARRUA EST ALCARAZ</v>
          </cell>
          <cell r="E830" t="str">
            <v>COLON</v>
          </cell>
          <cell r="F830">
            <v>0</v>
          </cell>
          <cell r="H830" t="str">
            <v>ALCARAZ</v>
          </cell>
          <cell r="I830" t="str">
            <v>E3138ZAA</v>
          </cell>
        </row>
        <row r="831">
          <cell r="A831" t="str">
            <v>E0014</v>
          </cell>
          <cell r="B831" t="str">
            <v>ENTRE RIOS</v>
          </cell>
          <cell r="C831" t="str">
            <v>URUGUAY</v>
          </cell>
          <cell r="D831" t="str">
            <v>BASAVILBASO</v>
          </cell>
          <cell r="E831" t="str">
            <v>PTE H YRIGOYEN</v>
          </cell>
          <cell r="F831">
            <v>265</v>
          </cell>
          <cell r="H831" t="str">
            <v>BASAVILBASO</v>
          </cell>
          <cell r="I831" t="str">
            <v>E3170ZAA</v>
          </cell>
        </row>
        <row r="832">
          <cell r="A832" t="str">
            <v>E0016</v>
          </cell>
          <cell r="B832" t="str">
            <v>ENTRE RIOS</v>
          </cell>
          <cell r="C832" t="str">
            <v>LA PAZ</v>
          </cell>
          <cell r="D832" t="str">
            <v>BOVRIL</v>
          </cell>
          <cell r="E832" t="str">
            <v>ALTE G BROWN</v>
          </cell>
          <cell r="F832">
            <v>161</v>
          </cell>
          <cell r="H832" t="str">
            <v>BOVRIL</v>
          </cell>
          <cell r="I832" t="str">
            <v>E3142ZAA</v>
          </cell>
        </row>
        <row r="833">
          <cell r="A833" t="str">
            <v>E0018</v>
          </cell>
          <cell r="B833" t="str">
            <v>ENTRE RIOS</v>
          </cell>
          <cell r="C833" t="str">
            <v>URUGUAY</v>
          </cell>
          <cell r="D833" t="str">
            <v>CASEROS</v>
          </cell>
          <cell r="E833" t="str">
            <v>CALLE 6</v>
          </cell>
          <cell r="F833">
            <v>684</v>
          </cell>
          <cell r="H833" t="str">
            <v>CASEROS</v>
          </cell>
          <cell r="I833" t="str">
            <v>E3262ZAA</v>
          </cell>
        </row>
        <row r="834">
          <cell r="A834" t="str">
            <v>E0020</v>
          </cell>
          <cell r="B834" t="str">
            <v>ENTRE RIOS</v>
          </cell>
          <cell r="C834" t="str">
            <v>PARANA</v>
          </cell>
          <cell r="D834" t="str">
            <v>CERRITO</v>
          </cell>
          <cell r="E834" t="str">
            <v>INDUSTRIA</v>
          </cell>
          <cell r="F834">
            <v>274</v>
          </cell>
          <cell r="H834" t="str">
            <v>CERRITO</v>
          </cell>
          <cell r="I834" t="str">
            <v>E3122ZAA</v>
          </cell>
        </row>
        <row r="835">
          <cell r="A835" t="str">
            <v>E0022</v>
          </cell>
          <cell r="B835" t="str">
            <v>ENTRE RIOS</v>
          </cell>
          <cell r="C835" t="str">
            <v>URUGUAY</v>
          </cell>
          <cell r="D835" t="str">
            <v>CONCEPCION DEL URUGUAY</v>
          </cell>
          <cell r="E835" t="str">
            <v>GALARZA</v>
          </cell>
          <cell r="F835">
            <v>712</v>
          </cell>
          <cell r="H835" t="str">
            <v>CONCEPCION DEL URUGUAY</v>
          </cell>
          <cell r="I835" t="str">
            <v>E3260ZAA</v>
          </cell>
        </row>
        <row r="836">
          <cell r="A836" t="str">
            <v>E0026</v>
          </cell>
          <cell r="B836" t="str">
            <v>ENTRE RIOS</v>
          </cell>
          <cell r="C836" t="str">
            <v>PARANA</v>
          </cell>
          <cell r="D836" t="str">
            <v>CRESPO</v>
          </cell>
          <cell r="E836" t="str">
            <v>25 DE MAYO</v>
          </cell>
          <cell r="F836">
            <v>907</v>
          </cell>
          <cell r="H836" t="str">
            <v>CRESPO</v>
          </cell>
          <cell r="I836" t="str">
            <v>E3116ZAA</v>
          </cell>
        </row>
        <row r="837">
          <cell r="A837" t="str">
            <v>E0028</v>
          </cell>
          <cell r="B837" t="str">
            <v>ENTRE RIOS</v>
          </cell>
          <cell r="C837" t="str">
            <v>DIAMANTE</v>
          </cell>
          <cell r="D837" t="str">
            <v>DIAMANTE</v>
          </cell>
          <cell r="E837" t="str">
            <v>ALBERDI</v>
          </cell>
          <cell r="F837">
            <v>400</v>
          </cell>
          <cell r="H837" t="str">
            <v>DIAMANTE</v>
          </cell>
          <cell r="I837" t="str">
            <v>E3105ZAA</v>
          </cell>
        </row>
        <row r="838">
          <cell r="A838" t="str">
            <v>E0030</v>
          </cell>
          <cell r="B838" t="str">
            <v>ENTRE RIOS</v>
          </cell>
          <cell r="C838" t="str">
            <v>GUALEGUAY</v>
          </cell>
          <cell r="D838" t="str">
            <v>GENERAL GALARZA</v>
          </cell>
          <cell r="E838" t="str">
            <v>CNEL T DE ROCAMORA</v>
          </cell>
          <cell r="F838">
            <v>641</v>
          </cell>
          <cell r="H838" t="str">
            <v>GRAL. GALARZA</v>
          </cell>
          <cell r="I838" t="str">
            <v>E2843ZAA</v>
          </cell>
        </row>
        <row r="839">
          <cell r="A839" t="str">
            <v>E0032</v>
          </cell>
          <cell r="B839" t="str">
            <v>ENTRE RIOS</v>
          </cell>
          <cell r="C839" t="str">
            <v>DIAMANTE</v>
          </cell>
          <cell r="D839" t="str">
            <v>GENERAL RAMIREZ</v>
          </cell>
          <cell r="E839" t="str">
            <v>SGTO CABRAL</v>
          </cell>
          <cell r="F839">
            <v>30</v>
          </cell>
          <cell r="H839" t="str">
            <v>GRAL. RAMIREZ</v>
          </cell>
          <cell r="I839" t="str">
            <v>E3164ZAA</v>
          </cell>
        </row>
        <row r="840">
          <cell r="A840" t="str">
            <v>E0036</v>
          </cell>
          <cell r="B840" t="str">
            <v>ENTRE RIOS</v>
          </cell>
          <cell r="C840" t="str">
            <v>TALA</v>
          </cell>
          <cell r="D840" t="str">
            <v>GOBERNADOR MANSILLA</v>
          </cell>
          <cell r="E840" t="str">
            <v>AV SAN MARTIN</v>
          </cell>
          <cell r="F840">
            <v>485</v>
          </cell>
          <cell r="H840" t="str">
            <v>GDOR. MANSILLA</v>
          </cell>
          <cell r="I840" t="str">
            <v>E2845ZAA</v>
          </cell>
        </row>
        <row r="841">
          <cell r="A841" t="str">
            <v>E0038</v>
          </cell>
          <cell r="B841" t="str">
            <v>ENTRE RIOS</v>
          </cell>
          <cell r="C841" t="str">
            <v>GUALEGUAY</v>
          </cell>
          <cell r="D841" t="str">
            <v>GUALEGUAY</v>
          </cell>
          <cell r="E841" t="str">
            <v>GRAL J J DE URQUIZA</v>
          </cell>
          <cell r="F841">
            <v>128</v>
          </cell>
          <cell r="H841" t="str">
            <v>GUALEGUAY</v>
          </cell>
          <cell r="I841" t="str">
            <v>E2840ZAA</v>
          </cell>
        </row>
        <row r="842">
          <cell r="A842" t="str">
            <v>E0040</v>
          </cell>
          <cell r="B842" t="str">
            <v>ENTRE RIOS</v>
          </cell>
          <cell r="C842" t="str">
            <v>GUALEGUAYCHU</v>
          </cell>
          <cell r="D842" t="str">
            <v>GUALEGUAYCHU</v>
          </cell>
          <cell r="E842" t="str">
            <v>URQUIZA</v>
          </cell>
          <cell r="F842">
            <v>1036</v>
          </cell>
          <cell r="H842" t="str">
            <v>GUALEGUAYCHU</v>
          </cell>
          <cell r="I842" t="str">
            <v>E2820ZAA</v>
          </cell>
        </row>
        <row r="843">
          <cell r="A843" t="str">
            <v>E0044</v>
          </cell>
          <cell r="B843" t="str">
            <v>ENTRE RIOS</v>
          </cell>
          <cell r="C843" t="str">
            <v>PARANA</v>
          </cell>
          <cell r="D843" t="str">
            <v>HASENKAMP</v>
          </cell>
          <cell r="E843" t="str">
            <v>LIBERTAD</v>
          </cell>
          <cell r="F843">
            <v>255</v>
          </cell>
          <cell r="H843" t="str">
            <v>HASENKAMP</v>
          </cell>
          <cell r="I843" t="str">
            <v>E3134ZAA</v>
          </cell>
        </row>
        <row r="844">
          <cell r="A844" t="str">
            <v>E0046</v>
          </cell>
          <cell r="B844" t="str">
            <v>ENTRE RIOS</v>
          </cell>
          <cell r="C844" t="str">
            <v>PARANA</v>
          </cell>
          <cell r="D844" t="str">
            <v>HERNANDARIAS</v>
          </cell>
          <cell r="E844" t="str">
            <v>PTE J D PERON</v>
          </cell>
          <cell r="F844">
            <v>378</v>
          </cell>
          <cell r="H844" t="str">
            <v>HERNANDARIAS</v>
          </cell>
          <cell r="I844" t="str">
            <v>E3127ZAA</v>
          </cell>
        </row>
        <row r="845">
          <cell r="A845" t="str">
            <v>E0048</v>
          </cell>
          <cell r="B845" t="str">
            <v>ENTRE RIOS</v>
          </cell>
          <cell r="C845" t="str">
            <v>NOGOYA</v>
          </cell>
          <cell r="D845" t="str">
            <v>HERNANDEZ</v>
          </cell>
          <cell r="E845" t="str">
            <v>DR FILOMENO ALFARO</v>
          </cell>
          <cell r="F845">
            <v>201</v>
          </cell>
          <cell r="H845" t="str">
            <v>HERNANDEZ</v>
          </cell>
          <cell r="I845" t="str">
            <v>E3156ZAA</v>
          </cell>
        </row>
        <row r="846">
          <cell r="A846" t="str">
            <v>E0050</v>
          </cell>
          <cell r="B846" t="str">
            <v>ENTRE RIOS</v>
          </cell>
          <cell r="C846" t="str">
            <v>ISLAS DEL IBICUY</v>
          </cell>
          <cell r="D846" t="str">
            <v>IBICUY</v>
          </cell>
          <cell r="E846" t="str">
            <v>AV PTE J D PERON</v>
          </cell>
          <cell r="F846">
            <v>0</v>
          </cell>
          <cell r="H846" t="str">
            <v>IBICUY</v>
          </cell>
          <cell r="I846" t="str">
            <v>E2846ZAA</v>
          </cell>
        </row>
        <row r="847">
          <cell r="A847" t="str">
            <v>E0052</v>
          </cell>
          <cell r="B847" t="str">
            <v>ENTRE RIOS</v>
          </cell>
          <cell r="C847" t="str">
            <v>ISLAS DEL IBICUY</v>
          </cell>
          <cell r="D847" t="str">
            <v>VILLA PARANACITO</v>
          </cell>
          <cell r="E847" t="str">
            <v>SAN MARTIN S N</v>
          </cell>
          <cell r="H847" t="str">
            <v>VILLA PARANACITO</v>
          </cell>
          <cell r="I847" t="str">
            <v>E2823ZAA</v>
          </cell>
        </row>
        <row r="848">
          <cell r="A848" t="str">
            <v>E0054</v>
          </cell>
          <cell r="B848" t="str">
            <v>ENTRE RIOS</v>
          </cell>
          <cell r="C848" t="str">
            <v>LA PAZ</v>
          </cell>
          <cell r="D848" t="str">
            <v>LA PAZ</v>
          </cell>
          <cell r="E848" t="str">
            <v>9 DE JULIO</v>
          </cell>
          <cell r="F848">
            <v>1117</v>
          </cell>
          <cell r="H848" t="str">
            <v>LA PAZ</v>
          </cell>
          <cell r="I848" t="str">
            <v>E3190ZAA</v>
          </cell>
        </row>
        <row r="849">
          <cell r="A849" t="str">
            <v>E0056</v>
          </cell>
          <cell r="B849" t="str">
            <v>ENTRE RIOS</v>
          </cell>
          <cell r="C849" t="str">
            <v>GUALEGUAYCHU</v>
          </cell>
          <cell r="D849" t="str">
            <v>LARROQUE</v>
          </cell>
          <cell r="E849" t="str">
            <v>LAS HERAS</v>
          </cell>
          <cell r="F849">
            <v>99</v>
          </cell>
          <cell r="H849" t="str">
            <v>LARROQUE</v>
          </cell>
          <cell r="I849" t="str">
            <v>E2854ZAA</v>
          </cell>
        </row>
        <row r="850">
          <cell r="A850" t="str">
            <v>E0058</v>
          </cell>
          <cell r="B850" t="str">
            <v>ENTRE RIOS</v>
          </cell>
          <cell r="C850" t="str">
            <v>NOGOYA</v>
          </cell>
          <cell r="D850" t="str">
            <v>LUCAS GONZALEZ</v>
          </cell>
          <cell r="E850" t="str">
            <v>AV SOBERANIA</v>
          </cell>
          <cell r="F850">
            <v>142</v>
          </cell>
          <cell r="H850" t="str">
            <v>LUCAS GONZALEZ</v>
          </cell>
          <cell r="I850" t="str">
            <v>E3158ZAA</v>
          </cell>
        </row>
        <row r="851">
          <cell r="A851" t="str">
            <v>E0060</v>
          </cell>
          <cell r="B851" t="str">
            <v>ENTRE RIOS</v>
          </cell>
          <cell r="C851" t="str">
            <v>TALA</v>
          </cell>
          <cell r="D851" t="str">
            <v>GOBERNADOR MACIA</v>
          </cell>
          <cell r="E851" t="str">
            <v>PTE GRAL JULIO A ROCA</v>
          </cell>
          <cell r="F851">
            <v>289</v>
          </cell>
          <cell r="H851" t="str">
            <v>MACIA</v>
          </cell>
          <cell r="I851" t="str">
            <v>E3177ZAA</v>
          </cell>
        </row>
        <row r="852">
          <cell r="A852" t="str">
            <v>E0062</v>
          </cell>
          <cell r="B852" t="str">
            <v>ENTRE RIOS</v>
          </cell>
          <cell r="C852" t="str">
            <v>PARANA</v>
          </cell>
          <cell r="D852" t="str">
            <v>MARIA GRANDE</v>
          </cell>
          <cell r="E852" t="str">
            <v>25 DE MAYO</v>
          </cell>
          <cell r="F852">
            <v>133</v>
          </cell>
          <cell r="H852" t="str">
            <v>MARIA GRANDE</v>
          </cell>
          <cell r="I852" t="str">
            <v>E3133ZAA</v>
          </cell>
        </row>
        <row r="853">
          <cell r="A853" t="str">
            <v>E0064</v>
          </cell>
          <cell r="B853" t="str">
            <v>ENTRE RIOS</v>
          </cell>
          <cell r="C853" t="str">
            <v>NOGOYA</v>
          </cell>
          <cell r="D853" t="str">
            <v>NOGOYA</v>
          </cell>
          <cell r="E853" t="str">
            <v>9 DE JULIO</v>
          </cell>
          <cell r="F853">
            <v>701</v>
          </cell>
          <cell r="H853" t="str">
            <v>NOGOYA</v>
          </cell>
          <cell r="I853" t="str">
            <v>E3150ZAA</v>
          </cell>
        </row>
        <row r="854">
          <cell r="A854" t="str">
            <v>E0066</v>
          </cell>
          <cell r="B854" t="str">
            <v>ENTRE RIOS</v>
          </cell>
          <cell r="C854" t="str">
            <v>TALA</v>
          </cell>
          <cell r="D854" t="str">
            <v>ROSARIO DEL TALA</v>
          </cell>
          <cell r="E854" t="str">
            <v>PTE H YRIGOYEN</v>
          </cell>
          <cell r="F854">
            <v>88</v>
          </cell>
          <cell r="H854" t="str">
            <v>ROSARIO DEL TALA</v>
          </cell>
          <cell r="I854" t="str">
            <v>E3174ZAA</v>
          </cell>
        </row>
        <row r="855">
          <cell r="A855" t="str">
            <v>E0068</v>
          </cell>
          <cell r="B855" t="str">
            <v>ENTRE RIOS</v>
          </cell>
          <cell r="C855" t="str">
            <v>LA PAZ</v>
          </cell>
          <cell r="D855" t="str">
            <v>SANTA ELENA</v>
          </cell>
          <cell r="E855" t="str">
            <v>AV PTE J D PERON</v>
          </cell>
          <cell r="F855">
            <v>736</v>
          </cell>
          <cell r="H855" t="str">
            <v>SANTA ELENA</v>
          </cell>
          <cell r="I855" t="str">
            <v>E3192ZAA</v>
          </cell>
        </row>
        <row r="856">
          <cell r="A856" t="str">
            <v>E0072</v>
          </cell>
          <cell r="B856" t="str">
            <v>ENTRE RIOS</v>
          </cell>
          <cell r="C856" t="str">
            <v>PARANA</v>
          </cell>
          <cell r="D856" t="str">
            <v>SEGUI</v>
          </cell>
          <cell r="E856" t="str">
            <v>LIBERTAD</v>
          </cell>
          <cell r="F856">
            <v>345</v>
          </cell>
          <cell r="H856" t="str">
            <v>SEGUI</v>
          </cell>
          <cell r="I856" t="str">
            <v>E3117ZAA</v>
          </cell>
        </row>
        <row r="857">
          <cell r="A857" t="str">
            <v>E0074</v>
          </cell>
          <cell r="B857" t="str">
            <v>ENTRE RIOS</v>
          </cell>
          <cell r="C857" t="str">
            <v>GUALEGUAYCHU</v>
          </cell>
          <cell r="D857" t="str">
            <v>URDINARRAIN</v>
          </cell>
          <cell r="E857" t="str">
            <v>CNEL T DE ROCAMORA</v>
          </cell>
          <cell r="F857">
            <v>98</v>
          </cell>
          <cell r="H857" t="str">
            <v>URDINARRAIN</v>
          </cell>
          <cell r="I857" t="str">
            <v>E2826ZAA</v>
          </cell>
        </row>
        <row r="858">
          <cell r="A858" t="str">
            <v>E0076</v>
          </cell>
          <cell r="B858" t="str">
            <v>ENTRE RIOS</v>
          </cell>
          <cell r="C858" t="str">
            <v>DIAMANTE</v>
          </cell>
          <cell r="D858" t="str">
            <v>ALDEA VALLE MARIA</v>
          </cell>
          <cell r="E858" t="str">
            <v>1 DE MAYO</v>
          </cell>
          <cell r="F858">
            <v>0</v>
          </cell>
          <cell r="H858" t="str">
            <v>VALLE MARIA</v>
          </cell>
          <cell r="I858" t="str">
            <v>E3101ZAA</v>
          </cell>
        </row>
        <row r="859">
          <cell r="A859" t="str">
            <v>E0078</v>
          </cell>
          <cell r="B859" t="str">
            <v>ENTRE RIOS</v>
          </cell>
          <cell r="C859" t="str">
            <v>PARANA</v>
          </cell>
          <cell r="D859" t="str">
            <v>VIALE</v>
          </cell>
          <cell r="E859" t="str">
            <v>25 DE MAYO</v>
          </cell>
          <cell r="F859">
            <v>337</v>
          </cell>
          <cell r="H859" t="str">
            <v>VIALE</v>
          </cell>
          <cell r="I859" t="str">
            <v>E3109ZAA</v>
          </cell>
        </row>
        <row r="860">
          <cell r="A860" t="str">
            <v>E0080</v>
          </cell>
          <cell r="B860" t="str">
            <v>ENTRE RIOS</v>
          </cell>
          <cell r="C860" t="str">
            <v>VICTORIA</v>
          </cell>
          <cell r="D860" t="str">
            <v>VICTORIA</v>
          </cell>
          <cell r="E860" t="str">
            <v>BME MITRE</v>
          </cell>
          <cell r="F860">
            <v>473</v>
          </cell>
          <cell r="H860" t="str">
            <v>VICTORIA</v>
          </cell>
          <cell r="I860" t="str">
            <v>E3153ZAA</v>
          </cell>
        </row>
        <row r="861">
          <cell r="A861" t="str">
            <v>E0082</v>
          </cell>
          <cell r="B861" t="str">
            <v>ENTRE RIOS</v>
          </cell>
          <cell r="C861" t="str">
            <v>DIAMANTE</v>
          </cell>
          <cell r="D861" t="str">
            <v>VILLA LIBERTADOR SAN MARTIN</v>
          </cell>
          <cell r="E861" t="str">
            <v>BUENOS AIRES</v>
          </cell>
          <cell r="F861">
            <v>171</v>
          </cell>
          <cell r="H861" t="str">
            <v>VILLA LIB. SAN MARTIN</v>
          </cell>
          <cell r="I861" t="str">
            <v>E3103ZAA</v>
          </cell>
        </row>
        <row r="862">
          <cell r="A862" t="str">
            <v>E0100</v>
          </cell>
          <cell r="B862" t="str">
            <v>ENTRE RIOS</v>
          </cell>
          <cell r="C862" t="str">
            <v>CONCORDIA</v>
          </cell>
          <cell r="D862" t="str">
            <v>CONCORDIA</v>
          </cell>
          <cell r="E862" t="str">
            <v>PTE H YRIGOYEN</v>
          </cell>
          <cell r="F862">
            <v>575</v>
          </cell>
          <cell r="H862" t="str">
            <v>CONCORDIA</v>
          </cell>
          <cell r="I862" t="str">
            <v>E3200ZAA</v>
          </cell>
        </row>
        <row r="863">
          <cell r="A863" t="str">
            <v>E0102</v>
          </cell>
          <cell r="B863" t="str">
            <v>ENTRE RIOS</v>
          </cell>
          <cell r="C863" t="str">
            <v>CONCORDIA</v>
          </cell>
          <cell r="D863" t="str">
            <v>CONCORDIA</v>
          </cell>
          <cell r="E863" t="str">
            <v>AV LAS HERAS</v>
          </cell>
          <cell r="F863">
            <v>396</v>
          </cell>
          <cell r="H863" t="str">
            <v>SUCURSAL 2 CONCORDIA</v>
          </cell>
          <cell r="I863" t="str">
            <v>E3202ZAA</v>
          </cell>
        </row>
        <row r="864">
          <cell r="A864" t="str">
            <v>E0105</v>
          </cell>
          <cell r="B864" t="str">
            <v>ENTRE RIOS</v>
          </cell>
          <cell r="C864" t="str">
            <v>FEDERACION</v>
          </cell>
          <cell r="D864" t="str">
            <v>CHAJARI</v>
          </cell>
          <cell r="E864" t="str">
            <v>JAIME TABENI</v>
          </cell>
          <cell r="F864">
            <v>1320</v>
          </cell>
          <cell r="H864" t="str">
            <v>CHAJARI</v>
          </cell>
          <cell r="I864" t="str">
            <v>E3228ZAA</v>
          </cell>
        </row>
        <row r="865">
          <cell r="A865" t="str">
            <v>E0107</v>
          </cell>
          <cell r="B865" t="str">
            <v>ENTRE RIOS</v>
          </cell>
          <cell r="C865" t="str">
            <v>COLON</v>
          </cell>
          <cell r="D865" t="str">
            <v>COLON</v>
          </cell>
          <cell r="E865" t="str">
            <v>12 DE ABRIL</v>
          </cell>
          <cell r="F865">
            <v>431</v>
          </cell>
          <cell r="H865" t="str">
            <v>COLON</v>
          </cell>
          <cell r="I865" t="str">
            <v>E3280ZAA</v>
          </cell>
        </row>
        <row r="866">
          <cell r="A866" t="str">
            <v>E0112</v>
          </cell>
          <cell r="B866" t="str">
            <v>ENTRE RIOS</v>
          </cell>
          <cell r="C866" t="str">
            <v>FEDERACION</v>
          </cell>
          <cell r="D866" t="str">
            <v>FEDERACION</v>
          </cell>
          <cell r="E866" t="str">
            <v>LAS CAMELIAS</v>
          </cell>
          <cell r="F866">
            <v>1272</v>
          </cell>
          <cell r="H866" t="str">
            <v>FEDERACION</v>
          </cell>
          <cell r="I866" t="str">
            <v>E3206ZAA</v>
          </cell>
        </row>
        <row r="867">
          <cell r="A867" t="str">
            <v>E0114</v>
          </cell>
          <cell r="B867" t="str">
            <v>ENTRE RIOS</v>
          </cell>
          <cell r="C867" t="str">
            <v>FEDERAL</v>
          </cell>
          <cell r="D867" t="str">
            <v>FEDERAL</v>
          </cell>
          <cell r="E867" t="str">
            <v>DONOVAN</v>
          </cell>
          <cell r="F867">
            <v>430</v>
          </cell>
          <cell r="H867" t="str">
            <v>FEDERAL</v>
          </cell>
          <cell r="I867" t="str">
            <v>E3180ZAA</v>
          </cell>
        </row>
        <row r="868">
          <cell r="A868" t="str">
            <v>E0116</v>
          </cell>
          <cell r="B868" t="str">
            <v>ENTRE RIOS</v>
          </cell>
          <cell r="C868" t="str">
            <v>SAN SALVADOR</v>
          </cell>
          <cell r="D868" t="str">
            <v>GENERAL CAMPOS</v>
          </cell>
          <cell r="E868" t="str">
            <v>GRAL J J DE URQUIZA</v>
          </cell>
          <cell r="F868">
            <v>502</v>
          </cell>
          <cell r="H868" t="str">
            <v>GRAL. CAMPOS</v>
          </cell>
          <cell r="I868" t="str">
            <v>E3216ZAA</v>
          </cell>
        </row>
        <row r="869">
          <cell r="A869" t="str">
            <v>E0118</v>
          </cell>
          <cell r="B869" t="str">
            <v>ENTRE RIOS</v>
          </cell>
          <cell r="C869" t="str">
            <v>URUGUAY</v>
          </cell>
          <cell r="D869" t="str">
            <v>1 DE MAYO</v>
          </cell>
          <cell r="E869" t="str">
            <v>PASCUAL VELZI 1940</v>
          </cell>
          <cell r="H869" t="str">
            <v>1Âº DE MAYO</v>
          </cell>
          <cell r="I869" t="str">
            <v>E3263ZAA</v>
          </cell>
        </row>
        <row r="870">
          <cell r="A870" t="str">
            <v>E0120</v>
          </cell>
          <cell r="B870" t="str">
            <v>ENTRE RIOS</v>
          </cell>
          <cell r="C870" t="str">
            <v>VILLAGUAY</v>
          </cell>
          <cell r="D870" t="str">
            <v>PUEBLO DOMINGUEZ</v>
          </cell>
          <cell r="E870" t="str">
            <v>CHACO Y BARON HIRCH</v>
          </cell>
          <cell r="H870" t="str">
            <v>PUEBLO DOMINGUEZ</v>
          </cell>
          <cell r="I870" t="str">
            <v>E3246ZAA</v>
          </cell>
        </row>
        <row r="871">
          <cell r="A871" t="str">
            <v>E0124</v>
          </cell>
          <cell r="B871" t="str">
            <v>ENTRE RIOS</v>
          </cell>
          <cell r="C871" t="str">
            <v>FEDERACION</v>
          </cell>
          <cell r="D871" t="str">
            <v>SAN JAIME DE LA FRONTERA</v>
          </cell>
          <cell r="E871" t="str">
            <v>AV CORRIENTES</v>
          </cell>
          <cell r="F871">
            <v>1140</v>
          </cell>
          <cell r="H871" t="str">
            <v>SAN JAIME DE LA FRONTERA</v>
          </cell>
          <cell r="I871" t="str">
            <v>E3185ZAB</v>
          </cell>
        </row>
        <row r="872">
          <cell r="A872" t="str">
            <v>E0126</v>
          </cell>
          <cell r="B872" t="str">
            <v>ENTRE RIOS</v>
          </cell>
          <cell r="C872" t="str">
            <v>COLON</v>
          </cell>
          <cell r="D872" t="str">
            <v>SAN JOSE</v>
          </cell>
          <cell r="E872" t="str">
            <v>GRAL JUAN LAVALLE</v>
          </cell>
          <cell r="F872">
            <v>1622</v>
          </cell>
          <cell r="H872" t="str">
            <v>SAN JOSE</v>
          </cell>
          <cell r="I872" t="str">
            <v>E3283ZAA</v>
          </cell>
        </row>
        <row r="873">
          <cell r="A873" t="str">
            <v>E0128</v>
          </cell>
          <cell r="B873" t="str">
            <v>ENTRE RIOS</v>
          </cell>
          <cell r="C873" t="str">
            <v>FELICIANO</v>
          </cell>
          <cell r="D873" t="str">
            <v>SAN JOSE DE FELICIANO</v>
          </cell>
          <cell r="E873" t="str">
            <v>MORENO</v>
          </cell>
          <cell r="F873">
            <v>173</v>
          </cell>
          <cell r="H873" t="str">
            <v>SAN JOSE FELICIANO</v>
          </cell>
          <cell r="I873" t="str">
            <v>E3187ZAA</v>
          </cell>
        </row>
        <row r="874">
          <cell r="A874" t="str">
            <v>E0130</v>
          </cell>
          <cell r="B874" t="str">
            <v>ENTRE RIOS</v>
          </cell>
          <cell r="C874" t="str">
            <v>SAN SALVADOR</v>
          </cell>
          <cell r="D874" t="str">
            <v>SAN SALVADOR</v>
          </cell>
          <cell r="E874" t="str">
            <v>GRAL FRANCISCO RAMIREZ</v>
          </cell>
          <cell r="F874">
            <v>165</v>
          </cell>
          <cell r="H874" t="str">
            <v>SAN SALVADOR</v>
          </cell>
          <cell r="I874" t="str">
            <v>E3218ZAA</v>
          </cell>
        </row>
        <row r="875">
          <cell r="A875" t="str">
            <v>E0132</v>
          </cell>
          <cell r="B875" t="str">
            <v>ENTRE RIOS</v>
          </cell>
          <cell r="C875" t="str">
            <v>COLON</v>
          </cell>
          <cell r="D875" t="str">
            <v>UBAJAY</v>
          </cell>
          <cell r="E875" t="str">
            <v>LAS ACACIAS</v>
          </cell>
          <cell r="F875">
            <v>185</v>
          </cell>
          <cell r="H875" t="str">
            <v>UBAJAY</v>
          </cell>
          <cell r="I875" t="str">
            <v>E3287ZAA</v>
          </cell>
        </row>
        <row r="876">
          <cell r="A876" t="str">
            <v>E0134</v>
          </cell>
          <cell r="B876" t="str">
            <v>ENTRE RIOS</v>
          </cell>
          <cell r="C876" t="str">
            <v>VILLAGUAY</v>
          </cell>
          <cell r="D876" t="str">
            <v>VILLA CLARA</v>
          </cell>
          <cell r="E876" t="str">
            <v>20 DE JUNIO</v>
          </cell>
          <cell r="F876">
            <v>200</v>
          </cell>
          <cell r="H876" t="str">
            <v>VILLA CLARA</v>
          </cell>
          <cell r="I876" t="str">
            <v>E3252ZAA</v>
          </cell>
        </row>
        <row r="877">
          <cell r="A877" t="str">
            <v>E0136</v>
          </cell>
          <cell r="B877" t="str">
            <v>ENTRE RIOS</v>
          </cell>
          <cell r="C877" t="str">
            <v>COLON</v>
          </cell>
          <cell r="D877" t="str">
            <v>VILLA ELISA</v>
          </cell>
          <cell r="E877" t="str">
            <v>JOSE MANUEL ESTRADA</v>
          </cell>
          <cell r="F877">
            <v>1306</v>
          </cell>
          <cell r="H877" t="str">
            <v>VILLA ELISA</v>
          </cell>
          <cell r="I877" t="str">
            <v>E3265ZAA</v>
          </cell>
        </row>
        <row r="878">
          <cell r="A878" t="str">
            <v>E0138</v>
          </cell>
          <cell r="B878" t="str">
            <v>ENTRE RIOS</v>
          </cell>
          <cell r="C878" t="str">
            <v>URUGUAY</v>
          </cell>
          <cell r="D878" t="str">
            <v>VILLA SAN MARCIAL</v>
          </cell>
          <cell r="E878" t="str">
            <v>PLANTA URBANA</v>
          </cell>
          <cell r="H878" t="str">
            <v>VILLA SAN MARCIAL</v>
          </cell>
          <cell r="I878" t="str">
            <v>E3248ZAA</v>
          </cell>
        </row>
        <row r="879">
          <cell r="A879" t="str">
            <v>E0140</v>
          </cell>
          <cell r="B879" t="str">
            <v>ENTRE RIOS</v>
          </cell>
          <cell r="C879" t="str">
            <v>VILLAGUAY</v>
          </cell>
          <cell r="D879" t="str">
            <v>VILLAGUAY</v>
          </cell>
          <cell r="E879" t="str">
            <v>DR MARIANO MORENO</v>
          </cell>
          <cell r="F879">
            <v>921</v>
          </cell>
          <cell r="H879" t="str">
            <v>VILLAGUAY</v>
          </cell>
          <cell r="I879" t="str">
            <v>E3240ZAA</v>
          </cell>
        </row>
        <row r="880">
          <cell r="A880" t="str">
            <v>E1130</v>
          </cell>
          <cell r="B880" t="str">
            <v>ENTRE RIOS</v>
          </cell>
          <cell r="C880" t="str">
            <v>DIAMANTE</v>
          </cell>
          <cell r="D880" t="str">
            <v>STROBEL</v>
          </cell>
          <cell r="E880" t="str">
            <v>PARANA</v>
          </cell>
          <cell r="F880">
            <v>0</v>
          </cell>
          <cell r="H880" t="str">
            <v>STROBEL</v>
          </cell>
          <cell r="I880" t="str">
            <v>E3105ZAC</v>
          </cell>
        </row>
        <row r="881">
          <cell r="A881" t="str">
            <v>E1311</v>
          </cell>
          <cell r="B881" t="str">
            <v>ENTRE RIOS</v>
          </cell>
          <cell r="C881" t="str">
            <v>TALA</v>
          </cell>
          <cell r="D881" t="str">
            <v>GOBERNADOR ECHAGUE</v>
          </cell>
          <cell r="E881" t="str">
            <v>AV 1</v>
          </cell>
          <cell r="F881">
            <v>0</v>
          </cell>
          <cell r="H881" t="str">
            <v>GOBERNADOR ECHAGUE</v>
          </cell>
          <cell r="I881" t="str">
            <v>E2847ZAA</v>
          </cell>
        </row>
        <row r="882">
          <cell r="A882" t="str">
            <v>E3265</v>
          </cell>
          <cell r="B882" t="str">
            <v>ENTRE RIOS</v>
          </cell>
          <cell r="C882" t="str">
            <v>DIAMANTE</v>
          </cell>
          <cell r="D882" t="str">
            <v>PUERTO LAS CUEVAS</v>
          </cell>
          <cell r="E882" t="str">
            <v>CALLE PUBLICA</v>
          </cell>
          <cell r="H882" t="str">
            <v>PUERTO LAS CUEVAS</v>
          </cell>
          <cell r="I882" t="str">
            <v>E3105ZAB</v>
          </cell>
        </row>
        <row r="883">
          <cell r="A883" t="str">
            <v>E3361</v>
          </cell>
          <cell r="B883" t="str">
            <v>ENTRE RIOS</v>
          </cell>
          <cell r="C883" t="str">
            <v>PARANA</v>
          </cell>
          <cell r="D883" t="str">
            <v>PARANA</v>
          </cell>
          <cell r="E883" t="str">
            <v>LAPRIDA</v>
          </cell>
          <cell r="F883">
            <v>255</v>
          </cell>
          <cell r="H883" t="str">
            <v>MINIPOST TRIBUNALES</v>
          </cell>
          <cell r="I883" t="str">
            <v>E3100ZBV</v>
          </cell>
        </row>
        <row r="884">
          <cell r="A884" t="str">
            <v>E3362</v>
          </cell>
          <cell r="B884" t="str">
            <v>ENTRE RIOS</v>
          </cell>
          <cell r="C884" t="str">
            <v>PARANA</v>
          </cell>
          <cell r="D884" t="str">
            <v>PARANA</v>
          </cell>
          <cell r="E884" t="str">
            <v>SANTIAGO DE LINIERS</v>
          </cell>
          <cell r="F884">
            <v>1</v>
          </cell>
          <cell r="H884" t="str">
            <v>AGENCIA ADUANA</v>
          </cell>
          <cell r="I884" t="str">
            <v>E3100ZBW</v>
          </cell>
        </row>
        <row r="885">
          <cell r="A885" t="str">
            <v>P0003</v>
          </cell>
          <cell r="B885" t="str">
            <v>FORMOSA</v>
          </cell>
          <cell r="C885" t="str">
            <v>PILCOMAYO</v>
          </cell>
          <cell r="D885" t="str">
            <v>CLORINDA</v>
          </cell>
          <cell r="E885" t="str">
            <v>JOSE FERNANDEZ CANCIO</v>
          </cell>
          <cell r="F885">
            <v>1401</v>
          </cell>
          <cell r="H885" t="str">
            <v>CLORINDA</v>
          </cell>
          <cell r="I885" t="str">
            <v>P3610ZAB</v>
          </cell>
        </row>
        <row r="886">
          <cell r="A886" t="str">
            <v>P0006</v>
          </cell>
          <cell r="B886" t="str">
            <v>FORMOSA</v>
          </cell>
          <cell r="C886" t="str">
            <v>PIRANE</v>
          </cell>
          <cell r="D886" t="str">
            <v>EL COLORADO</v>
          </cell>
          <cell r="E886" t="str">
            <v>CORRIENTES</v>
          </cell>
          <cell r="F886">
            <v>100</v>
          </cell>
          <cell r="H886" t="str">
            <v>EL COLORADO</v>
          </cell>
          <cell r="I886" t="str">
            <v>P3603ZAA</v>
          </cell>
        </row>
        <row r="887">
          <cell r="A887" t="str">
            <v>P0008</v>
          </cell>
          <cell r="B887" t="str">
            <v>FORMOSA</v>
          </cell>
          <cell r="C887" t="str">
            <v>PILAGAS</v>
          </cell>
          <cell r="D887" t="str">
            <v>EL ESPINILLO</v>
          </cell>
          <cell r="E887" t="str">
            <v>25 DE MAYO</v>
          </cell>
          <cell r="F887">
            <v>0</v>
          </cell>
          <cell r="H887" t="str">
            <v>EL ESPINILLO</v>
          </cell>
          <cell r="I887" t="str">
            <v>P3615ZAA</v>
          </cell>
        </row>
        <row r="888">
          <cell r="A888" t="str">
            <v>P0010</v>
          </cell>
          <cell r="B888" t="str">
            <v>FORMOSA</v>
          </cell>
          <cell r="C888" t="str">
            <v>PATIÃ‘O</v>
          </cell>
          <cell r="D888" t="str">
            <v>ESTANISLAO DEL CAMPO</v>
          </cell>
          <cell r="E888" t="str">
            <v>AV 2 DE ABRIL</v>
          </cell>
          <cell r="F888">
            <v>0</v>
          </cell>
          <cell r="H888" t="str">
            <v>ESTANISLAO DEL CAMPO</v>
          </cell>
          <cell r="I888" t="str">
            <v>P3626ZAA</v>
          </cell>
        </row>
        <row r="889">
          <cell r="A889" t="str">
            <v>P0012</v>
          </cell>
          <cell r="B889" t="str">
            <v>FORMOSA</v>
          </cell>
          <cell r="C889" t="str">
            <v>FORMOSA</v>
          </cell>
          <cell r="D889" t="str">
            <v>FORMOSA</v>
          </cell>
          <cell r="E889" t="str">
            <v>AV 9 DE JULIO</v>
          </cell>
          <cell r="F889">
            <v>920</v>
          </cell>
          <cell r="H889" t="str">
            <v>FORMOSA</v>
          </cell>
          <cell r="I889" t="str">
            <v>P3600ZAA</v>
          </cell>
        </row>
        <row r="890">
          <cell r="A890" t="str">
            <v>P0014</v>
          </cell>
          <cell r="B890" t="str">
            <v>FORMOSA</v>
          </cell>
          <cell r="C890" t="str">
            <v>PATIÃ‘O</v>
          </cell>
          <cell r="D890" t="str">
            <v>VILLA GRAL MANUEL BELGRANO</v>
          </cell>
          <cell r="E890" t="str">
            <v>AV PERU</v>
          </cell>
          <cell r="F890">
            <v>0</v>
          </cell>
          <cell r="H890" t="str">
            <v>GRAL. M. BELGRANO</v>
          </cell>
          <cell r="I890" t="str">
            <v>P3615ZAB</v>
          </cell>
        </row>
        <row r="891">
          <cell r="A891" t="str">
            <v>P0016</v>
          </cell>
          <cell r="B891" t="str">
            <v>FORMOSA</v>
          </cell>
          <cell r="C891" t="str">
            <v>LAISHI</v>
          </cell>
          <cell r="D891" t="str">
            <v>HERRADURA</v>
          </cell>
          <cell r="E891" t="str">
            <v>AV LIBERTADOR GRAL SAN MARTIN</v>
          </cell>
          <cell r="F891">
            <v>0</v>
          </cell>
          <cell r="H891" t="str">
            <v>HERRADURA</v>
          </cell>
          <cell r="I891" t="str">
            <v>P3601ZAA</v>
          </cell>
        </row>
        <row r="892">
          <cell r="A892" t="str">
            <v>P0018</v>
          </cell>
          <cell r="B892" t="str">
            <v>FORMOSA</v>
          </cell>
          <cell r="C892" t="str">
            <v>PATIÃ‘O</v>
          </cell>
          <cell r="D892" t="str">
            <v>IBARRETA</v>
          </cell>
          <cell r="E892" t="str">
            <v>GRAL SAN MARTIN</v>
          </cell>
          <cell r="F892">
            <v>795</v>
          </cell>
          <cell r="H892" t="str">
            <v>IBARRETA</v>
          </cell>
          <cell r="I892" t="str">
            <v>P3624ZAA</v>
          </cell>
        </row>
        <row r="893">
          <cell r="A893" t="str">
            <v>P0020</v>
          </cell>
          <cell r="B893" t="str">
            <v>FORMOSA</v>
          </cell>
          <cell r="C893" t="str">
            <v>MATACOS</v>
          </cell>
          <cell r="D893" t="str">
            <v>ING GUILLERMO N JUAREZ</v>
          </cell>
          <cell r="E893" t="str">
            <v>SAN MARTIN</v>
          </cell>
          <cell r="F893">
            <v>0</v>
          </cell>
          <cell r="H893" t="str">
            <v>ING.JUAREZ</v>
          </cell>
          <cell r="I893" t="str">
            <v>P3636ZAA</v>
          </cell>
        </row>
        <row r="894">
          <cell r="A894" t="str">
            <v>P0022</v>
          </cell>
          <cell r="B894" t="str">
            <v>FORMOSA</v>
          </cell>
          <cell r="C894" t="str">
            <v>PILCOMAYO</v>
          </cell>
          <cell r="D894" t="str">
            <v>LAGUNA BLANCA</v>
          </cell>
          <cell r="E894" t="str">
            <v>B RIVADAVIA</v>
          </cell>
          <cell r="F894">
            <v>0</v>
          </cell>
          <cell r="H894" t="str">
            <v>LAGUNA BLANCA</v>
          </cell>
          <cell r="I894" t="str">
            <v>P3613ZAA</v>
          </cell>
        </row>
        <row r="895">
          <cell r="A895" t="str">
            <v>P0024</v>
          </cell>
          <cell r="B895" t="str">
            <v>FORMOSA</v>
          </cell>
          <cell r="C895" t="str">
            <v>PATIÃ‘O</v>
          </cell>
          <cell r="D895" t="str">
            <v>LAS LOMITAS</v>
          </cell>
          <cell r="E895" t="str">
            <v>AV SAN MARTIN</v>
          </cell>
          <cell r="F895">
            <v>118</v>
          </cell>
          <cell r="H895" t="str">
            <v>LAS LOMITAS</v>
          </cell>
          <cell r="I895" t="str">
            <v>P3630ZAA</v>
          </cell>
        </row>
        <row r="896">
          <cell r="A896" t="str">
            <v>P0026</v>
          </cell>
          <cell r="B896" t="str">
            <v>FORMOSA</v>
          </cell>
          <cell r="C896" t="str">
            <v>PIRANE</v>
          </cell>
          <cell r="D896" t="str">
            <v>COLONIA CAMPO VILLAFAÃ‘E</v>
          </cell>
          <cell r="E896" t="str">
            <v>L.N. ALEM Y SAN MARTIN</v>
          </cell>
          <cell r="H896" t="str">
            <v>M. E. VILLAFAÃ‘E</v>
          </cell>
          <cell r="I896" t="str">
            <v>P3601ZAB</v>
          </cell>
        </row>
        <row r="897">
          <cell r="A897" t="str">
            <v>P0028</v>
          </cell>
          <cell r="B897" t="str">
            <v>FORMOSA</v>
          </cell>
          <cell r="C897" t="str">
            <v>LAISHI</v>
          </cell>
          <cell r="D897" t="str">
            <v>SAN FRANCISCO DE LAISHI</v>
          </cell>
          <cell r="E897" t="str">
            <v>AV GRAL SAN MARTIN</v>
          </cell>
          <cell r="F897">
            <v>100</v>
          </cell>
          <cell r="H897" t="str">
            <v>SAN FRANCISCO DE LAISHI</v>
          </cell>
          <cell r="I897" t="str">
            <v>P3605ZAA</v>
          </cell>
        </row>
        <row r="898">
          <cell r="A898" t="str">
            <v>P0030</v>
          </cell>
          <cell r="B898" t="str">
            <v>FORMOSA</v>
          </cell>
          <cell r="C898" t="str">
            <v>PIRANE</v>
          </cell>
          <cell r="D898" t="str">
            <v>PALO SANTO</v>
          </cell>
          <cell r="E898" t="str">
            <v>AV 2 DE ABRIL</v>
          </cell>
          <cell r="F898">
            <v>0</v>
          </cell>
          <cell r="H898" t="str">
            <v>PALO SANTO</v>
          </cell>
          <cell r="I898" t="str">
            <v>P3608ZAA</v>
          </cell>
        </row>
        <row r="899">
          <cell r="A899" t="str">
            <v>P0032</v>
          </cell>
          <cell r="B899" t="str">
            <v>FORMOSA</v>
          </cell>
          <cell r="C899" t="str">
            <v>PIRANE</v>
          </cell>
          <cell r="D899" t="str">
            <v>PIRANE</v>
          </cell>
          <cell r="E899" t="str">
            <v>AV 9 DE JULIO</v>
          </cell>
          <cell r="F899">
            <v>245</v>
          </cell>
          <cell r="H899" t="str">
            <v>PIRANE</v>
          </cell>
          <cell r="I899" t="str">
            <v>P3606ZAA</v>
          </cell>
        </row>
        <row r="900">
          <cell r="A900" t="str">
            <v>P0034</v>
          </cell>
          <cell r="B900" t="str">
            <v>FORMOSA</v>
          </cell>
          <cell r="C900" t="str">
            <v>PATIÃ‘O</v>
          </cell>
          <cell r="D900" t="str">
            <v>POZO DEL TIGRE</v>
          </cell>
          <cell r="E900" t="str">
            <v>DR MARIANO MORENO</v>
          </cell>
          <cell r="F900">
            <v>143</v>
          </cell>
          <cell r="H900" t="str">
            <v>POZO DEL TIGRE</v>
          </cell>
          <cell r="I900" t="str">
            <v>P3628ZAA</v>
          </cell>
        </row>
        <row r="901">
          <cell r="A901" t="str">
            <v>P0036</v>
          </cell>
          <cell r="B901" t="str">
            <v>FORMOSA</v>
          </cell>
          <cell r="C901" t="str">
            <v>PILCOMAYO</v>
          </cell>
          <cell r="D901" t="str">
            <v>RIACHO HE HE</v>
          </cell>
          <cell r="E901" t="str">
            <v>ADRIAN GOMEZ</v>
          </cell>
          <cell r="F901">
            <v>0</v>
          </cell>
          <cell r="H901" t="str">
            <v>RIACHO HE-HE</v>
          </cell>
          <cell r="I901" t="str">
            <v>P3611ZAA</v>
          </cell>
        </row>
        <row r="902">
          <cell r="A902" t="str">
            <v>P0038</v>
          </cell>
          <cell r="B902" t="str">
            <v>FORMOSA</v>
          </cell>
          <cell r="C902" t="str">
            <v>LAISHI</v>
          </cell>
          <cell r="D902" t="str">
            <v>GRAL LUCIO V MANSILLA</v>
          </cell>
          <cell r="E902" t="str">
            <v>GRAL SAN MARTIN</v>
          </cell>
          <cell r="F902">
            <v>195</v>
          </cell>
          <cell r="H902" t="str">
            <v>GRAL.LUCIO V.MANSILLA</v>
          </cell>
          <cell r="I902" t="str">
            <v>P3526ZAA</v>
          </cell>
        </row>
        <row r="903">
          <cell r="A903" t="str">
            <v>P0042</v>
          </cell>
          <cell r="B903" t="str">
            <v>FORMOSA</v>
          </cell>
          <cell r="C903" t="str">
            <v>PATIÃ‘O</v>
          </cell>
          <cell r="D903" t="str">
            <v>VILLA GENERAL GUEMES</v>
          </cell>
          <cell r="E903" t="str">
            <v>VELEZ SARSFIELD</v>
          </cell>
          <cell r="F903">
            <v>0</v>
          </cell>
          <cell r="H903" t="str">
            <v>VILLA GRAL. GUEMES</v>
          </cell>
          <cell r="I903" t="str">
            <v>P3621ZAA</v>
          </cell>
        </row>
        <row r="904">
          <cell r="A904" t="str">
            <v>P1008</v>
          </cell>
          <cell r="B904" t="str">
            <v>FORMOSA</v>
          </cell>
          <cell r="C904" t="str">
            <v>PILAGAS</v>
          </cell>
          <cell r="D904" t="str">
            <v>BUENA VISTA</v>
          </cell>
          <cell r="E904" t="str">
            <v>AV 9 DE JULIO</v>
          </cell>
          <cell r="F904">
            <v>0</v>
          </cell>
          <cell r="H904" t="str">
            <v>BUENA VISTA</v>
          </cell>
          <cell r="I904" t="str">
            <v>P3617ZAA</v>
          </cell>
        </row>
        <row r="905">
          <cell r="A905" t="str">
            <v>P1010</v>
          </cell>
          <cell r="B905" t="str">
            <v>FORMOSA</v>
          </cell>
          <cell r="C905" t="str">
            <v>FORMOSA</v>
          </cell>
          <cell r="D905" t="str">
            <v>COLONIA PASTORIL</v>
          </cell>
          <cell r="E905" t="str">
            <v>CALLE P BLICA S N</v>
          </cell>
          <cell r="H905" t="str">
            <v>COLONIA PASTORIL</v>
          </cell>
          <cell r="I905" t="str">
            <v>P3601ZAC</v>
          </cell>
        </row>
        <row r="906">
          <cell r="A906" t="str">
            <v>P1028</v>
          </cell>
          <cell r="B906" t="str">
            <v>FORMOSA</v>
          </cell>
          <cell r="C906" t="str">
            <v>LAISHI</v>
          </cell>
          <cell r="D906" t="str">
            <v>CABO ADRIANO AYALA</v>
          </cell>
          <cell r="E906" t="str">
            <v>RUTA PROV N 9 KM 100</v>
          </cell>
          <cell r="H906" t="str">
            <v>CABO A.AYALA</v>
          </cell>
          <cell r="I906" t="str">
            <v>P3519ZAA</v>
          </cell>
        </row>
        <row r="907">
          <cell r="A907" t="str">
            <v>P1034</v>
          </cell>
          <cell r="B907" t="str">
            <v>FORMOSA</v>
          </cell>
          <cell r="C907" t="str">
            <v>FORMOSA</v>
          </cell>
          <cell r="D907" t="str">
            <v>MARIANO BOEDO</v>
          </cell>
          <cell r="E907" t="str">
            <v>CALLE P BLICA S N</v>
          </cell>
          <cell r="H907" t="str">
            <v>MARIANO BOEDO</v>
          </cell>
          <cell r="I907" t="str">
            <v>P3604ZAB</v>
          </cell>
        </row>
        <row r="908">
          <cell r="A908" t="str">
            <v>P1052</v>
          </cell>
          <cell r="B908" t="str">
            <v>FORMOSA</v>
          </cell>
          <cell r="C908" t="str">
            <v>PILAGAS</v>
          </cell>
          <cell r="D908" t="str">
            <v>MISION TACAAGLE</v>
          </cell>
          <cell r="E908" t="str">
            <v>AV 5 DE OCTUBRE</v>
          </cell>
          <cell r="F908">
            <v>0</v>
          </cell>
          <cell r="H908" t="str">
            <v>MISION TACAAGLE</v>
          </cell>
          <cell r="I908" t="str">
            <v>P3614ZAB</v>
          </cell>
        </row>
        <row r="909">
          <cell r="A909" t="str">
            <v>P1070</v>
          </cell>
          <cell r="B909" t="str">
            <v>FORMOSA</v>
          </cell>
          <cell r="C909" t="str">
            <v>PILCOMAYO</v>
          </cell>
          <cell r="D909" t="str">
            <v>CLORINDA</v>
          </cell>
          <cell r="E909" t="str">
            <v>S/C</v>
          </cell>
          <cell r="F909">
            <v>0</v>
          </cell>
          <cell r="H909" t="str">
            <v>ESTAF.NÂº 1 CLORINDA</v>
          </cell>
          <cell r="I909" t="str">
            <v>P3610ZAA</v>
          </cell>
        </row>
        <row r="910">
          <cell r="A910" t="str">
            <v>P1082</v>
          </cell>
          <cell r="B910" t="str">
            <v>FORMOSA</v>
          </cell>
          <cell r="C910" t="str">
            <v>PIRANE</v>
          </cell>
          <cell r="D910" t="str">
            <v>VILLA DOS TRECE</v>
          </cell>
          <cell r="E910" t="str">
            <v>GRAL JUAN M DE PUEYRREDON</v>
          </cell>
          <cell r="F910">
            <v>0</v>
          </cell>
          <cell r="H910" t="str">
            <v>VILLA DOS TRECE</v>
          </cell>
          <cell r="I910" t="str">
            <v>P3602ZAA</v>
          </cell>
        </row>
        <row r="911">
          <cell r="A911" t="str">
            <v>P1083</v>
          </cell>
          <cell r="B911" t="str">
            <v>FORMOSA</v>
          </cell>
          <cell r="C911" t="str">
            <v>PATIÃ‘O</v>
          </cell>
          <cell r="D911" t="str">
            <v>COMANDANTE FONTANA</v>
          </cell>
          <cell r="E911" t="str">
            <v>AV SAN MARTIN</v>
          </cell>
          <cell r="F911">
            <v>0</v>
          </cell>
          <cell r="H911" t="str">
            <v>CMTE. FONTANA</v>
          </cell>
          <cell r="I911" t="str">
            <v>P3620ZAA</v>
          </cell>
        </row>
        <row r="912">
          <cell r="A912" t="str">
            <v>Y0000</v>
          </cell>
          <cell r="B912" t="str">
            <v>JUJUY</v>
          </cell>
          <cell r="C912" t="str">
            <v>DR MANUEL BELGRANO</v>
          </cell>
          <cell r="D912" t="str">
            <v>SAN SALVADOR DE JUJUY</v>
          </cell>
          <cell r="E912" t="str">
            <v>GRAL M BELGRANO</v>
          </cell>
          <cell r="F912">
            <v>1136</v>
          </cell>
          <cell r="H912" t="str">
            <v>SAN SALVADOR DE JUJUY</v>
          </cell>
          <cell r="I912" t="str">
            <v>Y4600ZAA</v>
          </cell>
        </row>
        <row r="913">
          <cell r="A913" t="str">
            <v>Y0002</v>
          </cell>
          <cell r="B913" t="str">
            <v>JUJUY</v>
          </cell>
          <cell r="C913" t="str">
            <v>COCHINOCA</v>
          </cell>
          <cell r="D913" t="str">
            <v>ABRA PAMPA</v>
          </cell>
          <cell r="E913" t="str">
            <v>SARMIENTO</v>
          </cell>
          <cell r="F913">
            <v>490</v>
          </cell>
          <cell r="H913" t="str">
            <v>ABRA PAMPA</v>
          </cell>
          <cell r="I913" t="str">
            <v>Y4640ZAA</v>
          </cell>
        </row>
        <row r="914">
          <cell r="A914" t="str">
            <v>Y0010</v>
          </cell>
          <cell r="B914" t="str">
            <v>JUJUY</v>
          </cell>
          <cell r="C914" t="str">
            <v>HUMAHUACA</v>
          </cell>
          <cell r="D914" t="str">
            <v>EL AGUILAR</v>
          </cell>
          <cell r="E914" t="str">
            <v>CALLE PUBLICA S N</v>
          </cell>
          <cell r="H914" t="str">
            <v>EL AGUILAR</v>
          </cell>
          <cell r="I914" t="str">
            <v>Y4634ZAA</v>
          </cell>
        </row>
        <row r="915">
          <cell r="A915" t="str">
            <v>Y0012</v>
          </cell>
          <cell r="B915" t="str">
            <v>JUJUY</v>
          </cell>
          <cell r="C915" t="str">
            <v>LEDESMA</v>
          </cell>
          <cell r="D915" t="str">
            <v>FRAILE PINTADO</v>
          </cell>
          <cell r="E915" t="str">
            <v>JOSE IGNACIO GORRITI</v>
          </cell>
          <cell r="F915">
            <v>175</v>
          </cell>
          <cell r="H915" t="str">
            <v>FRAILE PINTADO</v>
          </cell>
          <cell r="I915" t="str">
            <v>Y4506ZAA</v>
          </cell>
        </row>
        <row r="916">
          <cell r="A916" t="str">
            <v>Y0014</v>
          </cell>
          <cell r="B916" t="str">
            <v>JUJUY</v>
          </cell>
          <cell r="C916" t="str">
            <v>HUMAHUACA</v>
          </cell>
          <cell r="D916" t="str">
            <v>HUMAHUACA</v>
          </cell>
          <cell r="E916" t="str">
            <v>BUENOS AIRES</v>
          </cell>
          <cell r="F916">
            <v>199</v>
          </cell>
          <cell r="H916" t="str">
            <v>HUMAHUACA</v>
          </cell>
          <cell r="I916" t="str">
            <v>Y4630ZAA</v>
          </cell>
        </row>
        <row r="917">
          <cell r="A917" t="str">
            <v>Y0020</v>
          </cell>
          <cell r="B917" t="str">
            <v>JUJUY</v>
          </cell>
          <cell r="C917" t="str">
            <v>SAN PEDRO</v>
          </cell>
          <cell r="D917" t="str">
            <v>LA MENDIETA</v>
          </cell>
          <cell r="E917" t="str">
            <v>RECONQUISTA</v>
          </cell>
          <cell r="F917">
            <v>40</v>
          </cell>
          <cell r="H917" t="str">
            <v>LA MENDIETA</v>
          </cell>
          <cell r="I917" t="str">
            <v>Y4522ZAA</v>
          </cell>
        </row>
        <row r="918">
          <cell r="A918" t="str">
            <v>Y0022</v>
          </cell>
          <cell r="B918" t="str">
            <v>JUJUY</v>
          </cell>
          <cell r="C918" t="str">
            <v>YAVI</v>
          </cell>
          <cell r="D918" t="str">
            <v>LA QUIACA</v>
          </cell>
          <cell r="E918" t="str">
            <v>AV SARMIENTO</v>
          </cell>
          <cell r="F918">
            <v>207</v>
          </cell>
          <cell r="H918" t="str">
            <v>LA QUIACA</v>
          </cell>
          <cell r="I918" t="str">
            <v>Y4650ZAA</v>
          </cell>
        </row>
        <row r="919">
          <cell r="A919" t="str">
            <v>Y0024</v>
          </cell>
          <cell r="B919" t="str">
            <v>JUJUY</v>
          </cell>
          <cell r="C919" t="str">
            <v>LEDESMA</v>
          </cell>
          <cell r="D919" t="str">
            <v>LIB GRAL SAN MARTIN</v>
          </cell>
          <cell r="E919" t="str">
            <v>MANUEL BELGRANO</v>
          </cell>
          <cell r="F919">
            <v>495</v>
          </cell>
          <cell r="H919" t="str">
            <v>LIB. GRAL. SAN MARTIN</v>
          </cell>
          <cell r="I919" t="str">
            <v>Y4512ZAB</v>
          </cell>
        </row>
        <row r="920">
          <cell r="A920" t="str">
            <v>Y0026</v>
          </cell>
          <cell r="B920" t="str">
            <v>JUJUY</v>
          </cell>
          <cell r="C920" t="str">
            <v>TILCARA</v>
          </cell>
          <cell r="D920" t="str">
            <v>MAIMARA</v>
          </cell>
          <cell r="E920" t="str">
            <v>AV MANUEL BELGRANO</v>
          </cell>
          <cell r="F920">
            <v>301</v>
          </cell>
          <cell r="H920" t="str">
            <v>MAIMARA</v>
          </cell>
          <cell r="I920" t="str">
            <v>Y4622ZAA</v>
          </cell>
        </row>
        <row r="921">
          <cell r="A921" t="str">
            <v>Y0030</v>
          </cell>
          <cell r="B921" t="str">
            <v>JUJUY</v>
          </cell>
          <cell r="C921" t="str">
            <v>EL CARMEN</v>
          </cell>
          <cell r="D921" t="str">
            <v>MONTERRICO</v>
          </cell>
          <cell r="E921" t="str">
            <v>JUJUY</v>
          </cell>
          <cell r="F921">
            <v>250</v>
          </cell>
          <cell r="H921" t="str">
            <v>MONTERRICO</v>
          </cell>
          <cell r="I921" t="str">
            <v>Y4608ZAA</v>
          </cell>
        </row>
        <row r="922">
          <cell r="A922" t="str">
            <v>Y0032</v>
          </cell>
          <cell r="B922" t="str">
            <v>JUJUY</v>
          </cell>
          <cell r="C922" t="str">
            <v>DR MANUEL BELGRANO</v>
          </cell>
          <cell r="D922" t="str">
            <v>PALPALA</v>
          </cell>
          <cell r="E922" t="str">
            <v>REPÃºBLICA DE SIRIA  ESQ GENDAR NACIONAL</v>
          </cell>
          <cell r="H922" t="str">
            <v>PALPALÃ</v>
          </cell>
          <cell r="I922" t="str">
            <v>Y4612ZAA</v>
          </cell>
        </row>
        <row r="923">
          <cell r="A923" t="str">
            <v>Y0036</v>
          </cell>
          <cell r="B923" t="str">
            <v>JUJUY</v>
          </cell>
          <cell r="C923" t="str">
            <v>EL CARMEN</v>
          </cell>
          <cell r="D923" t="str">
            <v>PERICO</v>
          </cell>
          <cell r="E923" t="str">
            <v>AV SAN MARTIN</v>
          </cell>
          <cell r="F923">
            <v>299</v>
          </cell>
          <cell r="H923" t="str">
            <v>PERICO</v>
          </cell>
          <cell r="I923" t="str">
            <v>Y4610ZAA</v>
          </cell>
        </row>
        <row r="924">
          <cell r="A924" t="str">
            <v>Y0040</v>
          </cell>
          <cell r="B924" t="str">
            <v>JUJUY</v>
          </cell>
          <cell r="C924" t="str">
            <v>EL CARMEN</v>
          </cell>
          <cell r="D924" t="str">
            <v>EL CARMEN</v>
          </cell>
          <cell r="E924" t="str">
            <v>MANUEL BELGRANO</v>
          </cell>
          <cell r="F924">
            <v>909</v>
          </cell>
          <cell r="H924" t="str">
            <v>PERICO DEL CARMEN</v>
          </cell>
          <cell r="I924" t="str">
            <v>Y4603ZAA</v>
          </cell>
        </row>
        <row r="925">
          <cell r="A925" t="str">
            <v>Y0046</v>
          </cell>
          <cell r="B925" t="str">
            <v>JUJUY</v>
          </cell>
          <cell r="C925" t="str">
            <v>SAN PEDRO</v>
          </cell>
          <cell r="D925" t="str">
            <v>SAN PEDRO</v>
          </cell>
          <cell r="E925" t="str">
            <v>SARMIENTO</v>
          </cell>
          <cell r="F925">
            <v>280</v>
          </cell>
          <cell r="H925" t="str">
            <v>SAN PEDRO</v>
          </cell>
          <cell r="I925" t="str">
            <v>Y4500ZAA</v>
          </cell>
        </row>
        <row r="926">
          <cell r="A926" t="str">
            <v>Y0052</v>
          </cell>
          <cell r="B926" t="str">
            <v>JUJUY</v>
          </cell>
          <cell r="C926" t="str">
            <v>TILCARA</v>
          </cell>
          <cell r="D926" t="str">
            <v>TILCARA</v>
          </cell>
          <cell r="E926" t="str">
            <v>B RIVADAVIA</v>
          </cell>
          <cell r="F926">
            <v>497</v>
          </cell>
          <cell r="H926" t="str">
            <v>TILCARA</v>
          </cell>
          <cell r="I926" t="str">
            <v>Y4624ZAA</v>
          </cell>
        </row>
        <row r="927">
          <cell r="A927" t="str">
            <v>Y0062</v>
          </cell>
          <cell r="B927" t="str">
            <v>JUJUY</v>
          </cell>
          <cell r="C927" t="str">
            <v>LEDESMA</v>
          </cell>
          <cell r="D927" t="str">
            <v>YUTO</v>
          </cell>
          <cell r="E927" t="str">
            <v>AV SARMIENTO</v>
          </cell>
          <cell r="F927">
            <v>0</v>
          </cell>
          <cell r="H927" t="str">
            <v>YUTO</v>
          </cell>
          <cell r="I927" t="str">
            <v>Y4518ZAA</v>
          </cell>
        </row>
        <row r="928">
          <cell r="A928" t="str">
            <v>Y1034</v>
          </cell>
          <cell r="B928" t="str">
            <v>JUJUY</v>
          </cell>
          <cell r="C928" t="str">
            <v>SANTA BARBARA</v>
          </cell>
          <cell r="D928" t="str">
            <v>PALMA SOLA</v>
          </cell>
          <cell r="E928" t="str">
            <v>AV ROBERTO DARDO DOMINGUEZ</v>
          </cell>
          <cell r="F928">
            <v>1</v>
          </cell>
          <cell r="H928" t="str">
            <v>PALMA SOLA</v>
          </cell>
          <cell r="I928" t="str">
            <v>Y4510ZAA</v>
          </cell>
        </row>
        <row r="929">
          <cell r="A929" t="str">
            <v>Y1163</v>
          </cell>
          <cell r="B929" t="str">
            <v>JUJUY</v>
          </cell>
          <cell r="C929" t="str">
            <v>DR MANUEL BELGRANO</v>
          </cell>
          <cell r="D929" t="str">
            <v>NAZARENO</v>
          </cell>
          <cell r="E929" t="str">
            <v>AV SAN MARCOS S/N*</v>
          </cell>
          <cell r="H929" t="str">
            <v>NAZARENO</v>
          </cell>
          <cell r="I929" t="str">
            <v>Y4600ZAD</v>
          </cell>
        </row>
        <row r="930">
          <cell r="A930" t="str">
            <v>Y1200</v>
          </cell>
          <cell r="B930" t="str">
            <v>JUJUY</v>
          </cell>
          <cell r="C930" t="str">
            <v>SUSQUES</v>
          </cell>
          <cell r="D930" t="str">
            <v>CATUA</v>
          </cell>
          <cell r="E930" t="str">
            <v>PARAJE</v>
          </cell>
          <cell r="H930" t="str">
            <v>CATUA</v>
          </cell>
          <cell r="I930" t="str">
            <v>Y4413ZAA</v>
          </cell>
        </row>
        <row r="931">
          <cell r="A931" t="str">
            <v>Y3149</v>
          </cell>
          <cell r="B931" t="str">
            <v>JUJUY</v>
          </cell>
          <cell r="C931" t="str">
            <v>DR MANUEL BELGRANO</v>
          </cell>
          <cell r="D931" t="str">
            <v>SAN SALVADOR DE JUJUY</v>
          </cell>
          <cell r="E931" t="str">
            <v>VALLE GRANDE</v>
          </cell>
          <cell r="F931">
            <v>0</v>
          </cell>
          <cell r="H931" t="str">
            <v>AGENCIA ALTO COMEDERO</v>
          </cell>
          <cell r="I931" t="str">
            <v>Y4609ZAA</v>
          </cell>
        </row>
        <row r="932">
          <cell r="A932" t="str">
            <v>L0000</v>
          </cell>
          <cell r="B932" t="str">
            <v>LA PAMPA</v>
          </cell>
          <cell r="C932" t="str">
            <v>CAPITAL</v>
          </cell>
          <cell r="D932" t="str">
            <v>SANTA ROSA</v>
          </cell>
          <cell r="E932" t="str">
            <v>B RIVADAVIA</v>
          </cell>
          <cell r="F932">
            <v>202</v>
          </cell>
          <cell r="H932" t="str">
            <v>SANTA ROSA</v>
          </cell>
          <cell r="I932" t="str">
            <v>L6300ZAA</v>
          </cell>
        </row>
        <row r="933">
          <cell r="A933" t="str">
            <v>L0002</v>
          </cell>
          <cell r="B933" t="str">
            <v>LA PAMPA</v>
          </cell>
          <cell r="C933" t="str">
            <v>GUATRACHE</v>
          </cell>
          <cell r="D933" t="str">
            <v>ALPACHIRI</v>
          </cell>
          <cell r="E933" t="str">
            <v>25 DE MAYO</v>
          </cell>
          <cell r="F933">
            <v>200</v>
          </cell>
          <cell r="H933" t="str">
            <v>ALPACHIRI</v>
          </cell>
          <cell r="I933" t="str">
            <v>L6309ZAA</v>
          </cell>
        </row>
        <row r="934">
          <cell r="A934" t="str">
            <v>L0004</v>
          </cell>
          <cell r="B934" t="str">
            <v>LA PAMPA</v>
          </cell>
          <cell r="C934" t="str">
            <v>REALICO</v>
          </cell>
          <cell r="D934" t="str">
            <v>ALTA ITALIA</v>
          </cell>
          <cell r="E934" t="str">
            <v>ARISTOBULO DEL VALLE</v>
          </cell>
          <cell r="F934">
            <v>437</v>
          </cell>
          <cell r="H934" t="str">
            <v>ALTA ITALIA</v>
          </cell>
          <cell r="I934" t="str">
            <v>L6207ZAA</v>
          </cell>
        </row>
        <row r="935">
          <cell r="A935" t="str">
            <v>L0006</v>
          </cell>
          <cell r="B935" t="str">
            <v>LA PAMPA</v>
          </cell>
          <cell r="C935" t="str">
            <v>CAPITAL</v>
          </cell>
          <cell r="D935" t="str">
            <v>ANGUIL</v>
          </cell>
          <cell r="E935" t="str">
            <v>ESPAÃ‘A</v>
          </cell>
          <cell r="F935">
            <v>404</v>
          </cell>
          <cell r="H935" t="str">
            <v>ANGUIL</v>
          </cell>
          <cell r="I935" t="str">
            <v>L6326ZAA</v>
          </cell>
        </row>
        <row r="936">
          <cell r="A936" t="str">
            <v>L0008</v>
          </cell>
          <cell r="B936" t="str">
            <v>LA PAMPA</v>
          </cell>
          <cell r="C936" t="str">
            <v>TRENEL</v>
          </cell>
          <cell r="D936" t="str">
            <v>ARATA</v>
          </cell>
          <cell r="E936" t="str">
            <v>MANUEL BELGRANO</v>
          </cell>
          <cell r="F936">
            <v>393</v>
          </cell>
          <cell r="H936" t="str">
            <v>ARATA</v>
          </cell>
          <cell r="I936" t="str">
            <v>L6385ZAA</v>
          </cell>
        </row>
        <row r="937">
          <cell r="A937" t="str">
            <v>L0010</v>
          </cell>
          <cell r="B937" t="str">
            <v>LA PAMPA</v>
          </cell>
          <cell r="C937" t="str">
            <v>CHAPALEUFU</v>
          </cell>
          <cell r="D937" t="str">
            <v>BERNARDO LARROUDE</v>
          </cell>
          <cell r="E937" t="str">
            <v>ROBERTO PEREZ</v>
          </cell>
          <cell r="F937">
            <v>337</v>
          </cell>
          <cell r="H937" t="str">
            <v>BERNARDO LARROUDE</v>
          </cell>
          <cell r="I937" t="str">
            <v>L6220ZAA</v>
          </cell>
        </row>
        <row r="938">
          <cell r="A938" t="str">
            <v>L0012</v>
          </cell>
          <cell r="B938" t="str">
            <v>LA PAMPA</v>
          </cell>
          <cell r="C938" t="str">
            <v>HUCAL</v>
          </cell>
          <cell r="D938" t="str">
            <v>BERNASCONI</v>
          </cell>
          <cell r="E938" t="str">
            <v>ROMUALDO Y PEDRO NIEVES</v>
          </cell>
          <cell r="F938">
            <v>55</v>
          </cell>
          <cell r="H938" t="str">
            <v>BERNASCONI</v>
          </cell>
          <cell r="I938" t="str">
            <v>L8204ZAA</v>
          </cell>
        </row>
        <row r="939">
          <cell r="A939" t="str">
            <v>L0014</v>
          </cell>
          <cell r="B939" t="str">
            <v>LA PAMPA</v>
          </cell>
          <cell r="C939" t="str">
            <v>RANCUL</v>
          </cell>
          <cell r="D939" t="str">
            <v>CALEUFU</v>
          </cell>
          <cell r="E939" t="str">
            <v>SAN MARTIN</v>
          </cell>
          <cell r="F939">
            <v>100</v>
          </cell>
          <cell r="H939" t="str">
            <v>CALEUFU</v>
          </cell>
          <cell r="I939" t="str">
            <v>L6387ZAA</v>
          </cell>
        </row>
        <row r="940">
          <cell r="A940" t="str">
            <v>L0016</v>
          </cell>
          <cell r="B940" t="str">
            <v>LA PAMPA</v>
          </cell>
          <cell r="C940" t="str">
            <v>CATRILO</v>
          </cell>
          <cell r="D940" t="str">
            <v>CATRILO</v>
          </cell>
          <cell r="E940" t="str">
            <v>ROQUE SAENZ PEÃ‘A</v>
          </cell>
          <cell r="F940">
            <v>305</v>
          </cell>
          <cell r="H940" t="str">
            <v>CATRILO</v>
          </cell>
          <cell r="I940" t="str">
            <v>L6330ZAA</v>
          </cell>
        </row>
        <row r="941">
          <cell r="A941" t="str">
            <v>L0018</v>
          </cell>
          <cell r="B941" t="str">
            <v>LA PAMPA</v>
          </cell>
          <cell r="C941" t="str">
            <v>QUEMU QUEMU</v>
          </cell>
          <cell r="D941" t="str">
            <v>COLONIA BARON</v>
          </cell>
          <cell r="E941" t="str">
            <v>PTE H YRIGOYEN</v>
          </cell>
          <cell r="F941">
            <v>1165</v>
          </cell>
          <cell r="H941" t="str">
            <v>COLONIA BARON</v>
          </cell>
          <cell r="I941" t="str">
            <v>L6315ZAA</v>
          </cell>
        </row>
        <row r="942">
          <cell r="A942" t="str">
            <v>L0020</v>
          </cell>
          <cell r="B942" t="str">
            <v>LA PAMPA</v>
          </cell>
          <cell r="C942" t="str">
            <v>CHAPALEUFU</v>
          </cell>
          <cell r="D942" t="str">
            <v>CORONEL HILARIO LAGOS</v>
          </cell>
          <cell r="E942" t="str">
            <v>DR MANUEL BELGRANO</v>
          </cell>
          <cell r="F942">
            <v>100</v>
          </cell>
          <cell r="H942" t="str">
            <v>CNEL. HILARIO LAGOS</v>
          </cell>
          <cell r="I942" t="str">
            <v>L6228ZAA</v>
          </cell>
        </row>
        <row r="943">
          <cell r="A943" t="str">
            <v>L0022</v>
          </cell>
          <cell r="B943" t="str">
            <v>LA PAMPA</v>
          </cell>
          <cell r="C943" t="str">
            <v>ATREUCO</v>
          </cell>
          <cell r="D943" t="str">
            <v>DOBLAS</v>
          </cell>
          <cell r="E943" t="str">
            <v>FRANCISCO LIZASO</v>
          </cell>
          <cell r="F943">
            <v>498</v>
          </cell>
          <cell r="H943" t="str">
            <v>DOBLAS</v>
          </cell>
          <cell r="I943" t="str">
            <v>L6305ZAA</v>
          </cell>
        </row>
        <row r="944">
          <cell r="A944" t="str">
            <v>L0024</v>
          </cell>
          <cell r="B944" t="str">
            <v>LA PAMPA</v>
          </cell>
          <cell r="C944" t="str">
            <v>CONHELO</v>
          </cell>
          <cell r="D944" t="str">
            <v>EDUARDO CASTEX</v>
          </cell>
          <cell r="E944" t="str">
            <v>ALTE G BROWN</v>
          </cell>
          <cell r="F944">
            <v>1141</v>
          </cell>
          <cell r="H944" t="str">
            <v>EDUARDO CASTEX</v>
          </cell>
          <cell r="I944" t="str">
            <v>L6380ZAA</v>
          </cell>
        </row>
        <row r="945">
          <cell r="A945" t="str">
            <v>L0028</v>
          </cell>
          <cell r="B945" t="str">
            <v>LA PAMPA</v>
          </cell>
          <cell r="C945" t="str">
            <v>REALICO</v>
          </cell>
          <cell r="D945" t="str">
            <v>EMBAJADOR MARTINI</v>
          </cell>
          <cell r="E945" t="str">
            <v>ALFREDO  NINET</v>
          </cell>
          <cell r="F945">
            <v>280</v>
          </cell>
          <cell r="H945" t="str">
            <v>EMBAJADOR MARTINI</v>
          </cell>
          <cell r="I945" t="str">
            <v>L6203ZAA</v>
          </cell>
        </row>
        <row r="946">
          <cell r="A946" t="str">
            <v>L0030</v>
          </cell>
          <cell r="B946" t="str">
            <v>LA PAMPA</v>
          </cell>
          <cell r="C946" t="str">
            <v>UTRACAN</v>
          </cell>
          <cell r="D946" t="str">
            <v>GENERAL ACHA</v>
          </cell>
          <cell r="E946" t="str">
            <v>MANUEL JORGE CAMPOS</v>
          </cell>
          <cell r="F946">
            <v>790</v>
          </cell>
          <cell r="H946" t="str">
            <v>GENERAL  ACHA</v>
          </cell>
          <cell r="I946" t="str">
            <v>L8200ZAA</v>
          </cell>
        </row>
        <row r="947">
          <cell r="A947" t="str">
            <v>L0032</v>
          </cell>
          <cell r="B947" t="str">
            <v>LA PAMPA</v>
          </cell>
          <cell r="C947" t="str">
            <v>MARACO</v>
          </cell>
          <cell r="D947" t="str">
            <v>GENERAL PICO</v>
          </cell>
          <cell r="E947" t="str">
            <v>CALLE 22</v>
          </cell>
          <cell r="F947">
            <v>653</v>
          </cell>
          <cell r="H947" t="str">
            <v>GRAL. PICO</v>
          </cell>
          <cell r="I947" t="str">
            <v>L6360ZAA</v>
          </cell>
        </row>
        <row r="948">
          <cell r="A948" t="str">
            <v>L0034</v>
          </cell>
          <cell r="B948" t="str">
            <v>LA PAMPA</v>
          </cell>
          <cell r="C948" t="str">
            <v>HUCAL</v>
          </cell>
          <cell r="D948" t="str">
            <v>GENERAL SAN MARTIN</v>
          </cell>
          <cell r="E948" t="str">
            <v>DR JOSE INGENIEROS</v>
          </cell>
          <cell r="F948">
            <v>250</v>
          </cell>
          <cell r="H948" t="str">
            <v>GRAL. SAN MARTIN</v>
          </cell>
          <cell r="I948" t="str">
            <v>L8206ZAA</v>
          </cell>
        </row>
        <row r="949">
          <cell r="A949" t="str">
            <v>L0036</v>
          </cell>
          <cell r="B949" t="str">
            <v>LA PAMPA</v>
          </cell>
          <cell r="C949" t="str">
            <v>GUATRACHE</v>
          </cell>
          <cell r="D949" t="str">
            <v>GUATRACHE</v>
          </cell>
          <cell r="E949" t="str">
            <v>AV COLON</v>
          </cell>
          <cell r="F949">
            <v>457</v>
          </cell>
          <cell r="H949" t="str">
            <v>GUATRACHE</v>
          </cell>
          <cell r="I949" t="str">
            <v>L6311ZAA</v>
          </cell>
        </row>
        <row r="950">
          <cell r="A950" t="str">
            <v>L0038</v>
          </cell>
          <cell r="B950" t="str">
            <v>LA PAMPA</v>
          </cell>
          <cell r="C950" t="str">
            <v>REALICO</v>
          </cell>
          <cell r="D950" t="str">
            <v>INGENIERO LUIGGI</v>
          </cell>
          <cell r="E950" t="str">
            <v>TUCUMAN</v>
          </cell>
          <cell r="F950">
            <v>597</v>
          </cell>
          <cell r="H950" t="str">
            <v>ING. LUIGGI</v>
          </cell>
          <cell r="I950" t="str">
            <v>L6205ZAA</v>
          </cell>
        </row>
        <row r="951">
          <cell r="A951" t="str">
            <v>L0040</v>
          </cell>
          <cell r="B951" t="str">
            <v>LA PAMPA</v>
          </cell>
          <cell r="C951" t="str">
            <v>CHAPALEUFU</v>
          </cell>
          <cell r="D951" t="str">
            <v>INTENDENTE ALVEAR</v>
          </cell>
          <cell r="E951" t="str">
            <v>CARLOS PELLEGRINI</v>
          </cell>
          <cell r="F951">
            <v>494</v>
          </cell>
          <cell r="H951" t="str">
            <v>INTENDENTE ALVEAR</v>
          </cell>
          <cell r="I951" t="str">
            <v>L6221ZAA</v>
          </cell>
        </row>
        <row r="952">
          <cell r="A952" t="str">
            <v>L0042</v>
          </cell>
          <cell r="B952" t="str">
            <v>LA PAMPA</v>
          </cell>
          <cell r="C952" t="str">
            <v>HUCAL</v>
          </cell>
          <cell r="D952" t="str">
            <v>JACINTO ARAUZ</v>
          </cell>
          <cell r="E952" t="str">
            <v>ESPAÃ‘A</v>
          </cell>
          <cell r="F952">
            <v>928</v>
          </cell>
          <cell r="H952" t="str">
            <v>JACINTO ARAUZ</v>
          </cell>
          <cell r="I952" t="str">
            <v>L8208ZAA</v>
          </cell>
        </row>
        <row r="953">
          <cell r="A953" t="str">
            <v>L0044</v>
          </cell>
          <cell r="B953" t="str">
            <v>LA PAMPA</v>
          </cell>
          <cell r="C953" t="str">
            <v>CATRILO</v>
          </cell>
          <cell r="D953" t="str">
            <v>LONQUIMAY</v>
          </cell>
          <cell r="E953" t="str">
            <v>JUAN TAMBORINI</v>
          </cell>
          <cell r="F953">
            <v>1</v>
          </cell>
          <cell r="H953" t="str">
            <v>LONQUIMAY</v>
          </cell>
          <cell r="I953" t="str">
            <v>L6352ZAA</v>
          </cell>
        </row>
        <row r="954">
          <cell r="A954" t="str">
            <v>L0046</v>
          </cell>
          <cell r="B954" t="str">
            <v>LA PAMPA</v>
          </cell>
          <cell r="C954" t="str">
            <v>ATREUCO</v>
          </cell>
          <cell r="D954" t="str">
            <v>MACACHIN</v>
          </cell>
          <cell r="E954" t="str">
            <v>SANTA FE</v>
          </cell>
          <cell r="F954">
            <v>350</v>
          </cell>
          <cell r="H954" t="str">
            <v>MACACHIN</v>
          </cell>
          <cell r="I954" t="str">
            <v>L6307ZAA</v>
          </cell>
        </row>
        <row r="955">
          <cell r="A955" t="str">
            <v>L0048</v>
          </cell>
          <cell r="B955" t="str">
            <v>LA PAMPA</v>
          </cell>
          <cell r="C955" t="str">
            <v>QUEMU QUEMU</v>
          </cell>
          <cell r="D955" t="str">
            <v>MIGUEL CANE</v>
          </cell>
          <cell r="E955" t="str">
            <v>SAN MARTIN</v>
          </cell>
          <cell r="F955">
            <v>431</v>
          </cell>
          <cell r="H955" t="str">
            <v>MIGUEL CANE</v>
          </cell>
          <cell r="I955" t="str">
            <v>L6331ZAA</v>
          </cell>
        </row>
        <row r="956">
          <cell r="A956" t="str">
            <v>L0050</v>
          </cell>
          <cell r="B956" t="str">
            <v>LA PAMPA</v>
          </cell>
          <cell r="C956" t="str">
            <v>ATREUCO</v>
          </cell>
          <cell r="D956" t="str">
            <v>MIGUEL RIGLOS</v>
          </cell>
          <cell r="E956" t="str">
            <v>AV GRAL SAN MARTIN</v>
          </cell>
          <cell r="F956">
            <v>450</v>
          </cell>
          <cell r="H956" t="str">
            <v>MIGUEL RIGLOS</v>
          </cell>
          <cell r="I956" t="str">
            <v>L6301ZAA</v>
          </cell>
        </row>
        <row r="957">
          <cell r="A957" t="str">
            <v>L0052</v>
          </cell>
          <cell r="B957" t="str">
            <v>LA PAMPA</v>
          </cell>
          <cell r="C957" t="str">
            <v>RANCUL</v>
          </cell>
          <cell r="D957" t="str">
            <v>PARERA</v>
          </cell>
          <cell r="E957" t="str">
            <v>LIBERTAD</v>
          </cell>
          <cell r="F957">
            <v>444</v>
          </cell>
          <cell r="H957" t="str">
            <v>PARERA</v>
          </cell>
          <cell r="I957" t="str">
            <v>L6213ZAA</v>
          </cell>
        </row>
        <row r="958">
          <cell r="A958" t="str">
            <v>L0054</v>
          </cell>
          <cell r="B958" t="str">
            <v>LA PAMPA</v>
          </cell>
          <cell r="C958" t="str">
            <v>QUEMU QUEMU</v>
          </cell>
          <cell r="D958" t="str">
            <v>QUEMU QUEMU</v>
          </cell>
          <cell r="E958" t="str">
            <v>SARMIENTO</v>
          </cell>
          <cell r="F958">
            <v>290</v>
          </cell>
          <cell r="H958" t="str">
            <v>QUEMU QUEMU</v>
          </cell>
          <cell r="I958" t="str">
            <v>L6333ZAA</v>
          </cell>
        </row>
        <row r="959">
          <cell r="A959" t="str">
            <v>L0056</v>
          </cell>
          <cell r="B959" t="str">
            <v>LA PAMPA</v>
          </cell>
          <cell r="C959" t="str">
            <v>RANCUL</v>
          </cell>
          <cell r="D959" t="str">
            <v>RANCUL</v>
          </cell>
          <cell r="E959" t="str">
            <v>MITRE</v>
          </cell>
          <cell r="F959">
            <v>231</v>
          </cell>
          <cell r="H959" t="str">
            <v>RANCUL</v>
          </cell>
          <cell r="I959" t="str">
            <v>L6214ZAA</v>
          </cell>
        </row>
        <row r="960">
          <cell r="A960" t="str">
            <v>L0058</v>
          </cell>
          <cell r="B960" t="str">
            <v>LA PAMPA</v>
          </cell>
          <cell r="C960" t="str">
            <v>REALICO</v>
          </cell>
          <cell r="D960" t="str">
            <v>REALICO</v>
          </cell>
          <cell r="E960" t="str">
            <v>FRANCIA</v>
          </cell>
          <cell r="F960">
            <v>1443</v>
          </cell>
          <cell r="H960" t="str">
            <v>REALICO</v>
          </cell>
          <cell r="I960" t="str">
            <v>L6200ZAA</v>
          </cell>
        </row>
        <row r="961">
          <cell r="A961" t="str">
            <v>L0060</v>
          </cell>
          <cell r="B961" t="str">
            <v>LA PAMPA</v>
          </cell>
          <cell r="C961" t="str">
            <v>ATREUCO</v>
          </cell>
          <cell r="D961" t="str">
            <v>ROLON</v>
          </cell>
          <cell r="E961" t="str">
            <v>LIBERTAD</v>
          </cell>
          <cell r="F961">
            <v>121</v>
          </cell>
          <cell r="H961" t="str">
            <v>ROLON</v>
          </cell>
          <cell r="I961" t="str">
            <v>L6306ZAA</v>
          </cell>
        </row>
        <row r="962">
          <cell r="A962" t="str">
            <v>L0062</v>
          </cell>
          <cell r="B962" t="str">
            <v>LA PAMPA</v>
          </cell>
          <cell r="C962" t="str">
            <v>LOVENTUE</v>
          </cell>
          <cell r="D962" t="str">
            <v>TELEN</v>
          </cell>
          <cell r="E962" t="str">
            <v>AV GRAL SAN MARTIN</v>
          </cell>
          <cell r="F962">
            <v>532</v>
          </cell>
          <cell r="H962" t="str">
            <v>TELEN</v>
          </cell>
          <cell r="I962" t="str">
            <v>L6321ZAA</v>
          </cell>
        </row>
        <row r="963">
          <cell r="A963" t="str">
            <v>L0064</v>
          </cell>
          <cell r="B963" t="str">
            <v>LA PAMPA</v>
          </cell>
          <cell r="C963" t="str">
            <v>TOAY</v>
          </cell>
          <cell r="D963" t="str">
            <v>TOAY</v>
          </cell>
          <cell r="E963" t="str">
            <v>9 DE JULIO</v>
          </cell>
          <cell r="F963">
            <v>465</v>
          </cell>
          <cell r="H963" t="str">
            <v>TOAY</v>
          </cell>
          <cell r="I963" t="str">
            <v>L6303ZAA</v>
          </cell>
        </row>
        <row r="964">
          <cell r="A964" t="str">
            <v>L0066</v>
          </cell>
          <cell r="B964" t="str">
            <v>LA PAMPA</v>
          </cell>
          <cell r="C964" t="str">
            <v>TRENEL</v>
          </cell>
          <cell r="D964" t="str">
            <v>TRENEL</v>
          </cell>
          <cell r="E964" t="str">
            <v>VIRREY P DE CEVALLOS</v>
          </cell>
          <cell r="F964">
            <v>45</v>
          </cell>
          <cell r="H964" t="str">
            <v>TRENEL</v>
          </cell>
          <cell r="I964" t="str">
            <v>L6369ZAA</v>
          </cell>
        </row>
        <row r="965">
          <cell r="A965" t="str">
            <v>L0068</v>
          </cell>
          <cell r="B965" t="str">
            <v>LA PAMPA</v>
          </cell>
          <cell r="C965" t="str">
            <v>CATRILO</v>
          </cell>
          <cell r="D965" t="str">
            <v>URIBURU</v>
          </cell>
          <cell r="E965" t="str">
            <v>DOCTOR FOLLZ</v>
          </cell>
          <cell r="F965">
            <v>0</v>
          </cell>
          <cell r="H965" t="str">
            <v>URIBURU</v>
          </cell>
          <cell r="I965" t="str">
            <v>L6354ZAA</v>
          </cell>
        </row>
        <row r="966">
          <cell r="A966" t="str">
            <v>L0070</v>
          </cell>
          <cell r="B966" t="str">
            <v>LA PAMPA</v>
          </cell>
          <cell r="C966" t="str">
            <v>PUELEN</v>
          </cell>
          <cell r="D966" t="str">
            <v>25 DE MAYO</v>
          </cell>
          <cell r="E966" t="str">
            <v>PRES J FIGUEROA ALCORTA</v>
          </cell>
          <cell r="F966">
            <v>394</v>
          </cell>
          <cell r="H966" t="str">
            <v>VEINTICINCO DE MAYO</v>
          </cell>
          <cell r="I966" t="str">
            <v>L8201ZAA</v>
          </cell>
        </row>
        <row r="967">
          <cell r="A967" t="str">
            <v>L0072</v>
          </cell>
          <cell r="B967" t="str">
            <v>LA PAMPA</v>
          </cell>
          <cell r="C967" t="str">
            <v>LOVENTUE</v>
          </cell>
          <cell r="D967" t="str">
            <v>VICTORICA</v>
          </cell>
          <cell r="E967" t="str">
            <v>CALLE 17</v>
          </cell>
          <cell r="F967">
            <v>996</v>
          </cell>
          <cell r="H967" t="str">
            <v>VICTORICA</v>
          </cell>
          <cell r="I967" t="str">
            <v>L6319ZAA</v>
          </cell>
        </row>
        <row r="968">
          <cell r="A968" t="str">
            <v>L0074</v>
          </cell>
          <cell r="B968" t="str">
            <v>LA PAMPA</v>
          </cell>
          <cell r="C968" t="str">
            <v>CONHELO</v>
          </cell>
          <cell r="D968" t="str">
            <v>WINIFREDA</v>
          </cell>
          <cell r="E968" t="str">
            <v>MANUEL BELGRANO</v>
          </cell>
          <cell r="F968">
            <v>315</v>
          </cell>
          <cell r="H968" t="str">
            <v>WINIFREDA</v>
          </cell>
          <cell r="I968" t="str">
            <v>L6313ZAA</v>
          </cell>
        </row>
        <row r="969">
          <cell r="A969" t="str">
            <v>L1002</v>
          </cell>
          <cell r="B969" t="str">
            <v>LA PAMPA</v>
          </cell>
          <cell r="C969" t="str">
            <v>CAPITAL</v>
          </cell>
          <cell r="D969" t="str">
            <v>SANTA ROSA</v>
          </cell>
          <cell r="E969" t="str">
            <v>S/C</v>
          </cell>
          <cell r="F969">
            <v>0</v>
          </cell>
          <cell r="H969" t="str">
            <v>AGENCIA NÂº 1</v>
          </cell>
          <cell r="I969" t="str">
            <v>L6302ZAA</v>
          </cell>
        </row>
        <row r="970">
          <cell r="A970" t="str">
            <v>L1030</v>
          </cell>
          <cell r="B970" t="str">
            <v>LA PAMPA</v>
          </cell>
          <cell r="C970" t="str">
            <v>RANCUL</v>
          </cell>
          <cell r="D970" t="str">
            <v>LA MARUJA</v>
          </cell>
          <cell r="E970" t="str">
            <v>SGTO CABRAL</v>
          </cell>
          <cell r="F970">
            <v>100</v>
          </cell>
          <cell r="H970" t="str">
            <v>LA MARUJA</v>
          </cell>
          <cell r="I970" t="str">
            <v>L6386ZAA</v>
          </cell>
        </row>
        <row r="971">
          <cell r="A971" t="str">
            <v>F0000</v>
          </cell>
          <cell r="B971" t="str">
            <v>LA RIOJA</v>
          </cell>
          <cell r="C971" t="str">
            <v>CAPITAL</v>
          </cell>
          <cell r="D971" t="str">
            <v>LA RIOJA</v>
          </cell>
          <cell r="E971" t="str">
            <v>AV PTE J D PERON</v>
          </cell>
          <cell r="F971">
            <v>258</v>
          </cell>
          <cell r="H971" t="str">
            <v>LA RIOJA</v>
          </cell>
          <cell r="I971" t="str">
            <v>F5300ZAA</v>
          </cell>
        </row>
        <row r="972">
          <cell r="A972" t="str">
            <v>F0002</v>
          </cell>
          <cell r="B972" t="str">
            <v>LA RIOJA</v>
          </cell>
          <cell r="C972" t="str">
            <v>ARAUCO</v>
          </cell>
          <cell r="D972" t="str">
            <v>AIMOGASTA</v>
          </cell>
          <cell r="E972" t="str">
            <v>9 DE JULIO</v>
          </cell>
          <cell r="F972">
            <v>229</v>
          </cell>
          <cell r="H972" t="str">
            <v>AIMOGASTA</v>
          </cell>
          <cell r="I972" t="str">
            <v>F5310ZAA</v>
          </cell>
        </row>
        <row r="973">
          <cell r="A973" t="str">
            <v>F0004</v>
          </cell>
          <cell r="B973" t="str">
            <v>LA RIOJA</v>
          </cell>
          <cell r="C973" t="str">
            <v>CASTRO BARROS</v>
          </cell>
          <cell r="D973" t="str">
            <v>AMINGA</v>
          </cell>
          <cell r="E973" t="str">
            <v>CASTRO BARROS</v>
          </cell>
          <cell r="F973">
            <v>0</v>
          </cell>
          <cell r="H973" t="str">
            <v>AMINGA</v>
          </cell>
          <cell r="I973" t="str">
            <v>F5301ZAA</v>
          </cell>
        </row>
        <row r="974">
          <cell r="A974" t="str">
            <v>F0008</v>
          </cell>
          <cell r="B974" t="str">
            <v>LA RIOJA</v>
          </cell>
          <cell r="C974" t="str">
            <v>CASTRO BARROS</v>
          </cell>
          <cell r="D974" t="str">
            <v>ANILLACO</v>
          </cell>
          <cell r="E974" t="str">
            <v>AV CNEL N BARROS</v>
          </cell>
          <cell r="F974">
            <v>0</v>
          </cell>
          <cell r="H974" t="str">
            <v>ANILLACO</v>
          </cell>
          <cell r="I974" t="str">
            <v>F5330ZAA</v>
          </cell>
        </row>
        <row r="975">
          <cell r="A975" t="str">
            <v>F0010</v>
          </cell>
          <cell r="B975" t="str">
            <v>LA RIOJA</v>
          </cell>
          <cell r="C975" t="str">
            <v>CASTRO BARROS</v>
          </cell>
          <cell r="D975" t="str">
            <v>ANJULLON</v>
          </cell>
          <cell r="E975" t="str">
            <v>CASTRO BARROS</v>
          </cell>
          <cell r="F975">
            <v>33</v>
          </cell>
          <cell r="H975" t="str">
            <v>ANJULLON</v>
          </cell>
          <cell r="I975" t="str">
            <v>F5303ZAA</v>
          </cell>
        </row>
        <row r="976">
          <cell r="A976" t="str">
            <v>F0012</v>
          </cell>
          <cell r="B976" t="str">
            <v>LA RIOJA</v>
          </cell>
          <cell r="C976" t="str">
            <v>FAMATINA</v>
          </cell>
          <cell r="D976" t="str">
            <v>CAMPANAS</v>
          </cell>
          <cell r="E976" t="str">
            <v>S/C</v>
          </cell>
          <cell r="F976">
            <v>0</v>
          </cell>
          <cell r="H976" t="str">
            <v>CAMPANAS</v>
          </cell>
          <cell r="I976" t="str">
            <v>F5366ZAA</v>
          </cell>
        </row>
        <row r="977">
          <cell r="A977" t="str">
            <v>F0014</v>
          </cell>
          <cell r="B977" t="str">
            <v>LA RIOJA</v>
          </cell>
          <cell r="C977" t="str">
            <v>CHAMICAL</v>
          </cell>
          <cell r="D977" t="str">
            <v>CHAMICAL</v>
          </cell>
          <cell r="E977" t="str">
            <v>9 DE JULIO</v>
          </cell>
          <cell r="F977">
            <v>100</v>
          </cell>
          <cell r="H977" t="str">
            <v>CHAMICAL</v>
          </cell>
          <cell r="I977" t="str">
            <v>F5380ZAA</v>
          </cell>
        </row>
        <row r="978">
          <cell r="A978" t="str">
            <v>F0016</v>
          </cell>
          <cell r="B978" t="str">
            <v>LA RIOJA</v>
          </cell>
          <cell r="C978" t="str">
            <v>ROSARIO VERA PEÃ‘ALOZA</v>
          </cell>
          <cell r="D978" t="str">
            <v>CHEPES</v>
          </cell>
          <cell r="E978" t="str">
            <v>BDIER FACUNDO QUIROGA</v>
          </cell>
          <cell r="F978">
            <v>125</v>
          </cell>
          <cell r="H978" t="str">
            <v>CHEPES</v>
          </cell>
          <cell r="I978" t="str">
            <v>F5470ZAA</v>
          </cell>
        </row>
        <row r="979">
          <cell r="A979" t="str">
            <v>F0018</v>
          </cell>
          <cell r="B979" t="str">
            <v>LA RIOJA</v>
          </cell>
          <cell r="C979" t="str">
            <v>CHILECITO</v>
          </cell>
          <cell r="D979" t="str">
            <v>CHILECITO</v>
          </cell>
          <cell r="E979" t="str">
            <v>JOAQUIN V GONZALEZ</v>
          </cell>
          <cell r="F979">
            <v>201</v>
          </cell>
          <cell r="H979" t="str">
            <v>CHILECITO</v>
          </cell>
          <cell r="I979" t="str">
            <v>F5360ZAA</v>
          </cell>
        </row>
        <row r="980">
          <cell r="A980" t="str">
            <v>F0022</v>
          </cell>
          <cell r="B980" t="str">
            <v>LA RIOJA</v>
          </cell>
          <cell r="C980" t="str">
            <v>ROSARIO VERA PEÃ‘ALOZA</v>
          </cell>
          <cell r="D980" t="str">
            <v>DESIDERIO TELLO</v>
          </cell>
          <cell r="E980" t="str">
            <v>SAN JUAN</v>
          </cell>
          <cell r="F980">
            <v>120</v>
          </cell>
          <cell r="H980" t="str">
            <v>DESIDERIO  TELLO</v>
          </cell>
          <cell r="I980" t="str">
            <v>F5474ZAA</v>
          </cell>
        </row>
        <row r="981">
          <cell r="A981" t="str">
            <v>F0026</v>
          </cell>
          <cell r="B981" t="str">
            <v>LA RIOJA</v>
          </cell>
          <cell r="C981" t="str">
            <v>FAMATINA</v>
          </cell>
          <cell r="D981" t="str">
            <v>FAMATINA</v>
          </cell>
          <cell r="E981" t="str">
            <v>19 DE ABRIL</v>
          </cell>
          <cell r="F981">
            <v>50</v>
          </cell>
          <cell r="H981" t="str">
            <v>FAMATINA</v>
          </cell>
          <cell r="I981" t="str">
            <v>F5365ZAA</v>
          </cell>
        </row>
        <row r="982">
          <cell r="A982" t="str">
            <v>F0028</v>
          </cell>
          <cell r="B982" t="str">
            <v>LA RIOJA</v>
          </cell>
          <cell r="C982" t="str">
            <v>CORONEL FELIPE VARELA</v>
          </cell>
          <cell r="D982" t="str">
            <v>GUANDACOL</v>
          </cell>
          <cell r="E982" t="str">
            <v>GRAL SAN MARTIN</v>
          </cell>
          <cell r="F982">
            <v>1200</v>
          </cell>
          <cell r="H982" t="str">
            <v>GUANDACOL</v>
          </cell>
          <cell r="I982" t="str">
            <v>F5353ZAA</v>
          </cell>
        </row>
        <row r="983">
          <cell r="A983" t="str">
            <v>F0032</v>
          </cell>
          <cell r="B983" t="str">
            <v>LA RIOJA</v>
          </cell>
          <cell r="C983" t="str">
            <v>GENERAL JUAN FACUNDO QUIROGA</v>
          </cell>
          <cell r="D983" t="str">
            <v>MALANZAN</v>
          </cell>
          <cell r="E983" t="str">
            <v>AV LOS CAUDILLOS</v>
          </cell>
          <cell r="F983">
            <v>0</v>
          </cell>
          <cell r="H983" t="str">
            <v>MALANZAN</v>
          </cell>
          <cell r="I983" t="str">
            <v>F5389ZAA</v>
          </cell>
        </row>
        <row r="984">
          <cell r="A984" t="str">
            <v>F0034</v>
          </cell>
          <cell r="B984" t="str">
            <v>LA RIOJA</v>
          </cell>
          <cell r="C984" t="str">
            <v>GENERAL OCAMPO</v>
          </cell>
          <cell r="D984" t="str">
            <v>MILAGRO</v>
          </cell>
          <cell r="E984" t="str">
            <v>AV 25 DE MAYO</v>
          </cell>
          <cell r="F984">
            <v>259</v>
          </cell>
          <cell r="H984" t="str">
            <v>MILAGRO</v>
          </cell>
          <cell r="I984" t="str">
            <v>F5274ZAA</v>
          </cell>
        </row>
        <row r="985">
          <cell r="A985" t="str">
            <v>F0036</v>
          </cell>
          <cell r="B985" t="str">
            <v>LA RIOJA</v>
          </cell>
          <cell r="C985" t="str">
            <v>CHILECITO</v>
          </cell>
          <cell r="D985" t="str">
            <v>NONOGASTA</v>
          </cell>
          <cell r="E985" t="str">
            <v>AV YOMA AMIN</v>
          </cell>
          <cell r="F985">
            <v>905</v>
          </cell>
          <cell r="H985" t="str">
            <v>NONOGASTA</v>
          </cell>
          <cell r="I985" t="str">
            <v>F5372ZAA</v>
          </cell>
        </row>
        <row r="986">
          <cell r="A986" t="str">
            <v>F0038</v>
          </cell>
          <cell r="B986" t="str">
            <v>LA RIOJA</v>
          </cell>
          <cell r="C986" t="str">
            <v>GENERAL BELGRANO</v>
          </cell>
          <cell r="D986" t="str">
            <v>OLTA</v>
          </cell>
          <cell r="E986" t="str">
            <v>MTRO JOSE S SALINAS</v>
          </cell>
          <cell r="F986">
            <v>100</v>
          </cell>
          <cell r="H986" t="str">
            <v>OLTA</v>
          </cell>
          <cell r="I986" t="str">
            <v>F5383ZAA</v>
          </cell>
        </row>
        <row r="987">
          <cell r="A987" t="str">
            <v>F0042</v>
          </cell>
          <cell r="B987" t="str">
            <v>LA RIOJA</v>
          </cell>
          <cell r="C987" t="str">
            <v>INDEPENDENCIA</v>
          </cell>
          <cell r="D987" t="str">
            <v>PATQUIA</v>
          </cell>
          <cell r="E987" t="str">
            <v>AV GRAL SAN MARTIN</v>
          </cell>
          <cell r="F987">
            <v>241</v>
          </cell>
          <cell r="H987" t="str">
            <v>PATQUIA</v>
          </cell>
          <cell r="I987" t="str">
            <v>F5386ZAA</v>
          </cell>
        </row>
        <row r="988">
          <cell r="A988" t="str">
            <v>F0046</v>
          </cell>
          <cell r="B988" t="str">
            <v>LA RIOJA</v>
          </cell>
          <cell r="C988" t="str">
            <v>FAMATINA</v>
          </cell>
          <cell r="D988" t="str">
            <v>PITUIL</v>
          </cell>
          <cell r="E988" t="str">
            <v>SANTO DOMINGO</v>
          </cell>
          <cell r="F988">
            <v>0</v>
          </cell>
          <cell r="H988" t="str">
            <v>PITUIL</v>
          </cell>
          <cell r="I988" t="str">
            <v>F5370ZAA</v>
          </cell>
        </row>
        <row r="989">
          <cell r="A989" t="str">
            <v>F0050</v>
          </cell>
          <cell r="B989" t="str">
            <v>LA RIOJA</v>
          </cell>
          <cell r="C989" t="str">
            <v>SAN BLAS DE LOS SAUCES</v>
          </cell>
          <cell r="D989" t="str">
            <v>SALICAS</v>
          </cell>
          <cell r="H989" t="str">
            <v>SALICAS</v>
          </cell>
          <cell r="I989" t="str">
            <v>F5327ZAA</v>
          </cell>
        </row>
        <row r="990">
          <cell r="A990" t="str">
            <v>F0052</v>
          </cell>
          <cell r="B990" t="str">
            <v>LA RIOJA</v>
          </cell>
          <cell r="C990" t="str">
            <v>GENERAL ANGEL VICENTE PEÃ‘ALOZA</v>
          </cell>
          <cell r="D990" t="str">
            <v>EL CARRIZAL TAMA</v>
          </cell>
          <cell r="H990" t="str">
            <v>TAMA</v>
          </cell>
          <cell r="I990" t="str">
            <v>F5385ZAA</v>
          </cell>
        </row>
        <row r="991">
          <cell r="A991" t="str">
            <v>F0054</v>
          </cell>
          <cell r="B991" t="str">
            <v>LA RIOJA</v>
          </cell>
          <cell r="C991" t="str">
            <v>GENERAL SAN MARTIN</v>
          </cell>
          <cell r="D991" t="str">
            <v>ULAPES</v>
          </cell>
          <cell r="E991" t="str">
            <v>AV 25 DE MAYO</v>
          </cell>
          <cell r="F991">
            <v>10</v>
          </cell>
          <cell r="H991" t="str">
            <v>ULAPES</v>
          </cell>
          <cell r="I991" t="str">
            <v>F5473ZAA</v>
          </cell>
        </row>
        <row r="992">
          <cell r="A992" t="str">
            <v>F0056</v>
          </cell>
          <cell r="B992" t="str">
            <v>LA RIOJA</v>
          </cell>
          <cell r="C992" t="str">
            <v>GENERAL LAMADRID</v>
          </cell>
          <cell r="D992" t="str">
            <v>VILLA CASTELLI</v>
          </cell>
          <cell r="E992" t="str">
            <v>SAN MARTIN</v>
          </cell>
          <cell r="F992">
            <v>150</v>
          </cell>
          <cell r="H992" t="str">
            <v>VILLA CASTELLI</v>
          </cell>
          <cell r="I992" t="str">
            <v>F5355ZAB</v>
          </cell>
        </row>
        <row r="993">
          <cell r="A993" t="str">
            <v>F0058</v>
          </cell>
          <cell r="B993" t="str">
            <v>LA RIOJA</v>
          </cell>
          <cell r="C993" t="str">
            <v>ARAUCO</v>
          </cell>
          <cell r="D993" t="str">
            <v>VILLA MAZAN</v>
          </cell>
          <cell r="E993" t="str">
            <v>S/C</v>
          </cell>
          <cell r="F993">
            <v>0</v>
          </cell>
          <cell r="H993" t="str">
            <v>VILLA MAZAN</v>
          </cell>
          <cell r="I993" t="str">
            <v>F5314ZAA</v>
          </cell>
        </row>
        <row r="994">
          <cell r="A994" t="str">
            <v>F0060</v>
          </cell>
          <cell r="B994" t="str">
            <v>LA RIOJA</v>
          </cell>
          <cell r="C994" t="str">
            <v>SANAGASTA</v>
          </cell>
          <cell r="D994" t="str">
            <v>VILLA SANAGASTA</v>
          </cell>
          <cell r="E994" t="str">
            <v>CARLOS MARIA ALVAREZ</v>
          </cell>
          <cell r="F994">
            <v>0</v>
          </cell>
          <cell r="H994" t="str">
            <v>VILLA SANAGASTA</v>
          </cell>
          <cell r="I994" t="str">
            <v>F5379ZAA</v>
          </cell>
        </row>
        <row r="995">
          <cell r="A995" t="str">
            <v>F0062</v>
          </cell>
          <cell r="B995" t="str">
            <v>LA RIOJA</v>
          </cell>
          <cell r="C995" t="str">
            <v>GENERAL OCAMPO</v>
          </cell>
          <cell r="D995" t="str">
            <v>VILLA SANTA RITA</v>
          </cell>
          <cell r="E995" t="str">
            <v>DOMINGO SARMIENTO</v>
          </cell>
          <cell r="F995">
            <v>0</v>
          </cell>
          <cell r="H995" t="str">
            <v>VILLA DE SANTA RITA</v>
          </cell>
          <cell r="I995" t="str">
            <v>F5275ZAA</v>
          </cell>
        </row>
        <row r="996">
          <cell r="A996" t="str">
            <v>F0064</v>
          </cell>
          <cell r="B996" t="str">
            <v>LA RIOJA</v>
          </cell>
          <cell r="C996" t="str">
            <v>CORONEL FELIPE VARELA</v>
          </cell>
          <cell r="D996" t="str">
            <v>VILLA UNION</v>
          </cell>
          <cell r="E996" t="str">
            <v>CNEL NICOLAS DAVILA</v>
          </cell>
          <cell r="F996">
            <v>119</v>
          </cell>
          <cell r="H996" t="str">
            <v>VILLA UNION</v>
          </cell>
          <cell r="I996" t="str">
            <v>F5350ZAA</v>
          </cell>
        </row>
        <row r="997">
          <cell r="A997" t="str">
            <v>F0066</v>
          </cell>
          <cell r="B997" t="str">
            <v>LA RIOJA</v>
          </cell>
          <cell r="C997" t="str">
            <v>VINCHINA</v>
          </cell>
          <cell r="D997" t="str">
            <v>VINCHINA</v>
          </cell>
          <cell r="E997" t="str">
            <v>SAN MARTIN</v>
          </cell>
          <cell r="F997">
            <v>0</v>
          </cell>
          <cell r="H997" t="str">
            <v>VINCHINA</v>
          </cell>
          <cell r="I997" t="str">
            <v>F5357ZAA</v>
          </cell>
        </row>
        <row r="998">
          <cell r="A998" t="str">
            <v>F1128</v>
          </cell>
          <cell r="B998" t="str">
            <v>LA RIOJA</v>
          </cell>
          <cell r="C998" t="str">
            <v>CORONEL FELIPE VARELA</v>
          </cell>
          <cell r="D998" t="str">
            <v>LOS PALACIOS</v>
          </cell>
          <cell r="E998" t="str">
            <v>PRINCIPAL</v>
          </cell>
          <cell r="F998">
            <v>0</v>
          </cell>
          <cell r="H998" t="str">
            <v>LOS PALACIOS</v>
          </cell>
          <cell r="I998" t="str">
            <v>F5352ZAA</v>
          </cell>
        </row>
        <row r="999">
          <cell r="A999" t="str">
            <v>F3045</v>
          </cell>
          <cell r="B999" t="str">
            <v>LA RIOJA</v>
          </cell>
          <cell r="C999" t="str">
            <v>CAPITAL</v>
          </cell>
          <cell r="D999" t="str">
            <v>LA RIOJA</v>
          </cell>
          <cell r="E999" t="str">
            <v>9 DE JULIO</v>
          </cell>
          <cell r="F999">
            <v>13</v>
          </cell>
          <cell r="H999" t="str">
            <v>LA RIOJA 2  -  9 DE JULIO</v>
          </cell>
          <cell r="I999" t="str">
            <v>F5300ZAC</v>
          </cell>
        </row>
        <row r="1000">
          <cell r="A1000" t="str">
            <v>F3047</v>
          </cell>
          <cell r="B1000" t="str">
            <v>LA RIOJA</v>
          </cell>
          <cell r="C1000" t="str">
            <v>CAPITAL</v>
          </cell>
          <cell r="D1000" t="str">
            <v>LA RIOJA</v>
          </cell>
          <cell r="E1000" t="str">
            <v>AV ORTIZ DE OCAMPO</v>
          </cell>
          <cell r="F1000">
            <v>2247</v>
          </cell>
          <cell r="H1000" t="str">
            <v>LA RIOJA 3  -  CEPAR SUR</v>
          </cell>
          <cell r="I1000" t="str">
            <v>F5300ZAD</v>
          </cell>
        </row>
        <row r="1001">
          <cell r="A1001" t="str">
            <v>M0000</v>
          </cell>
          <cell r="B1001" t="str">
            <v>MENDOZA</v>
          </cell>
          <cell r="C1001" t="str">
            <v>CAPITAL</v>
          </cell>
          <cell r="D1001" t="str">
            <v>MENDOZA</v>
          </cell>
          <cell r="E1001" t="str">
            <v>AV GRAL SAN MARTIN</v>
          </cell>
          <cell r="F1001">
            <v>678</v>
          </cell>
          <cell r="H1001" t="str">
            <v>MENDOZA</v>
          </cell>
          <cell r="I1001" t="str">
            <v>M5500ZAA</v>
          </cell>
        </row>
        <row r="1002">
          <cell r="A1002" t="str">
            <v>M0001</v>
          </cell>
          <cell r="B1002" t="str">
            <v>MENDOZA</v>
          </cell>
          <cell r="C1002" t="str">
            <v>CAPITAL</v>
          </cell>
          <cell r="D1002" t="str">
            <v>MENDOZA</v>
          </cell>
          <cell r="E1002" t="str">
            <v>GRAL GREGORIO PAZ</v>
          </cell>
          <cell r="F1002">
            <v>501</v>
          </cell>
          <cell r="H1002" t="str">
            <v>MENDOZA 1</v>
          </cell>
          <cell r="I1002" t="str">
            <v>M5500ZAC</v>
          </cell>
        </row>
        <row r="1003">
          <cell r="A1003" t="str">
            <v>M0002</v>
          </cell>
          <cell r="B1003" t="str">
            <v>MENDOZA</v>
          </cell>
          <cell r="C1003" t="str">
            <v>GUAYMALLEN</v>
          </cell>
          <cell r="D1003" t="str">
            <v>DORREGO</v>
          </cell>
          <cell r="E1003" t="str">
            <v>CNEL M DORREGO</v>
          </cell>
          <cell r="F1003">
            <v>861</v>
          </cell>
          <cell r="H1003" t="str">
            <v>MENDOZA 2  DORREGO</v>
          </cell>
          <cell r="I1003" t="str">
            <v>M5626ZAF</v>
          </cell>
        </row>
        <row r="1004">
          <cell r="A1004" t="str">
            <v>M0005</v>
          </cell>
          <cell r="B1004" t="str">
            <v>MENDOZA</v>
          </cell>
          <cell r="C1004" t="str">
            <v>GUAYMALLEN</v>
          </cell>
          <cell r="D1004" t="str">
            <v>BERMEJO</v>
          </cell>
          <cell r="E1004" t="str">
            <v>MATHUS HOYOS</v>
          </cell>
          <cell r="F1004">
            <v>3600</v>
          </cell>
          <cell r="H1004" t="str">
            <v>BERMEJO</v>
          </cell>
          <cell r="I1004" t="str">
            <v>M5533ZAA</v>
          </cell>
        </row>
        <row r="1005">
          <cell r="A1005" t="str">
            <v>M0006</v>
          </cell>
          <cell r="B1005" t="str">
            <v>MENDOZA</v>
          </cell>
          <cell r="C1005" t="str">
            <v>GENERAL ALVEAR</v>
          </cell>
          <cell r="D1005" t="str">
            <v>BOWEN</v>
          </cell>
          <cell r="E1005" t="str">
            <v>AV DOMINGO SARMIENTO</v>
          </cell>
          <cell r="F1005">
            <v>378</v>
          </cell>
          <cell r="H1005" t="str">
            <v>BOWEN</v>
          </cell>
          <cell r="I1005" t="str">
            <v>M5634ZAA</v>
          </cell>
        </row>
        <row r="1006">
          <cell r="A1006" t="str">
            <v>M0007</v>
          </cell>
          <cell r="B1006" t="str">
            <v>MENDOZA</v>
          </cell>
          <cell r="C1006" t="str">
            <v>LUJAN DE CUYO</v>
          </cell>
          <cell r="D1006" t="str">
            <v>CARRODILLA LA PUNTILLA</v>
          </cell>
          <cell r="E1006" t="str">
            <v>DR JUAN J PASO</v>
          </cell>
          <cell r="F1006">
            <v>527</v>
          </cell>
          <cell r="H1006" t="str">
            <v>CARRODILLA</v>
          </cell>
          <cell r="I1006" t="str">
            <v>M5505ZAA</v>
          </cell>
        </row>
        <row r="1007">
          <cell r="A1007" t="str">
            <v>M0008</v>
          </cell>
          <cell r="B1007" t="str">
            <v>MENDOZA</v>
          </cell>
          <cell r="C1007" t="str">
            <v>TUNUYAN</v>
          </cell>
          <cell r="D1007" t="str">
            <v>CAMPO DE LOS ANDES</v>
          </cell>
          <cell r="E1007" t="str">
            <v>CNEL GOULU</v>
          </cell>
          <cell r="F1007">
            <v>0</v>
          </cell>
          <cell r="H1007" t="str">
            <v>CAMPO DE  LOS ANDES</v>
          </cell>
          <cell r="I1007" t="str">
            <v>M5565ZAA</v>
          </cell>
        </row>
        <row r="1008">
          <cell r="A1008" t="str">
            <v>M0010</v>
          </cell>
          <cell r="B1008" t="str">
            <v>MENDOZA</v>
          </cell>
          <cell r="C1008" t="str">
            <v>GENERAL ALVEAR</v>
          </cell>
          <cell r="D1008" t="str">
            <v>CARMENSA</v>
          </cell>
          <cell r="E1008" t="str">
            <v>BUENOS AIRES</v>
          </cell>
          <cell r="F1008">
            <v>10</v>
          </cell>
          <cell r="H1008" t="str">
            <v>CARMENSA</v>
          </cell>
          <cell r="I1008" t="str">
            <v>M5621ZAA</v>
          </cell>
        </row>
        <row r="1009">
          <cell r="A1009" t="str">
            <v>M0012</v>
          </cell>
          <cell r="B1009" t="str">
            <v>MENDOZA</v>
          </cell>
          <cell r="C1009" t="str">
            <v>LUJAN DE CUYO</v>
          </cell>
          <cell r="D1009" t="str">
            <v>CHACRAS DE CORIA</v>
          </cell>
          <cell r="E1009" t="str">
            <v>AGUINAGA</v>
          </cell>
          <cell r="F1009">
            <v>1337</v>
          </cell>
          <cell r="H1009" t="str">
            <v>CHACRAS  DE CORIA</v>
          </cell>
          <cell r="I1009" t="str">
            <v>M5528ZAA</v>
          </cell>
        </row>
        <row r="1010">
          <cell r="A1010" t="str">
            <v>M0014</v>
          </cell>
          <cell r="B1010" t="str">
            <v>MENDOZA</v>
          </cell>
          <cell r="C1010" t="str">
            <v>GENERAL ALVEAR</v>
          </cell>
          <cell r="D1010" t="str">
            <v>COLONIA ALVEAR OESTE</v>
          </cell>
          <cell r="E1010" t="str">
            <v>LAPRIDA</v>
          </cell>
          <cell r="F1010">
            <v>198</v>
          </cell>
          <cell r="H1010" t="str">
            <v>COLONIA  ALVEAR OESTE</v>
          </cell>
          <cell r="I1010" t="str">
            <v>M5632ZAA</v>
          </cell>
        </row>
        <row r="1011">
          <cell r="A1011" t="str">
            <v>M0020</v>
          </cell>
          <cell r="B1011" t="str">
            <v>MENDOZA</v>
          </cell>
          <cell r="C1011" t="str">
            <v>SAN CARLOS</v>
          </cell>
          <cell r="D1011" t="str">
            <v>EUGENIO BUSTOS</v>
          </cell>
          <cell r="E1011" t="str">
            <v>BERNARDO QUIROGA</v>
          </cell>
          <cell r="F1011">
            <v>332</v>
          </cell>
          <cell r="H1011" t="str">
            <v>EUGENIO  BUSTOS</v>
          </cell>
          <cell r="I1011" t="str">
            <v>M5569ZAA</v>
          </cell>
        </row>
        <row r="1012">
          <cell r="A1012" t="str">
            <v>M0022</v>
          </cell>
          <cell r="B1012" t="str">
            <v>MENDOZA</v>
          </cell>
          <cell r="C1012" t="str">
            <v>MAIPU</v>
          </cell>
          <cell r="D1012" t="str">
            <v>FRAY LUIS BELTRAN</v>
          </cell>
          <cell r="E1012" t="str">
            <v>JUAN B ALBERDI</v>
          </cell>
          <cell r="F1012">
            <v>590</v>
          </cell>
          <cell r="H1012" t="str">
            <v>FRAY LUIS  BELTRAN</v>
          </cell>
          <cell r="I1012" t="str">
            <v>M5531ZAA</v>
          </cell>
        </row>
        <row r="1013">
          <cell r="A1013" t="str">
            <v>M0024</v>
          </cell>
          <cell r="B1013" t="str">
            <v>MENDOZA</v>
          </cell>
          <cell r="C1013" t="str">
            <v>GENERAL ALVEAR</v>
          </cell>
          <cell r="D1013" t="str">
            <v>GENERAL ALVEAR</v>
          </cell>
          <cell r="E1013" t="str">
            <v>CHAPEAUROUGE</v>
          </cell>
          <cell r="F1013">
            <v>20</v>
          </cell>
          <cell r="H1013" t="str">
            <v>GRAL. ALVEAR</v>
          </cell>
          <cell r="I1013" t="str">
            <v>M5620ZAC</v>
          </cell>
        </row>
        <row r="1014">
          <cell r="A1014" t="str">
            <v>M0028</v>
          </cell>
          <cell r="B1014" t="str">
            <v>MENDOZA</v>
          </cell>
          <cell r="C1014" t="str">
            <v>SAN MARTIN</v>
          </cell>
          <cell r="D1014" t="str">
            <v>SAN MARTIN</v>
          </cell>
          <cell r="E1014" t="str">
            <v>25 DE MAYO</v>
          </cell>
          <cell r="F1014">
            <v>389</v>
          </cell>
          <cell r="H1014" t="str">
            <v>GRAL. SAN MARTIN</v>
          </cell>
          <cell r="I1014" t="str">
            <v>M5570ZAA</v>
          </cell>
        </row>
        <row r="1015">
          <cell r="A1015" t="str">
            <v>M0030</v>
          </cell>
          <cell r="B1015" t="str">
            <v>MENDOZA</v>
          </cell>
          <cell r="C1015" t="str">
            <v>GODOY CRUZ</v>
          </cell>
          <cell r="D1015" t="str">
            <v>GODOY CRUZ</v>
          </cell>
          <cell r="E1015" t="str">
            <v>AV PERITO FRANCISCO P MORENO</v>
          </cell>
          <cell r="F1015">
            <v>50</v>
          </cell>
          <cell r="H1015" t="str">
            <v>GODOY CRUZ</v>
          </cell>
          <cell r="I1015" t="str">
            <v>M5501ZAA</v>
          </cell>
        </row>
        <row r="1016">
          <cell r="A1016" t="str">
            <v>M0032</v>
          </cell>
          <cell r="B1016" t="str">
            <v>MENDOZA</v>
          </cell>
          <cell r="C1016" t="str">
            <v>JUNIN</v>
          </cell>
          <cell r="D1016" t="str">
            <v>INGENIERO GIAGNONI</v>
          </cell>
          <cell r="E1016" t="str">
            <v>JOSE MILORDO</v>
          </cell>
          <cell r="F1016">
            <v>0</v>
          </cell>
          <cell r="H1016" t="str">
            <v>ING. GIAGNONI</v>
          </cell>
          <cell r="I1016" t="str">
            <v>M5582ZAA</v>
          </cell>
        </row>
        <row r="1017">
          <cell r="A1017" t="str">
            <v>M0036</v>
          </cell>
          <cell r="B1017" t="str">
            <v>MENDOZA</v>
          </cell>
          <cell r="C1017" t="str">
            <v>SAN CARLOS</v>
          </cell>
          <cell r="D1017" t="str">
            <v>LA CONSULTA</v>
          </cell>
          <cell r="E1017" t="str">
            <v>AV GRAL SAN MARTIN</v>
          </cell>
          <cell r="F1017">
            <v>410</v>
          </cell>
          <cell r="H1017" t="str">
            <v>LA CONSULTA</v>
          </cell>
          <cell r="I1017" t="str">
            <v>M5567ZAA</v>
          </cell>
        </row>
        <row r="1018">
          <cell r="A1018" t="str">
            <v>M0038</v>
          </cell>
          <cell r="B1018" t="str">
            <v>MENDOZA</v>
          </cell>
          <cell r="C1018" t="str">
            <v>SANTA ROSA</v>
          </cell>
          <cell r="D1018" t="str">
            <v>LA DORMIDA</v>
          </cell>
          <cell r="E1018" t="str">
            <v>LOS DAMASCOS</v>
          </cell>
          <cell r="F1018">
            <v>76</v>
          </cell>
          <cell r="H1018" t="str">
            <v>LA DORMIDA</v>
          </cell>
          <cell r="I1018" t="str">
            <v>M5592ZAA</v>
          </cell>
        </row>
        <row r="1019">
          <cell r="A1019" t="str">
            <v>M0040</v>
          </cell>
          <cell r="B1019" t="str">
            <v>MENDOZA</v>
          </cell>
          <cell r="C1019" t="str">
            <v>LA PAZ</v>
          </cell>
          <cell r="D1019" t="str">
            <v>LA PAZ</v>
          </cell>
          <cell r="E1019" t="str">
            <v>GRAL M BELGRANO</v>
          </cell>
          <cell r="F1019">
            <v>200</v>
          </cell>
          <cell r="H1019" t="str">
            <v>LA PAZ</v>
          </cell>
          <cell r="I1019" t="str">
            <v>M5590ZAA</v>
          </cell>
        </row>
        <row r="1020">
          <cell r="A1020" t="str">
            <v>M0042</v>
          </cell>
          <cell r="B1020" t="str">
            <v>MENDOZA</v>
          </cell>
          <cell r="C1020" t="str">
            <v>SANTA ROSA</v>
          </cell>
          <cell r="D1020" t="str">
            <v>LAS CATITAS</v>
          </cell>
          <cell r="E1020" t="str">
            <v>CADETES ARGENTINOS</v>
          </cell>
          <cell r="F1020">
            <v>256</v>
          </cell>
          <cell r="H1020" t="str">
            <v>LAS CATITAS</v>
          </cell>
          <cell r="I1020" t="str">
            <v>M5594ZAA</v>
          </cell>
        </row>
        <row r="1021">
          <cell r="A1021" t="str">
            <v>M0046</v>
          </cell>
          <cell r="B1021" t="str">
            <v>MENDOZA</v>
          </cell>
          <cell r="C1021" t="str">
            <v>LAS HERAS</v>
          </cell>
          <cell r="D1021" t="str">
            <v>LAS HERAS</v>
          </cell>
          <cell r="E1021" t="str">
            <v>DOMINGO SARMIENTO</v>
          </cell>
          <cell r="F1021">
            <v>1494</v>
          </cell>
          <cell r="H1021" t="str">
            <v>LAS HERAS</v>
          </cell>
          <cell r="I1021" t="str">
            <v>M5540ZAA</v>
          </cell>
        </row>
        <row r="1022">
          <cell r="A1022" t="str">
            <v>M0048</v>
          </cell>
          <cell r="B1022" t="str">
            <v>MENDOZA</v>
          </cell>
          <cell r="C1022" t="str">
            <v>LAVALLE</v>
          </cell>
          <cell r="D1022" t="str">
            <v>VILLA TULUMAYA</v>
          </cell>
          <cell r="E1022" t="str">
            <v>FRAY L BELTRAN</v>
          </cell>
          <cell r="F1022">
            <v>11</v>
          </cell>
          <cell r="H1022" t="str">
            <v>LAVALLE</v>
          </cell>
          <cell r="I1022" t="str">
            <v>M5664ZAA</v>
          </cell>
        </row>
        <row r="1023">
          <cell r="A1023" t="str">
            <v>M0052</v>
          </cell>
          <cell r="B1023" t="str">
            <v>MENDOZA</v>
          </cell>
          <cell r="C1023" t="str">
            <v>LUJAN DE CUYO</v>
          </cell>
          <cell r="D1023" t="str">
            <v>LUJAN DE CUYO</v>
          </cell>
          <cell r="E1023" t="str">
            <v>GRAL ALVEAR</v>
          </cell>
          <cell r="F1023">
            <v>18</v>
          </cell>
          <cell r="H1023" t="str">
            <v>LUJAN DE CUYO</v>
          </cell>
          <cell r="I1023" t="str">
            <v>M5507ZAA</v>
          </cell>
        </row>
        <row r="1024">
          <cell r="A1024" t="str">
            <v>M0056</v>
          </cell>
          <cell r="B1024" t="str">
            <v>MENDOZA</v>
          </cell>
          <cell r="C1024" t="str">
            <v>MAIPU</v>
          </cell>
          <cell r="D1024" t="str">
            <v>MAIPU</v>
          </cell>
          <cell r="E1024" t="str">
            <v>GRAL SAN MARTIN</v>
          </cell>
          <cell r="F1024">
            <v>335</v>
          </cell>
          <cell r="H1024" t="str">
            <v>MAIPU</v>
          </cell>
          <cell r="I1024" t="str">
            <v>M5515ZAA</v>
          </cell>
        </row>
        <row r="1025">
          <cell r="A1025" t="str">
            <v>M0058</v>
          </cell>
          <cell r="B1025" t="str">
            <v>MENDOZA</v>
          </cell>
          <cell r="C1025" t="str">
            <v>MALARGUE</v>
          </cell>
          <cell r="D1025" t="str">
            <v>MALARGUE</v>
          </cell>
          <cell r="E1025" t="str">
            <v>ADOLFO PUEBLA</v>
          </cell>
          <cell r="F1025">
            <v>203</v>
          </cell>
          <cell r="H1025" t="str">
            <v>MALARGÃœE</v>
          </cell>
          <cell r="I1025" t="str">
            <v>M5613ZAA</v>
          </cell>
        </row>
        <row r="1026">
          <cell r="A1026" t="str">
            <v>M0060</v>
          </cell>
          <cell r="B1026" t="str">
            <v>MENDOZA</v>
          </cell>
          <cell r="C1026" t="str">
            <v>RIVADAVIA</v>
          </cell>
          <cell r="D1026" t="str">
            <v>MEDRANO</v>
          </cell>
          <cell r="E1026" t="str">
            <v>COLON</v>
          </cell>
          <cell r="F1026">
            <v>0</v>
          </cell>
          <cell r="H1026" t="str">
            <v>MEDRANO</v>
          </cell>
          <cell r="I1026" t="str">
            <v>M5633ZAA</v>
          </cell>
        </row>
        <row r="1027">
          <cell r="A1027" t="str">
            <v>M0068</v>
          </cell>
          <cell r="B1027" t="str">
            <v>MENDOZA</v>
          </cell>
          <cell r="C1027" t="str">
            <v>SAN RAFAEL</v>
          </cell>
          <cell r="D1027" t="str">
            <v>MONTE COMAN</v>
          </cell>
          <cell r="E1027" t="str">
            <v>BUENOS AIRES</v>
          </cell>
          <cell r="F1027">
            <v>201</v>
          </cell>
          <cell r="H1027" t="str">
            <v>MONTE COMAN</v>
          </cell>
          <cell r="I1027" t="str">
            <v>M5609ZAA</v>
          </cell>
        </row>
        <row r="1028">
          <cell r="A1028" t="str">
            <v>M0072</v>
          </cell>
          <cell r="B1028" t="str">
            <v>MENDOZA</v>
          </cell>
          <cell r="C1028" t="str">
            <v>SAN MARTIN</v>
          </cell>
          <cell r="D1028" t="str">
            <v>PALMIRA</v>
          </cell>
          <cell r="E1028" t="str">
            <v>JUAN DI PAOLA</v>
          </cell>
          <cell r="F1028">
            <v>200</v>
          </cell>
          <cell r="H1028" t="str">
            <v>PALMIRA</v>
          </cell>
          <cell r="I1028" t="str">
            <v>M5584ZAA</v>
          </cell>
        </row>
        <row r="1029">
          <cell r="A1029" t="str">
            <v>M0076</v>
          </cell>
          <cell r="B1029" t="str">
            <v>MENDOZA</v>
          </cell>
          <cell r="C1029" t="str">
            <v>LAS HERAS</v>
          </cell>
          <cell r="D1029" t="str">
            <v>PUNTA DE VACAS</v>
          </cell>
          <cell r="E1029" t="str">
            <v>RUTA 7 S N</v>
          </cell>
          <cell r="H1029" t="str">
            <v>PUNTA DE VACAS</v>
          </cell>
          <cell r="I1029" t="str">
            <v>M5553ZAA</v>
          </cell>
        </row>
        <row r="1030">
          <cell r="A1030" t="str">
            <v>M0078</v>
          </cell>
          <cell r="B1030" t="str">
            <v>MENDOZA</v>
          </cell>
          <cell r="C1030" t="str">
            <v>SAN RAFAEL</v>
          </cell>
          <cell r="D1030" t="str">
            <v>REAL DEL PADRE</v>
          </cell>
          <cell r="E1030" t="str">
            <v>SAN MARTIN</v>
          </cell>
          <cell r="F1030">
            <v>280</v>
          </cell>
          <cell r="H1030" t="str">
            <v>REAL DEL PADRE</v>
          </cell>
          <cell r="I1030" t="str">
            <v>M5624ZAA</v>
          </cell>
        </row>
        <row r="1031">
          <cell r="A1031" t="str">
            <v>M0080</v>
          </cell>
          <cell r="B1031" t="str">
            <v>MENDOZA</v>
          </cell>
          <cell r="C1031" t="str">
            <v>RIVADAVIA</v>
          </cell>
          <cell r="D1031" t="str">
            <v>RIVADAVIA</v>
          </cell>
          <cell r="E1031" t="str">
            <v>ARISTOBULO DEL VALLE</v>
          </cell>
          <cell r="F1031">
            <v>189</v>
          </cell>
          <cell r="H1031" t="str">
            <v>RIVADAVIA</v>
          </cell>
          <cell r="I1031" t="str">
            <v>M5577ZAA</v>
          </cell>
        </row>
        <row r="1032">
          <cell r="A1032" t="str">
            <v>M0082</v>
          </cell>
          <cell r="B1032" t="str">
            <v>MENDOZA</v>
          </cell>
          <cell r="C1032" t="str">
            <v>GUAYMALLEN</v>
          </cell>
          <cell r="D1032" t="str">
            <v>KILOMETRO 11</v>
          </cell>
          <cell r="E1032" t="str">
            <v>AV BANDERA DE LOS ANDES</v>
          </cell>
          <cell r="F1032">
            <v>10523</v>
          </cell>
          <cell r="H1032" t="str">
            <v>RODEO  DE LA CRUZ</v>
          </cell>
          <cell r="I1032" t="str">
            <v>M5525ZAA</v>
          </cell>
        </row>
        <row r="1033">
          <cell r="A1033" t="str">
            <v>M0084</v>
          </cell>
          <cell r="B1033" t="str">
            <v>MENDOZA</v>
          </cell>
          <cell r="C1033" t="str">
            <v>MAIPU</v>
          </cell>
          <cell r="D1033" t="str">
            <v>RODEO DEL MEDIO</v>
          </cell>
          <cell r="E1033" t="str">
            <v>R PROV 50</v>
          </cell>
          <cell r="F1033">
            <v>4387</v>
          </cell>
          <cell r="H1033" t="str">
            <v>RODEO DEL MEDIO</v>
          </cell>
          <cell r="I1033" t="str">
            <v>M5529ZAB</v>
          </cell>
        </row>
        <row r="1034">
          <cell r="A1034" t="str">
            <v>M0088</v>
          </cell>
          <cell r="B1034" t="str">
            <v>MENDOZA</v>
          </cell>
          <cell r="C1034" t="str">
            <v>SAN CARLOS</v>
          </cell>
          <cell r="D1034" t="str">
            <v>SAN CARLOS</v>
          </cell>
          <cell r="E1034" t="str">
            <v>SAN MARTIN</v>
          </cell>
          <cell r="F1034">
            <v>169</v>
          </cell>
          <cell r="H1034" t="str">
            <v>SAN CARLOS</v>
          </cell>
          <cell r="I1034" t="str">
            <v>M5512ZAA</v>
          </cell>
        </row>
        <row r="1035">
          <cell r="A1035" t="str">
            <v>M0090</v>
          </cell>
          <cell r="B1035" t="str">
            <v>MENDOZA</v>
          </cell>
          <cell r="C1035" t="str">
            <v>GUAYMALLEN</v>
          </cell>
          <cell r="D1035" t="str">
            <v>SAN JOSE</v>
          </cell>
          <cell r="E1035" t="str">
            <v>DR TOMAS GODOY CRUZ</v>
          </cell>
          <cell r="F1035">
            <v>1116</v>
          </cell>
          <cell r="H1035" t="str">
            <v>SAN JOSE</v>
          </cell>
          <cell r="I1035" t="str">
            <v>M5535ZAA</v>
          </cell>
        </row>
        <row r="1036">
          <cell r="A1036" t="str">
            <v>M0092</v>
          </cell>
          <cell r="B1036" t="str">
            <v>MENDOZA</v>
          </cell>
          <cell r="C1036" t="str">
            <v>SAN RAFAEL</v>
          </cell>
          <cell r="D1036" t="str">
            <v>SAN RAFAEL</v>
          </cell>
          <cell r="E1036" t="str">
            <v>SAN LORENZO</v>
          </cell>
          <cell r="F1036">
            <v>69</v>
          </cell>
          <cell r="H1036" t="str">
            <v>SAN RAFAEL</v>
          </cell>
          <cell r="I1036" t="str">
            <v>M5600ZAA</v>
          </cell>
        </row>
        <row r="1037">
          <cell r="A1037" t="str">
            <v>M0094</v>
          </cell>
          <cell r="B1037" t="str">
            <v>MENDOZA</v>
          </cell>
          <cell r="C1037" t="str">
            <v>SANTA ROSA</v>
          </cell>
          <cell r="D1037" t="str">
            <v>SANTA ROSA</v>
          </cell>
          <cell r="E1037" t="str">
            <v>PTE GRAL JULIO A ROCA</v>
          </cell>
          <cell r="F1037">
            <v>269</v>
          </cell>
          <cell r="H1037" t="str">
            <v>SANTA ROSA</v>
          </cell>
          <cell r="I1037" t="str">
            <v>M5596ZAA</v>
          </cell>
        </row>
        <row r="1038">
          <cell r="A1038" t="str">
            <v>M0096</v>
          </cell>
          <cell r="B1038" t="str">
            <v>MENDOZA</v>
          </cell>
          <cell r="C1038" t="str">
            <v>TUNUYAN</v>
          </cell>
          <cell r="D1038" t="str">
            <v>TUNUYAN</v>
          </cell>
          <cell r="E1038" t="str">
            <v>PTE H YRIGOYEN</v>
          </cell>
          <cell r="F1038">
            <v>721</v>
          </cell>
          <cell r="H1038" t="str">
            <v>TUNUYAN</v>
          </cell>
          <cell r="I1038" t="str">
            <v>M5560ZAA</v>
          </cell>
        </row>
        <row r="1039">
          <cell r="A1039" t="str">
            <v>M0098</v>
          </cell>
          <cell r="B1039" t="str">
            <v>MENDOZA</v>
          </cell>
          <cell r="C1039" t="str">
            <v>TUPUNGATO</v>
          </cell>
          <cell r="D1039" t="str">
            <v>TUPUNGATO</v>
          </cell>
          <cell r="E1039" t="str">
            <v>ALTE G BROWN</v>
          </cell>
          <cell r="F1039">
            <v>100</v>
          </cell>
          <cell r="H1039" t="str">
            <v>TUPUNGATO</v>
          </cell>
          <cell r="I1039" t="str">
            <v>M5561ZAA</v>
          </cell>
        </row>
        <row r="1040">
          <cell r="A1040" t="str">
            <v>M0100</v>
          </cell>
          <cell r="B1040" t="str">
            <v>MENDOZA</v>
          </cell>
          <cell r="C1040" t="str">
            <v>LAS HERAS</v>
          </cell>
          <cell r="D1040" t="str">
            <v>USPALLATA</v>
          </cell>
          <cell r="E1040" t="str">
            <v>R NAC 7</v>
          </cell>
          <cell r="F1040">
            <v>0</v>
          </cell>
          <cell r="H1040" t="str">
            <v>USPALLATA</v>
          </cell>
          <cell r="I1040" t="str">
            <v>M5545ZAA</v>
          </cell>
        </row>
        <row r="1041">
          <cell r="A1041" t="str">
            <v>M0102</v>
          </cell>
          <cell r="B1041" t="str">
            <v>MENDOZA</v>
          </cell>
          <cell r="C1041" t="str">
            <v>MALARGUE</v>
          </cell>
          <cell r="D1041" t="str">
            <v>VALLE DE LAS LEÃ‘AS</v>
          </cell>
          <cell r="E1041" t="str">
            <v>COMPLEJO TURÃSTICO LAS LEÃ‘AS</v>
          </cell>
          <cell r="H1041" t="str">
            <v>V. DE LAS LEÃ‘AS</v>
          </cell>
          <cell r="I1041" t="str">
            <v>M5612ZAA</v>
          </cell>
        </row>
        <row r="1042">
          <cell r="A1042" t="str">
            <v>M0106</v>
          </cell>
          <cell r="B1042" t="str">
            <v>MENDOZA</v>
          </cell>
          <cell r="C1042" t="str">
            <v>SAN RAFAEL</v>
          </cell>
          <cell r="D1042" t="str">
            <v>VILLA ATUEL</v>
          </cell>
          <cell r="E1042" t="str">
            <v>DOMINGO SARMIENTO</v>
          </cell>
          <cell r="F1042">
            <v>32</v>
          </cell>
          <cell r="H1042" t="str">
            <v>VILLA ATUEL</v>
          </cell>
          <cell r="I1042" t="str">
            <v>M5622ZAA</v>
          </cell>
        </row>
        <row r="1043">
          <cell r="A1043" t="str">
            <v>M0108</v>
          </cell>
          <cell r="B1043" t="str">
            <v>MENDOZA</v>
          </cell>
          <cell r="C1043" t="str">
            <v>JUNIN</v>
          </cell>
          <cell r="D1043" t="str">
            <v>JUNIN</v>
          </cell>
          <cell r="E1043" t="str">
            <v>DOMINGO SARMIENTO</v>
          </cell>
          <cell r="F1043">
            <v>93</v>
          </cell>
          <cell r="H1043" t="str">
            <v>CDAD. DE JUNIN</v>
          </cell>
          <cell r="I1043" t="str">
            <v>M5573ZAB</v>
          </cell>
        </row>
        <row r="1044">
          <cell r="A1044" t="str">
            <v>M0112</v>
          </cell>
          <cell r="B1044" t="str">
            <v>MENDOZA</v>
          </cell>
          <cell r="C1044" t="str">
            <v>GUAYMALLEN</v>
          </cell>
          <cell r="D1044" t="str">
            <v>VILLA NUEVA</v>
          </cell>
          <cell r="E1044" t="str">
            <v>BANDERA DE LOS ANDES</v>
          </cell>
          <cell r="F1044">
            <v>4190</v>
          </cell>
          <cell r="H1044" t="str">
            <v>VILLA NUEVA</v>
          </cell>
          <cell r="I1044" t="str">
            <v>M5521ZAA</v>
          </cell>
        </row>
        <row r="1045">
          <cell r="A1045" t="str">
            <v>M0114</v>
          </cell>
          <cell r="B1045" t="str">
            <v>MENDOZA</v>
          </cell>
          <cell r="C1045" t="str">
            <v>TUNUYAN</v>
          </cell>
          <cell r="D1045" t="str">
            <v>VISTA FLORES</v>
          </cell>
          <cell r="E1045" t="str">
            <v>DR MARIANO MORENO</v>
          </cell>
          <cell r="F1045">
            <v>131</v>
          </cell>
          <cell r="H1045" t="str">
            <v>VISTA FLORES</v>
          </cell>
          <cell r="I1045" t="str">
            <v>M5665ZAA</v>
          </cell>
        </row>
        <row r="1046">
          <cell r="A1046" t="str">
            <v>M1325</v>
          </cell>
          <cell r="B1046" t="str">
            <v>MENDOZA</v>
          </cell>
          <cell r="C1046" t="str">
            <v>LAVALLE</v>
          </cell>
          <cell r="D1046" t="str">
            <v>EL RETAMO</v>
          </cell>
          <cell r="E1046" t="str">
            <v>NÂº 7 EL RETAMO- LAVALLE</v>
          </cell>
          <cell r="H1046" t="str">
            <v>NÂº 7 EL RETAMO</v>
          </cell>
          <cell r="I1046" t="str">
            <v>M5537ZAB</v>
          </cell>
        </row>
        <row r="1047">
          <cell r="A1047" t="str">
            <v>M1326</v>
          </cell>
          <cell r="B1047" t="str">
            <v>MENDOZA</v>
          </cell>
          <cell r="C1047" t="str">
            <v>MALARGUE</v>
          </cell>
          <cell r="D1047" t="str">
            <v>EL MANZANO</v>
          </cell>
          <cell r="E1047" t="str">
            <v>RUTA 40 S/N</v>
          </cell>
          <cell r="H1047" t="str">
            <v>EL MANZANO</v>
          </cell>
          <cell r="I1047" t="str">
            <v>M5611ZAB</v>
          </cell>
        </row>
        <row r="1048">
          <cell r="A1048" t="str">
            <v>M1378</v>
          </cell>
          <cell r="B1048" t="str">
            <v>MENDOZA</v>
          </cell>
          <cell r="C1048" t="str">
            <v>RIVADAVIA</v>
          </cell>
          <cell r="D1048" t="str">
            <v>LA LIBERTAD</v>
          </cell>
          <cell r="E1048" t="str">
            <v>R PROV 62</v>
          </cell>
          <cell r="F1048">
            <v>0</v>
          </cell>
          <cell r="H1048" t="str">
            <v>LA LIBERTAD</v>
          </cell>
          <cell r="I1048" t="str">
            <v>M5558ZAA</v>
          </cell>
        </row>
        <row r="1049">
          <cell r="A1049" t="str">
            <v>M1388</v>
          </cell>
          <cell r="B1049" t="str">
            <v>MENDOZA</v>
          </cell>
          <cell r="C1049" t="str">
            <v>LAS HERAS</v>
          </cell>
          <cell r="D1049" t="str">
            <v>ALGARROBAL ABAJO</v>
          </cell>
          <cell r="E1049" t="str">
            <v>EL BORBOLLON</v>
          </cell>
          <cell r="H1049" t="str">
            <v>EL BORBOLLON</v>
          </cell>
          <cell r="I1049" t="str">
            <v>M5666ZAA</v>
          </cell>
        </row>
        <row r="1050">
          <cell r="A1050" t="str">
            <v>N0000</v>
          </cell>
          <cell r="B1050" t="str">
            <v>MISIONES</v>
          </cell>
          <cell r="C1050" t="str">
            <v>CAPITAL</v>
          </cell>
          <cell r="D1050" t="str">
            <v>POSADAS</v>
          </cell>
          <cell r="E1050" t="str">
            <v>GRAL SIMON BOLIVAR</v>
          </cell>
          <cell r="F1050">
            <v>2112</v>
          </cell>
          <cell r="H1050" t="str">
            <v>POSADAS</v>
          </cell>
          <cell r="I1050" t="str">
            <v>N3300ZAA</v>
          </cell>
        </row>
        <row r="1051">
          <cell r="A1051" t="str">
            <v>N0002</v>
          </cell>
          <cell r="B1051" t="str">
            <v>MISIONES</v>
          </cell>
          <cell r="C1051" t="str">
            <v>25 DE MAYO</v>
          </cell>
          <cell r="D1051" t="str">
            <v>ALBA POSSE</v>
          </cell>
          <cell r="E1051" t="str">
            <v>GRAL SAN MARTIN</v>
          </cell>
          <cell r="F1051">
            <v>0</v>
          </cell>
          <cell r="H1051" t="str">
            <v>ALBA POSSE</v>
          </cell>
          <cell r="I1051" t="str">
            <v>N3363ZAA</v>
          </cell>
        </row>
        <row r="1052">
          <cell r="A1052" t="str">
            <v>N0004</v>
          </cell>
          <cell r="B1052" t="str">
            <v>MISIONES</v>
          </cell>
          <cell r="C1052" t="str">
            <v>APOSTOLES</v>
          </cell>
          <cell r="D1052" t="str">
            <v>APOSTOLES</v>
          </cell>
          <cell r="E1052" t="str">
            <v>AV SARMIENTO</v>
          </cell>
          <cell r="F1052">
            <v>334</v>
          </cell>
          <cell r="H1052" t="str">
            <v>APOSTOLES</v>
          </cell>
          <cell r="I1052" t="str">
            <v>N3350ZAA</v>
          </cell>
        </row>
        <row r="1053">
          <cell r="A1053" t="str">
            <v>N0006</v>
          </cell>
          <cell r="B1053" t="str">
            <v>MISIONES</v>
          </cell>
          <cell r="C1053" t="str">
            <v>CAINGUAS</v>
          </cell>
          <cell r="D1053" t="str">
            <v>ARISTOBULO DEL VALLE</v>
          </cell>
          <cell r="E1053" t="str">
            <v>AV DE LAS AMERICAS</v>
          </cell>
          <cell r="F1053">
            <v>877</v>
          </cell>
          <cell r="H1053" t="str">
            <v>A. DEL VALLE</v>
          </cell>
          <cell r="I1053" t="str">
            <v>N3364ZAA</v>
          </cell>
        </row>
        <row r="1054">
          <cell r="A1054" t="str">
            <v>N0008</v>
          </cell>
          <cell r="B1054" t="str">
            <v>MISIONES</v>
          </cell>
          <cell r="C1054" t="str">
            <v>APOSTOLES</v>
          </cell>
          <cell r="D1054" t="str">
            <v>AZARA</v>
          </cell>
          <cell r="E1054" t="str">
            <v>AV SARMIENTO</v>
          </cell>
          <cell r="F1054">
            <v>0</v>
          </cell>
          <cell r="H1054" t="str">
            <v>AZARA</v>
          </cell>
          <cell r="I1054" t="str">
            <v>N3351ZAA</v>
          </cell>
        </row>
        <row r="1055">
          <cell r="A1055" t="str">
            <v>N0010</v>
          </cell>
          <cell r="B1055" t="str">
            <v>MISIONES</v>
          </cell>
          <cell r="C1055" t="str">
            <v>GENERAL MANUEL BELGRANO</v>
          </cell>
          <cell r="D1055" t="str">
            <v>BERNARDO DE IRIGOYEN</v>
          </cell>
          <cell r="E1055" t="str">
            <v>LIBERTAD</v>
          </cell>
          <cell r="F1055">
            <v>0</v>
          </cell>
          <cell r="H1055" t="str">
            <v>B. DE IRIGOYEN</v>
          </cell>
          <cell r="I1055" t="str">
            <v>N3366ZAA</v>
          </cell>
        </row>
        <row r="1056">
          <cell r="A1056" t="str">
            <v>N0012</v>
          </cell>
          <cell r="B1056" t="str">
            <v>MISIONES</v>
          </cell>
          <cell r="C1056" t="str">
            <v>CANDELARIA</v>
          </cell>
          <cell r="D1056" t="str">
            <v>BONPLAND</v>
          </cell>
          <cell r="E1056" t="str">
            <v>CALLE 1</v>
          </cell>
          <cell r="F1056">
            <v>0</v>
          </cell>
          <cell r="H1056" t="str">
            <v>BONPLAND</v>
          </cell>
          <cell r="I1056" t="str">
            <v>N3317ZAA</v>
          </cell>
        </row>
        <row r="1057">
          <cell r="A1057" t="str">
            <v>N0014</v>
          </cell>
          <cell r="B1057" t="str">
            <v>MISIONES</v>
          </cell>
          <cell r="C1057" t="str">
            <v>CAINGUAS</v>
          </cell>
          <cell r="D1057" t="str">
            <v>CAMPO GRANDE</v>
          </cell>
          <cell r="E1057" t="str">
            <v>JUAN B ALBERDI</v>
          </cell>
          <cell r="F1057">
            <v>200</v>
          </cell>
          <cell r="H1057" t="str">
            <v>CAMPO GRANDE</v>
          </cell>
          <cell r="I1057" t="str">
            <v>N3362ZAA</v>
          </cell>
        </row>
        <row r="1058">
          <cell r="A1058" t="str">
            <v>N0016</v>
          </cell>
          <cell r="B1058" t="str">
            <v>MISIONES</v>
          </cell>
          <cell r="C1058" t="str">
            <v>OBERA</v>
          </cell>
          <cell r="D1058" t="str">
            <v>CAMPO VIERA</v>
          </cell>
          <cell r="E1058" t="str">
            <v>AV DEL TE</v>
          </cell>
          <cell r="F1058">
            <v>376</v>
          </cell>
          <cell r="H1058" t="str">
            <v>CAMPO VIERA</v>
          </cell>
          <cell r="I1058" t="str">
            <v>N3375ZAA</v>
          </cell>
        </row>
        <row r="1059">
          <cell r="A1059" t="str">
            <v>N0018</v>
          </cell>
          <cell r="B1059" t="str">
            <v>MISIONES</v>
          </cell>
          <cell r="C1059" t="str">
            <v>CANDELARIA</v>
          </cell>
          <cell r="D1059" t="str">
            <v>CANDELARIA</v>
          </cell>
          <cell r="E1059" t="str">
            <v>CARLOS TARELLI</v>
          </cell>
          <cell r="F1059">
            <v>710</v>
          </cell>
          <cell r="H1059" t="str">
            <v>CANDELARIA</v>
          </cell>
          <cell r="I1059" t="str">
            <v>N3308ZAA</v>
          </cell>
        </row>
        <row r="1060">
          <cell r="A1060" t="str">
            <v>N0020</v>
          </cell>
          <cell r="B1060" t="str">
            <v>MISIONES</v>
          </cell>
          <cell r="C1060" t="str">
            <v>LEANDRO N ALEM</v>
          </cell>
          <cell r="D1060" t="str">
            <v>CERRO AZUL</v>
          </cell>
          <cell r="E1060" t="str">
            <v>YAPEYU</v>
          </cell>
          <cell r="F1060">
            <v>584</v>
          </cell>
          <cell r="H1060" t="str">
            <v>CERRO AZUL</v>
          </cell>
          <cell r="I1060" t="str">
            <v>N3313ZAA</v>
          </cell>
        </row>
        <row r="1061">
          <cell r="A1061" t="str">
            <v>N0022</v>
          </cell>
          <cell r="B1061" t="str">
            <v>MISIONES</v>
          </cell>
          <cell r="C1061" t="str">
            <v>LIBERTADOR GRAL SAN MARTIN</v>
          </cell>
          <cell r="D1061" t="str">
            <v>CAPIOVI</v>
          </cell>
          <cell r="E1061" t="str">
            <v>DE LOS JESUITAS</v>
          </cell>
          <cell r="F1061">
            <v>254</v>
          </cell>
          <cell r="H1061" t="str">
            <v>CAPIOVI</v>
          </cell>
          <cell r="I1061" t="str">
            <v>N3332ZAA</v>
          </cell>
        </row>
        <row r="1062">
          <cell r="A1062" t="str">
            <v>N0024</v>
          </cell>
          <cell r="B1062" t="str">
            <v>MISIONES</v>
          </cell>
          <cell r="C1062" t="str">
            <v>25 DE MAYO</v>
          </cell>
          <cell r="D1062" t="str">
            <v>25 DE MAYO</v>
          </cell>
          <cell r="E1062" t="str">
            <v>AV GRAL SAN MARTIN</v>
          </cell>
          <cell r="F1062">
            <v>0</v>
          </cell>
          <cell r="H1062" t="str">
            <v>25 DE MAYO [AG. 1 ALBA POSSE]</v>
          </cell>
          <cell r="I1062" t="str">
            <v>N3363ZAB</v>
          </cell>
        </row>
        <row r="1063">
          <cell r="A1063" t="str">
            <v>N0026</v>
          </cell>
          <cell r="B1063" t="str">
            <v>MISIONES</v>
          </cell>
          <cell r="C1063" t="str">
            <v>IGUAZU</v>
          </cell>
          <cell r="D1063" t="str">
            <v>WANDA</v>
          </cell>
          <cell r="E1063" t="str">
            <v>LAS MARGARITAS</v>
          </cell>
          <cell r="F1063">
            <v>133</v>
          </cell>
          <cell r="H1063" t="str">
            <v>COLONIA WANDA</v>
          </cell>
          <cell r="I1063" t="str">
            <v>N3376ZAA</v>
          </cell>
        </row>
        <row r="1064">
          <cell r="A1064" t="str">
            <v>N0028</v>
          </cell>
          <cell r="B1064" t="str">
            <v>MISIONES</v>
          </cell>
          <cell r="C1064" t="str">
            <v>CONCEPCION</v>
          </cell>
          <cell r="D1064" t="str">
            <v>CONCEPCION DE LA SIERRA</v>
          </cell>
          <cell r="E1064" t="str">
            <v>AMBROSETTI</v>
          </cell>
          <cell r="F1064">
            <v>0</v>
          </cell>
          <cell r="H1064" t="str">
            <v>CONCEPCION DE LA SIERRA</v>
          </cell>
          <cell r="I1064" t="str">
            <v>N3371ZAA</v>
          </cell>
        </row>
        <row r="1065">
          <cell r="A1065" t="str">
            <v>N0030</v>
          </cell>
          <cell r="B1065" t="str">
            <v>MISIONES</v>
          </cell>
          <cell r="C1065" t="str">
            <v>SAN IGNACIO</v>
          </cell>
          <cell r="D1065" t="str">
            <v>CORPUS</v>
          </cell>
          <cell r="E1065" t="str">
            <v>AV CMTE ANDRES GUAYCURARI</v>
          </cell>
          <cell r="F1065">
            <v>0</v>
          </cell>
          <cell r="H1065" t="str">
            <v>CORPUS</v>
          </cell>
          <cell r="I1065" t="str">
            <v>N3327ZAA</v>
          </cell>
        </row>
        <row r="1066">
          <cell r="A1066" t="str">
            <v>N0032</v>
          </cell>
          <cell r="B1066" t="str">
            <v>MISIONES</v>
          </cell>
          <cell r="C1066" t="str">
            <v>CAINGUAS</v>
          </cell>
          <cell r="D1066" t="str">
            <v>2 DE MAYO</v>
          </cell>
          <cell r="E1066" t="str">
            <v>9 DE JULIO</v>
          </cell>
          <cell r="F1066">
            <v>1000</v>
          </cell>
          <cell r="H1066" t="str">
            <v>DOS DE MAYO</v>
          </cell>
          <cell r="I1066" t="str">
            <v>N3337ZAA</v>
          </cell>
        </row>
        <row r="1067">
          <cell r="A1067" t="str">
            <v>N0034</v>
          </cell>
          <cell r="B1067" t="str">
            <v>MISIONES</v>
          </cell>
          <cell r="C1067" t="str">
            <v>ELDORADO</v>
          </cell>
          <cell r="D1067" t="str">
            <v>ELDORADO</v>
          </cell>
          <cell r="E1067" t="str">
            <v>AV GRAL SAN MARTIN</v>
          </cell>
          <cell r="F1067">
            <v>1690</v>
          </cell>
          <cell r="H1067" t="str">
            <v>EL DORADO</v>
          </cell>
          <cell r="I1067" t="str">
            <v>N3380ZAA</v>
          </cell>
        </row>
        <row r="1068">
          <cell r="A1068" t="str">
            <v>N0038</v>
          </cell>
          <cell r="B1068" t="str">
            <v>MISIONES</v>
          </cell>
          <cell r="C1068" t="str">
            <v>GUARANI</v>
          </cell>
          <cell r="D1068" t="str">
            <v>EL SOBERBIO</v>
          </cell>
          <cell r="E1068" t="str">
            <v>AV PRES BERNARDINO RIVADAVIA</v>
          </cell>
          <cell r="F1068">
            <v>0</v>
          </cell>
          <cell r="H1068" t="str">
            <v>EL SOBERBIO</v>
          </cell>
          <cell r="I1068" t="str">
            <v>N3338ZAA</v>
          </cell>
        </row>
        <row r="1069">
          <cell r="A1069" t="str">
            <v>N0040</v>
          </cell>
          <cell r="B1069" t="str">
            <v>MISIONES</v>
          </cell>
          <cell r="C1069" t="str">
            <v>SAN IGNACIO</v>
          </cell>
          <cell r="D1069" t="str">
            <v>GOBERNADOR ROCA</v>
          </cell>
          <cell r="E1069" t="str">
            <v>AV DR MANUEL BELGRANO</v>
          </cell>
          <cell r="F1069">
            <v>1842</v>
          </cell>
          <cell r="H1069" t="str">
            <v>GDOR. ROCA</v>
          </cell>
          <cell r="I1069" t="str">
            <v>N3324ZAA</v>
          </cell>
        </row>
        <row r="1070">
          <cell r="A1070" t="str">
            <v>N0042</v>
          </cell>
          <cell r="B1070" t="str">
            <v>MISIONES</v>
          </cell>
          <cell r="C1070" t="str">
            <v>IGUAZU</v>
          </cell>
          <cell r="D1070" t="str">
            <v>PUERTO IGUAZU</v>
          </cell>
          <cell r="E1070" t="str">
            <v>AV GRAL SAN MARTIN</v>
          </cell>
          <cell r="F1070">
            <v>384</v>
          </cell>
          <cell r="H1070" t="str">
            <v>IGUAZU</v>
          </cell>
          <cell r="I1070" t="str">
            <v>N3370ZAA</v>
          </cell>
        </row>
        <row r="1071">
          <cell r="A1071" t="str">
            <v>N0044</v>
          </cell>
          <cell r="B1071" t="str">
            <v>MISIONES</v>
          </cell>
          <cell r="C1071" t="str">
            <v>SAN JAVIER</v>
          </cell>
          <cell r="D1071" t="str">
            <v>ITACARUARE</v>
          </cell>
          <cell r="E1071" t="str">
            <v>AV SAN MARTIN</v>
          </cell>
          <cell r="F1071">
            <v>100</v>
          </cell>
          <cell r="H1071" t="str">
            <v>ITACARUARE</v>
          </cell>
          <cell r="I1071" t="str">
            <v>N3353ZAA</v>
          </cell>
        </row>
        <row r="1072">
          <cell r="A1072" t="str">
            <v>N0046</v>
          </cell>
          <cell r="B1072" t="str">
            <v>MISIONES</v>
          </cell>
          <cell r="C1072" t="str">
            <v>SAN IGNACIO</v>
          </cell>
          <cell r="D1072" t="str">
            <v>JARDIN AMERICA</v>
          </cell>
          <cell r="E1072" t="str">
            <v>AV ARGENTINA</v>
          </cell>
          <cell r="F1072">
            <v>650</v>
          </cell>
          <cell r="H1072" t="str">
            <v>JARDIN AMERICA</v>
          </cell>
          <cell r="I1072" t="str">
            <v>N3328ZAA</v>
          </cell>
        </row>
        <row r="1073">
          <cell r="A1073" t="str">
            <v>N0048</v>
          </cell>
          <cell r="B1073" t="str">
            <v>MISIONES</v>
          </cell>
          <cell r="C1073" t="str">
            <v>LEANDRO N ALEM</v>
          </cell>
          <cell r="D1073" t="str">
            <v>LEANDRO N ALEM</v>
          </cell>
          <cell r="E1073" t="str">
            <v>AV GRAL MARTIN M GUEMES</v>
          </cell>
          <cell r="F1073">
            <v>1</v>
          </cell>
          <cell r="H1073" t="str">
            <v>L. N. ALEM</v>
          </cell>
          <cell r="I1073" t="str">
            <v>N3315ZAA</v>
          </cell>
        </row>
        <row r="1074">
          <cell r="A1074" t="str">
            <v>N0050</v>
          </cell>
          <cell r="B1074" t="str">
            <v>MISIONES</v>
          </cell>
          <cell r="C1074" t="str">
            <v>IGUAZU</v>
          </cell>
          <cell r="D1074" t="str">
            <v>LIBERTAD</v>
          </cell>
          <cell r="E1074" t="str">
            <v>SAN LUIS</v>
          </cell>
          <cell r="F1074">
            <v>351</v>
          </cell>
          <cell r="H1074" t="str">
            <v>LIBERTAD</v>
          </cell>
          <cell r="I1074" t="str">
            <v>N3374ZAA</v>
          </cell>
        </row>
        <row r="1075">
          <cell r="A1075" t="str">
            <v>N0052</v>
          </cell>
          <cell r="B1075" t="str">
            <v>MISIONES</v>
          </cell>
          <cell r="C1075" t="str">
            <v>MONTECARLO</v>
          </cell>
          <cell r="D1075" t="str">
            <v>MONTECARLO</v>
          </cell>
          <cell r="E1075" t="str">
            <v>CMTE ANDRES GUAYCURARI</v>
          </cell>
          <cell r="F1075">
            <v>1</v>
          </cell>
          <cell r="H1075" t="str">
            <v>MONTECARLO</v>
          </cell>
          <cell r="I1075" t="str">
            <v>N3384ZAA</v>
          </cell>
        </row>
        <row r="1076">
          <cell r="A1076" t="str">
            <v>N0054</v>
          </cell>
          <cell r="B1076" t="str">
            <v>MISIONES</v>
          </cell>
          <cell r="C1076" t="str">
            <v>OBERA</v>
          </cell>
          <cell r="D1076" t="str">
            <v>OBERA</v>
          </cell>
          <cell r="E1076" t="str">
            <v>SANTA FE</v>
          </cell>
          <cell r="F1076">
            <v>205</v>
          </cell>
          <cell r="H1076" t="str">
            <v>OBERÃ</v>
          </cell>
          <cell r="I1076" t="str">
            <v>N3361ZAA</v>
          </cell>
        </row>
        <row r="1077">
          <cell r="A1077" t="str">
            <v>N0056</v>
          </cell>
          <cell r="B1077" t="str">
            <v>MISIONES</v>
          </cell>
          <cell r="C1077" t="str">
            <v>CAPITAL</v>
          </cell>
          <cell r="D1077" t="str">
            <v>POSADAS</v>
          </cell>
          <cell r="E1077" t="str">
            <v>CHACRA 148</v>
          </cell>
          <cell r="F1077">
            <v>0</v>
          </cell>
          <cell r="H1077" t="str">
            <v>SUCURSAL 2 POSADAS</v>
          </cell>
          <cell r="I1077" t="str">
            <v>N3301ZAB</v>
          </cell>
        </row>
        <row r="1078">
          <cell r="A1078" t="str">
            <v>N0058</v>
          </cell>
          <cell r="B1078" t="str">
            <v>MISIONES</v>
          </cell>
          <cell r="C1078" t="str">
            <v>CAPITAL</v>
          </cell>
          <cell r="D1078" t="str">
            <v>POSADAS</v>
          </cell>
          <cell r="E1078" t="str">
            <v>AV REP ORIENTAL DEL URUGUAY</v>
          </cell>
          <cell r="F1078">
            <v>3842</v>
          </cell>
          <cell r="H1078" t="str">
            <v>SUCURSAL 1 POSADAS</v>
          </cell>
          <cell r="I1078" t="str">
            <v>N3300ZAB</v>
          </cell>
        </row>
        <row r="1079">
          <cell r="A1079" t="str">
            <v>N0060</v>
          </cell>
          <cell r="B1079" t="str">
            <v>MISIONES</v>
          </cell>
          <cell r="C1079" t="str">
            <v>IGUAZU</v>
          </cell>
          <cell r="D1079" t="str">
            <v>PUERTO ESPERANZA</v>
          </cell>
          <cell r="E1079" t="str">
            <v>SAN JUAN</v>
          </cell>
          <cell r="F1079">
            <v>100</v>
          </cell>
          <cell r="H1079" t="str">
            <v>PTO. ESPERANZA</v>
          </cell>
          <cell r="I1079" t="str">
            <v>N3378ZAA</v>
          </cell>
        </row>
        <row r="1080">
          <cell r="A1080" t="str">
            <v>N0062</v>
          </cell>
          <cell r="B1080" t="str">
            <v>MISIONES</v>
          </cell>
          <cell r="C1080" t="str">
            <v>MONTECARLO</v>
          </cell>
          <cell r="D1080" t="str">
            <v>PUERTO PIRAY</v>
          </cell>
          <cell r="E1080" t="str">
            <v>SAN LORENZO</v>
          </cell>
          <cell r="F1080">
            <v>0</v>
          </cell>
          <cell r="H1080" t="str">
            <v>PUERTO PIRAY</v>
          </cell>
          <cell r="I1080" t="str">
            <v>N3381ZAA</v>
          </cell>
        </row>
        <row r="1081">
          <cell r="A1081" t="str">
            <v>N0064</v>
          </cell>
          <cell r="B1081" t="str">
            <v>MISIONES</v>
          </cell>
          <cell r="C1081" t="str">
            <v>LIBERTADOR GRAL SAN MARTIN</v>
          </cell>
          <cell r="D1081" t="str">
            <v>PUERTO RICO</v>
          </cell>
          <cell r="E1081" t="str">
            <v>POSTA DE YATASTO</v>
          </cell>
          <cell r="F1081">
            <v>115</v>
          </cell>
          <cell r="H1081" t="str">
            <v>PUERTO RICO</v>
          </cell>
          <cell r="I1081" t="str">
            <v>N3334ZAA</v>
          </cell>
        </row>
        <row r="1082">
          <cell r="A1082" t="str">
            <v>N0068</v>
          </cell>
          <cell r="B1082" t="str">
            <v>MISIONES</v>
          </cell>
          <cell r="C1082" t="str">
            <v>SAN IGNACIO</v>
          </cell>
          <cell r="D1082" t="str">
            <v>SAN IGNACIO</v>
          </cell>
          <cell r="E1082" t="str">
            <v>AV SAN MARTIN</v>
          </cell>
          <cell r="F1082">
            <v>500</v>
          </cell>
          <cell r="H1082" t="str">
            <v>SAN IGNACIO</v>
          </cell>
          <cell r="I1082" t="str">
            <v>N3322ZAC</v>
          </cell>
        </row>
        <row r="1083">
          <cell r="A1083" t="str">
            <v>N0070</v>
          </cell>
          <cell r="B1083" t="str">
            <v>MISIONES</v>
          </cell>
          <cell r="C1083" t="str">
            <v>SAN JAVIER</v>
          </cell>
          <cell r="D1083" t="str">
            <v>SAN JAVIER</v>
          </cell>
          <cell r="E1083" t="str">
            <v>GASPAR GAUPARES</v>
          </cell>
          <cell r="F1083">
            <v>691</v>
          </cell>
          <cell r="H1083" t="str">
            <v>SAN JAVIER</v>
          </cell>
          <cell r="I1083" t="str">
            <v>N3357ZAA</v>
          </cell>
        </row>
        <row r="1084">
          <cell r="A1084" t="str">
            <v>N0072</v>
          </cell>
          <cell r="B1084" t="str">
            <v>MISIONES</v>
          </cell>
          <cell r="C1084" t="str">
            <v>APOSTOLES</v>
          </cell>
          <cell r="D1084" t="str">
            <v>SAN JOSE</v>
          </cell>
          <cell r="E1084" t="str">
            <v>SARMIENTO</v>
          </cell>
          <cell r="F1084">
            <v>200</v>
          </cell>
          <cell r="H1084" t="str">
            <v>SAN JOSE</v>
          </cell>
          <cell r="I1084" t="str">
            <v>N3307ZAA</v>
          </cell>
        </row>
        <row r="1085">
          <cell r="A1085" t="str">
            <v>N0074</v>
          </cell>
          <cell r="B1085" t="str">
            <v>MISIONES</v>
          </cell>
          <cell r="C1085" t="str">
            <v>SAN PEDRO</v>
          </cell>
          <cell r="D1085" t="str">
            <v>SAN PEDRO</v>
          </cell>
          <cell r="E1085" t="str">
            <v>AV 25 DE MAYO</v>
          </cell>
          <cell r="F1085">
            <v>561</v>
          </cell>
          <cell r="H1085" t="str">
            <v>SAN PEDRO</v>
          </cell>
          <cell r="I1085" t="str">
            <v>N3352ZAA</v>
          </cell>
        </row>
        <row r="1086">
          <cell r="A1086" t="str">
            <v>N0078</v>
          </cell>
          <cell r="B1086" t="str">
            <v>MISIONES</v>
          </cell>
          <cell r="C1086" t="str">
            <v>SAN IGNACIO</v>
          </cell>
          <cell r="D1086" t="str">
            <v>SANTO PIPO</v>
          </cell>
          <cell r="E1086" t="str">
            <v>AV SAN MARTIN</v>
          </cell>
          <cell r="F1086">
            <v>0</v>
          </cell>
          <cell r="H1086" t="str">
            <v>SANTO PIPO</v>
          </cell>
          <cell r="I1086" t="str">
            <v>N3322ZAB</v>
          </cell>
        </row>
        <row r="1087">
          <cell r="A1087" t="str">
            <v>N0080</v>
          </cell>
          <cell r="B1087" t="str">
            <v>MISIONES</v>
          </cell>
          <cell r="C1087" t="str">
            <v>GUARANI</v>
          </cell>
          <cell r="D1087" t="str">
            <v>SAN VICENTE</v>
          </cell>
          <cell r="E1087" t="str">
            <v>DEMOCRACIA</v>
          </cell>
          <cell r="F1087">
            <v>297</v>
          </cell>
          <cell r="H1087" t="str">
            <v>SAN VICENTE</v>
          </cell>
          <cell r="I1087" t="str">
            <v>N3356ZAB</v>
          </cell>
        </row>
        <row r="1088">
          <cell r="A1088" t="str">
            <v>N1100</v>
          </cell>
          <cell r="B1088" t="str">
            <v>MISIONES</v>
          </cell>
          <cell r="C1088" t="str">
            <v>GENERAL MANUEL BELGRANO</v>
          </cell>
          <cell r="D1088" t="str">
            <v>ALMIRANTE BROWN</v>
          </cell>
          <cell r="E1088" t="str">
            <v>HOMERO JAUREGUI</v>
          </cell>
          <cell r="F1088">
            <v>0</v>
          </cell>
          <cell r="H1088" t="str">
            <v>ALMIRANTE BROWN</v>
          </cell>
          <cell r="I1088" t="str">
            <v>N3385ZAB</v>
          </cell>
        </row>
        <row r="1089">
          <cell r="A1089" t="str">
            <v>N1180</v>
          </cell>
          <cell r="B1089" t="str">
            <v>MISIONES</v>
          </cell>
          <cell r="C1089" t="str">
            <v>CANDELARIA</v>
          </cell>
          <cell r="D1089" t="str">
            <v>SANTA ANA</v>
          </cell>
          <cell r="E1089" t="str">
            <v>HNO JOSE BRASANELLI</v>
          </cell>
          <cell r="F1089">
            <v>0</v>
          </cell>
          <cell r="H1089" t="str">
            <v>SANTA ANA</v>
          </cell>
          <cell r="I1089" t="str">
            <v>N3316ZAA</v>
          </cell>
        </row>
        <row r="1090">
          <cell r="A1090" t="str">
            <v>Q0000</v>
          </cell>
          <cell r="B1090" t="str">
            <v>NEUQUEN</v>
          </cell>
          <cell r="C1090" t="str">
            <v>CONFLUENCIA</v>
          </cell>
          <cell r="D1090" t="str">
            <v>NEUQUEN</v>
          </cell>
          <cell r="E1090" t="str">
            <v>SANTA FE</v>
          </cell>
          <cell r="F1090">
            <v>101</v>
          </cell>
          <cell r="H1090" t="str">
            <v>NEUQUEN</v>
          </cell>
          <cell r="I1090" t="str">
            <v>Q8300ZAA</v>
          </cell>
        </row>
        <row r="1091">
          <cell r="A1091" t="str">
            <v>Q0002</v>
          </cell>
          <cell r="B1091" t="str">
            <v>NEUQUEN</v>
          </cell>
          <cell r="C1091" t="str">
            <v>ALUMINE</v>
          </cell>
          <cell r="D1091" t="str">
            <v>ALUMINE</v>
          </cell>
          <cell r="E1091" t="str">
            <v>GRAL CONRADO VILLEGAS</v>
          </cell>
          <cell r="F1091">
            <v>560</v>
          </cell>
          <cell r="H1091" t="str">
            <v>ALUMINE</v>
          </cell>
          <cell r="I1091" t="str">
            <v>Q8345ZAA</v>
          </cell>
        </row>
        <row r="1092">
          <cell r="A1092" t="str">
            <v>Q0004</v>
          </cell>
          <cell r="B1092" t="str">
            <v>NEUQUEN</v>
          </cell>
          <cell r="C1092" t="str">
            <v>MINAS</v>
          </cell>
          <cell r="D1092" t="str">
            <v>ANDACOLLO</v>
          </cell>
          <cell r="E1092" t="str">
            <v>AV FELIPE SAPAG</v>
          </cell>
          <cell r="F1092">
            <v>202</v>
          </cell>
          <cell r="H1092" t="str">
            <v>ANDACOLLO</v>
          </cell>
          <cell r="I1092" t="str">
            <v>Q8354ZAA</v>
          </cell>
        </row>
        <row r="1093">
          <cell r="A1093" t="str">
            <v>Q0008</v>
          </cell>
          <cell r="B1093" t="str">
            <v>NEUQUEN</v>
          </cell>
          <cell r="C1093" t="str">
            <v>CONFLUENCIA</v>
          </cell>
          <cell r="D1093" t="str">
            <v>CENTENARIO</v>
          </cell>
          <cell r="E1093" t="str">
            <v>SAN MARTIN</v>
          </cell>
          <cell r="F1093">
            <v>370</v>
          </cell>
          <cell r="H1093" t="str">
            <v>CENTENARIO</v>
          </cell>
          <cell r="I1093" t="str">
            <v>Q8309ZAA</v>
          </cell>
        </row>
        <row r="1094">
          <cell r="A1094" t="str">
            <v>Q0010</v>
          </cell>
          <cell r="B1094" t="str">
            <v>NEUQUEN</v>
          </cell>
          <cell r="C1094" t="str">
            <v>CHOS MALAL</v>
          </cell>
          <cell r="D1094" t="str">
            <v>CHOS MALAL</v>
          </cell>
          <cell r="E1094" t="str">
            <v>GRAL PAZ</v>
          </cell>
          <cell r="F1094">
            <v>518</v>
          </cell>
          <cell r="H1094" t="str">
            <v>CHOS MALAL</v>
          </cell>
          <cell r="I1094" t="str">
            <v>Q8353ZAA</v>
          </cell>
        </row>
        <row r="1095">
          <cell r="A1095" t="str">
            <v>Q0012</v>
          </cell>
          <cell r="B1095" t="str">
            <v>NEUQUEN</v>
          </cell>
          <cell r="C1095" t="str">
            <v>ZAPALA</v>
          </cell>
          <cell r="D1095" t="str">
            <v>MARIANO MORENO</v>
          </cell>
          <cell r="E1095" t="str">
            <v>GRAL SAN MARTIN</v>
          </cell>
          <cell r="F1095">
            <v>0</v>
          </cell>
          <cell r="H1095" t="str">
            <v>MARIANO MORENO</v>
          </cell>
          <cell r="I1095" t="str">
            <v>Q8352ZAA</v>
          </cell>
        </row>
        <row r="1096">
          <cell r="A1096" t="str">
            <v>Q0014</v>
          </cell>
          <cell r="B1096" t="str">
            <v>NEUQUEN</v>
          </cell>
          <cell r="C1096" t="str">
            <v>CONFLUENCIA</v>
          </cell>
          <cell r="D1096" t="str">
            <v>CUTRAL CO</v>
          </cell>
          <cell r="E1096" t="str">
            <v>AV PTE GRAL JULIO A ROCA</v>
          </cell>
          <cell r="F1096">
            <v>660</v>
          </cell>
          <cell r="H1096" t="str">
            <v>CUTRAL CO</v>
          </cell>
          <cell r="I1096" t="str">
            <v>Q8322ZAB</v>
          </cell>
        </row>
        <row r="1097">
          <cell r="A1097" t="str">
            <v>Q0018</v>
          </cell>
          <cell r="B1097" t="str">
            <v>NEUQUEN</v>
          </cell>
          <cell r="C1097" t="str">
            <v>Ã‘ORQUIN</v>
          </cell>
          <cell r="D1097" t="str">
            <v>EL HUECU</v>
          </cell>
          <cell r="E1097" t="str">
            <v>PTE GRAL JULIO A ROCA</v>
          </cell>
          <cell r="F1097">
            <v>0</v>
          </cell>
          <cell r="H1097" t="str">
            <v>EL HUECU</v>
          </cell>
          <cell r="I1097" t="str">
            <v>Q8350ZAA</v>
          </cell>
        </row>
        <row r="1098">
          <cell r="A1098" t="str">
            <v>Q0022</v>
          </cell>
          <cell r="B1098" t="str">
            <v>NEUQUEN</v>
          </cell>
          <cell r="C1098" t="str">
            <v>PICUNCHES</v>
          </cell>
          <cell r="D1098" t="str">
            <v>LAS LAJAS</v>
          </cell>
          <cell r="E1098" t="str">
            <v>M J OLASCOAGA</v>
          </cell>
          <cell r="F1098">
            <v>305</v>
          </cell>
          <cell r="H1098" t="str">
            <v>LAS LAJAS</v>
          </cell>
          <cell r="I1098" t="str">
            <v>Q8347ZAA</v>
          </cell>
        </row>
        <row r="1099">
          <cell r="A1099" t="str">
            <v>Q0024</v>
          </cell>
          <cell r="B1099" t="str">
            <v>NEUQUEN</v>
          </cell>
          <cell r="C1099" t="str">
            <v>LONCOPUE</v>
          </cell>
          <cell r="D1099" t="str">
            <v>LONCOPUE</v>
          </cell>
          <cell r="E1099" t="str">
            <v>AV PADRE MASCARDI</v>
          </cell>
          <cell r="F1099">
            <v>0</v>
          </cell>
          <cell r="H1099" t="str">
            <v>LONCOPUE</v>
          </cell>
          <cell r="I1099" t="str">
            <v>Q8349ZAA</v>
          </cell>
        </row>
        <row r="1100">
          <cell r="A1100" t="str">
            <v>Q0026</v>
          </cell>
          <cell r="B1100" t="str">
            <v>NEUQUEN</v>
          </cell>
          <cell r="C1100" t="str">
            <v>PEHUENCHES</v>
          </cell>
          <cell r="D1100" t="str">
            <v>RINCON DE LOS SAUCES</v>
          </cell>
          <cell r="E1100" t="str">
            <v>AV GRAL E MOSCONI</v>
          </cell>
          <cell r="F1100">
            <v>168</v>
          </cell>
          <cell r="H1100" t="str">
            <v>RINCON DE LOS SAUCES</v>
          </cell>
          <cell r="I1100" t="str">
            <v>Q8319ZAA</v>
          </cell>
        </row>
        <row r="1101">
          <cell r="A1101" t="str">
            <v>Q0028</v>
          </cell>
          <cell r="B1101" t="str">
            <v>NEUQUEN</v>
          </cell>
          <cell r="C1101" t="str">
            <v>PICUN LEUFU</v>
          </cell>
          <cell r="D1101" t="str">
            <v>PICUN LEUFU</v>
          </cell>
          <cell r="E1101" t="str">
            <v>AV PRIMEROS POBLADORES</v>
          </cell>
          <cell r="F1101">
            <v>0</v>
          </cell>
          <cell r="H1101" t="str">
            <v>PICUN LEUFU</v>
          </cell>
          <cell r="I1101" t="str">
            <v>Q8313ZAA</v>
          </cell>
        </row>
        <row r="1102">
          <cell r="A1102" t="str">
            <v>Q0032</v>
          </cell>
          <cell r="B1102" t="str">
            <v>NEUQUEN</v>
          </cell>
          <cell r="C1102" t="str">
            <v>CONFLUENCIA</v>
          </cell>
          <cell r="D1102" t="str">
            <v>PLAZA HUINCUL</v>
          </cell>
          <cell r="E1102" t="str">
            <v>AV SAN MARTIN</v>
          </cell>
          <cell r="F1102">
            <v>497</v>
          </cell>
          <cell r="H1102" t="str">
            <v>PLAZA HUINCUL</v>
          </cell>
          <cell r="I1102" t="str">
            <v>Q8318ZAA</v>
          </cell>
        </row>
        <row r="1103">
          <cell r="A1103" t="str">
            <v>Q0033</v>
          </cell>
          <cell r="B1103" t="str">
            <v>NEUQUEN</v>
          </cell>
          <cell r="C1103" t="str">
            <v>AÃ‘ELO</v>
          </cell>
          <cell r="D1103" t="str">
            <v>AÃ‘ELO</v>
          </cell>
          <cell r="E1103" t="str">
            <v>CALLE 2</v>
          </cell>
          <cell r="F1103">
            <v>0</v>
          </cell>
          <cell r="H1103" t="str">
            <v>AÃ‘ELO</v>
          </cell>
          <cell r="I1103" t="str">
            <v>Q8312ZAA</v>
          </cell>
        </row>
        <row r="1104">
          <cell r="A1104" t="str">
            <v>Q0034</v>
          </cell>
          <cell r="B1104" t="str">
            <v>NEUQUEN</v>
          </cell>
          <cell r="C1104" t="str">
            <v>CONFLUENCIA</v>
          </cell>
          <cell r="D1104" t="str">
            <v>PLOTTIER</v>
          </cell>
          <cell r="E1104" t="str">
            <v>GDOR ELORDI</v>
          </cell>
          <cell r="F1104">
            <v>160</v>
          </cell>
          <cell r="H1104" t="str">
            <v>PLOTTIER</v>
          </cell>
          <cell r="I1104" t="str">
            <v>Q8316ZAA</v>
          </cell>
        </row>
        <row r="1105">
          <cell r="A1105" t="str">
            <v>Q0038</v>
          </cell>
          <cell r="B1105" t="str">
            <v>NEUQUEN</v>
          </cell>
          <cell r="C1105" t="str">
            <v>CONFLUENCIA</v>
          </cell>
          <cell r="D1105" t="str">
            <v>SENILLOSA</v>
          </cell>
          <cell r="E1105" t="str">
            <v>AV SANTA FE</v>
          </cell>
          <cell r="F1105">
            <v>115</v>
          </cell>
          <cell r="H1105" t="str">
            <v>SENILLOSA</v>
          </cell>
          <cell r="I1105" t="str">
            <v>Q8320ZAA</v>
          </cell>
        </row>
        <row r="1106">
          <cell r="A1106" t="str">
            <v>Q0042</v>
          </cell>
          <cell r="B1106" t="str">
            <v>NEUQUEN</v>
          </cell>
          <cell r="C1106" t="str">
            <v>CONFLUENCIA</v>
          </cell>
          <cell r="D1106" t="str">
            <v>VILLA EL CHOCON</v>
          </cell>
          <cell r="E1106" t="str">
            <v>FILA LAS 300</v>
          </cell>
          <cell r="F1106">
            <v>0</v>
          </cell>
          <cell r="H1106" t="str">
            <v>VILLA EL CHOCON</v>
          </cell>
          <cell r="I1106" t="str">
            <v>Q8311ZAA</v>
          </cell>
        </row>
        <row r="1107">
          <cell r="A1107" t="str">
            <v>Q0046</v>
          </cell>
          <cell r="B1107" t="str">
            <v>NEUQUEN</v>
          </cell>
          <cell r="C1107" t="str">
            <v>ZAPALA</v>
          </cell>
          <cell r="D1107" t="str">
            <v>ZAPALA</v>
          </cell>
          <cell r="E1107" t="str">
            <v>AV SAN MARTIN</v>
          </cell>
          <cell r="F1107">
            <v>324</v>
          </cell>
          <cell r="H1107" t="str">
            <v>ZAPALA</v>
          </cell>
          <cell r="I1107" t="str">
            <v>Q8340ZAA</v>
          </cell>
        </row>
        <row r="1108">
          <cell r="A1108" t="str">
            <v>Q0102</v>
          </cell>
          <cell r="B1108" t="str">
            <v>NEUQUEN</v>
          </cell>
          <cell r="C1108" t="str">
            <v>HUILICHES</v>
          </cell>
          <cell r="D1108" t="str">
            <v>JUNIN DE LOS ANDES</v>
          </cell>
          <cell r="E1108" t="str">
            <v>DON BOSCO</v>
          </cell>
          <cell r="F1108">
            <v>602</v>
          </cell>
          <cell r="H1108" t="str">
            <v>JUNIN DE LOS ANDES</v>
          </cell>
          <cell r="I1108" t="str">
            <v>Q8371ZAA</v>
          </cell>
        </row>
        <row r="1109">
          <cell r="A1109" t="str">
            <v>Q0104</v>
          </cell>
          <cell r="B1109" t="str">
            <v>NEUQUEN</v>
          </cell>
          <cell r="C1109" t="str">
            <v>LACAR</v>
          </cell>
          <cell r="D1109" t="str">
            <v>SAN MARTIN DE LOS ANDES</v>
          </cell>
          <cell r="E1109" t="str">
            <v>PTE GRAL JULIO A ROCA</v>
          </cell>
          <cell r="F1109">
            <v>690</v>
          </cell>
          <cell r="H1109" t="str">
            <v>SAN MARTIN DE LOS ANDES</v>
          </cell>
          <cell r="I1109" t="str">
            <v>Q8370ZAA</v>
          </cell>
        </row>
        <row r="1110">
          <cell r="A1110" t="str">
            <v>Q0106</v>
          </cell>
          <cell r="B1110" t="str">
            <v>NEUQUEN</v>
          </cell>
          <cell r="C1110" t="str">
            <v>LOS LAGOS</v>
          </cell>
          <cell r="D1110" t="str">
            <v>VILLA TRAFUL</v>
          </cell>
          <cell r="E1110" t="str">
            <v>R PROV 65</v>
          </cell>
          <cell r="F1110">
            <v>0</v>
          </cell>
          <cell r="H1110" t="str">
            <v>VILLA TRAFUL</v>
          </cell>
          <cell r="I1110" t="str">
            <v>Q8408ZAA</v>
          </cell>
        </row>
        <row r="1111">
          <cell r="A1111" t="str">
            <v>Q0108</v>
          </cell>
          <cell r="B1111" t="str">
            <v>NEUQUEN</v>
          </cell>
          <cell r="C1111" t="str">
            <v>LOS LAGOS</v>
          </cell>
          <cell r="D1111" t="str">
            <v>VILLA LA ANGOSTURA</v>
          </cell>
          <cell r="E1111" t="str">
            <v>LAS FUCSIAS</v>
          </cell>
          <cell r="F1111">
            <v>121</v>
          </cell>
          <cell r="H1111" t="str">
            <v>VILLA LA ANGOSTURA</v>
          </cell>
          <cell r="I1111" t="str">
            <v>Q8407ZAA</v>
          </cell>
        </row>
        <row r="1112">
          <cell r="A1112" t="str">
            <v>Q0110</v>
          </cell>
          <cell r="B1112" t="str">
            <v>NEUQUEN</v>
          </cell>
          <cell r="C1112" t="str">
            <v>COLLON CURA</v>
          </cell>
          <cell r="D1112" t="str">
            <v>PIEDRA DEL AGUILA</v>
          </cell>
          <cell r="E1112" t="str">
            <v>AV DOMINGO SARMIENTO</v>
          </cell>
          <cell r="F1112">
            <v>90</v>
          </cell>
          <cell r="H1112" t="str">
            <v>PIEDRA DEL AGUILA</v>
          </cell>
          <cell r="I1112" t="str">
            <v>Q8315ZAA</v>
          </cell>
        </row>
        <row r="1113">
          <cell r="A1113" t="str">
            <v>Q1026</v>
          </cell>
          <cell r="B1113" t="str">
            <v>NEUQUEN</v>
          </cell>
          <cell r="C1113" t="str">
            <v>MINAS</v>
          </cell>
          <cell r="D1113" t="str">
            <v>LAS OVEJAS</v>
          </cell>
          <cell r="E1113" t="str">
            <v>S/C</v>
          </cell>
          <cell r="F1113">
            <v>0</v>
          </cell>
          <cell r="H1113" t="str">
            <v>LAS OVEJAS</v>
          </cell>
          <cell r="I1113" t="str">
            <v>Q8355ZAA</v>
          </cell>
        </row>
        <row r="1114">
          <cell r="A1114" t="str">
            <v>Q1127</v>
          </cell>
          <cell r="B1114" t="str">
            <v>NEUQUEN</v>
          </cell>
          <cell r="C1114" t="str">
            <v>AÃ‘ELO</v>
          </cell>
          <cell r="D1114" t="str">
            <v>SAN PATRICIO DEL CHAÃ‘AR</v>
          </cell>
          <cell r="E1114" t="str">
            <v>VILLA PEHUENIA</v>
          </cell>
          <cell r="F1114">
            <v>0</v>
          </cell>
          <cell r="H1114" t="str">
            <v>SAN PATRICIO DEL CHAÃ‘AR</v>
          </cell>
          <cell r="I1114" t="str">
            <v>Q8306ZAA</v>
          </cell>
        </row>
        <row r="1115">
          <cell r="A1115" t="str">
            <v>R0100</v>
          </cell>
          <cell r="B1115" t="str">
            <v>RIO NEGRO</v>
          </cell>
          <cell r="C1115" t="str">
            <v>BARILOCHE</v>
          </cell>
          <cell r="D1115" t="str">
            <v>SAN CARLOS DE BARILOCHE</v>
          </cell>
          <cell r="E1115" t="str">
            <v>PERITO FRANCISCO P MORENO</v>
          </cell>
          <cell r="F1115">
            <v>175</v>
          </cell>
          <cell r="H1115" t="str">
            <v>S. C. DE BARILOCHE</v>
          </cell>
          <cell r="I1115" t="str">
            <v>R8400ZAA</v>
          </cell>
        </row>
        <row r="1116">
          <cell r="A1116" t="str">
            <v>R0101</v>
          </cell>
          <cell r="B1116" t="str">
            <v>RIO NEGRO</v>
          </cell>
          <cell r="C1116" t="str">
            <v>BARILOCHE</v>
          </cell>
          <cell r="D1116" t="str">
            <v>SAN CARLOS DE BARILOCHE</v>
          </cell>
          <cell r="E1116" t="str">
            <v>CLEMENTE ONELLI</v>
          </cell>
          <cell r="F1116">
            <v>1450</v>
          </cell>
          <cell r="H1116" t="str">
            <v>ONELLI</v>
          </cell>
          <cell r="I1116" t="str">
            <v>R8400ZAQ</v>
          </cell>
        </row>
        <row r="1117">
          <cell r="A1117" t="str">
            <v>R0102</v>
          </cell>
          <cell r="B1117" t="str">
            <v>RIO NEGRO</v>
          </cell>
          <cell r="C1117" t="str">
            <v>PILCANIYEU</v>
          </cell>
          <cell r="D1117" t="str">
            <v>COMALLO</v>
          </cell>
          <cell r="E1117" t="str">
            <v>AV LIBERTAD</v>
          </cell>
          <cell r="F1117">
            <v>100</v>
          </cell>
          <cell r="H1117" t="str">
            <v>COMALLO</v>
          </cell>
          <cell r="I1117" t="str">
            <v>R8416ZAA</v>
          </cell>
        </row>
        <row r="1118">
          <cell r="A1118" t="str">
            <v>R0104</v>
          </cell>
          <cell r="B1118" t="str">
            <v>RIO NEGRO</v>
          </cell>
          <cell r="C1118" t="str">
            <v>25 DE MAYO</v>
          </cell>
          <cell r="D1118" t="str">
            <v>INGENIERO JACOBACCI</v>
          </cell>
          <cell r="E1118" t="str">
            <v>LIBERTAD</v>
          </cell>
          <cell r="F1118">
            <v>100</v>
          </cell>
          <cell r="H1118" t="str">
            <v>ING. JACOBACCI</v>
          </cell>
          <cell r="I1118" t="str">
            <v>R8418ZAA</v>
          </cell>
        </row>
        <row r="1119">
          <cell r="A1119" t="str">
            <v>R0108</v>
          </cell>
          <cell r="B1119" t="str">
            <v>RIO NEGRO</v>
          </cell>
          <cell r="C1119" t="str">
            <v>25 DE MAYO</v>
          </cell>
          <cell r="D1119" t="str">
            <v>MAQUINCHAO</v>
          </cell>
          <cell r="E1119" t="str">
            <v>DOMINGO SARMIENTO</v>
          </cell>
          <cell r="F1119">
            <v>900</v>
          </cell>
          <cell r="H1119" t="str">
            <v>MAQUINCHAO</v>
          </cell>
          <cell r="I1119" t="str">
            <v>R8422ZAA</v>
          </cell>
        </row>
        <row r="1120">
          <cell r="A1120" t="str">
            <v>R0110</v>
          </cell>
          <cell r="B1120" t="str">
            <v>RIO NEGRO</v>
          </cell>
          <cell r="C1120" t="str">
            <v>Ã‘ORQUINCO</v>
          </cell>
          <cell r="D1120" t="str">
            <v>Ã‘ORQUINCO</v>
          </cell>
          <cell r="E1120" t="str">
            <v>SAN MARTIN S/NÂº</v>
          </cell>
          <cell r="H1120" t="str">
            <v>Ã‘ORQUINCO</v>
          </cell>
          <cell r="I1120" t="str">
            <v>R8415ZAA</v>
          </cell>
        </row>
        <row r="1121">
          <cell r="A1121" t="str">
            <v>R0114</v>
          </cell>
          <cell r="B1121" t="str">
            <v>RIO NEGRO</v>
          </cell>
          <cell r="C1121" t="str">
            <v>PILCANIYEU</v>
          </cell>
          <cell r="D1121" t="str">
            <v>PILCANIYEU</v>
          </cell>
          <cell r="E1121" t="str">
            <v>CHOIQUE SIN NÂº</v>
          </cell>
          <cell r="H1121" t="str">
            <v>PILCANIYEU</v>
          </cell>
          <cell r="I1121" t="str">
            <v>R8412ZAA</v>
          </cell>
        </row>
        <row r="1122">
          <cell r="A1122" t="str">
            <v>R0118</v>
          </cell>
          <cell r="B1122" t="str">
            <v>RIO NEGRO</v>
          </cell>
          <cell r="C1122" t="str">
            <v>BARILOCHE</v>
          </cell>
          <cell r="D1122" t="str">
            <v>EL BOLSON</v>
          </cell>
          <cell r="E1122" t="str">
            <v>AV SAN MARTIN</v>
          </cell>
          <cell r="F1122">
            <v>2860</v>
          </cell>
          <cell r="H1122" t="str">
            <v>EL BOLSON</v>
          </cell>
          <cell r="I1122" t="str">
            <v>R8430ZAA</v>
          </cell>
        </row>
        <row r="1123">
          <cell r="A1123" t="str">
            <v>R0202</v>
          </cell>
          <cell r="B1123" t="str">
            <v>RIO NEGRO</v>
          </cell>
          <cell r="C1123" t="str">
            <v>GENERAL ROCA</v>
          </cell>
          <cell r="D1123" t="str">
            <v>ALLEN</v>
          </cell>
          <cell r="E1123" t="str">
            <v>TOMAS ORELL</v>
          </cell>
          <cell r="F1123">
            <v>168</v>
          </cell>
          <cell r="H1123" t="str">
            <v>ALLEN</v>
          </cell>
          <cell r="I1123" t="str">
            <v>R8328ZAA</v>
          </cell>
        </row>
        <row r="1124">
          <cell r="A1124" t="str">
            <v>R0204</v>
          </cell>
          <cell r="B1124" t="str">
            <v>RIO NEGRO</v>
          </cell>
          <cell r="C1124" t="str">
            <v>GENERAL ROCA</v>
          </cell>
          <cell r="D1124" t="str">
            <v>BARDA DEL MEDIO</v>
          </cell>
          <cell r="E1124" t="str">
            <v>DECIO SEVERINI</v>
          </cell>
          <cell r="F1124">
            <v>201</v>
          </cell>
          <cell r="H1124" t="str">
            <v>BARDA DEL MEDIO</v>
          </cell>
          <cell r="I1124" t="str">
            <v>R8305ZAA</v>
          </cell>
        </row>
        <row r="1125">
          <cell r="A1125" t="str">
            <v>R0206</v>
          </cell>
          <cell r="B1125" t="str">
            <v>RIO NEGRO</v>
          </cell>
          <cell r="C1125" t="str">
            <v>GENERAL ROCA</v>
          </cell>
          <cell r="D1125" t="str">
            <v>CATRIEL</v>
          </cell>
          <cell r="E1125" t="str">
            <v>PRIMEROS POBLADORES</v>
          </cell>
          <cell r="F1125">
            <v>240</v>
          </cell>
          <cell r="H1125" t="str">
            <v>CATRIEL</v>
          </cell>
          <cell r="I1125" t="str">
            <v>R8307ZAA</v>
          </cell>
        </row>
        <row r="1126">
          <cell r="A1126" t="str">
            <v>R0208</v>
          </cell>
          <cell r="B1126" t="str">
            <v>RIO NEGRO</v>
          </cell>
          <cell r="C1126" t="str">
            <v>GENERAL ROCA</v>
          </cell>
          <cell r="D1126" t="str">
            <v>CERVANTES</v>
          </cell>
          <cell r="E1126" t="str">
            <v>AV SAN MARTIN</v>
          </cell>
          <cell r="F1126">
            <v>225</v>
          </cell>
          <cell r="H1126" t="str">
            <v>CERVANTES</v>
          </cell>
          <cell r="I1126" t="str">
            <v>R8326ZAA</v>
          </cell>
        </row>
        <row r="1127">
          <cell r="A1127" t="str">
            <v>R0210</v>
          </cell>
          <cell r="B1127" t="str">
            <v>RIO NEGRO</v>
          </cell>
          <cell r="C1127" t="str">
            <v>AVELLANEDA</v>
          </cell>
          <cell r="D1127" t="str">
            <v>CHIMPAY</v>
          </cell>
          <cell r="E1127" t="str">
            <v>SARMIENTO</v>
          </cell>
          <cell r="F1127">
            <v>141</v>
          </cell>
          <cell r="H1127" t="str">
            <v>CHIMPAY</v>
          </cell>
          <cell r="I1127" t="str">
            <v>R8364ZAA</v>
          </cell>
        </row>
        <row r="1128">
          <cell r="A1128" t="str">
            <v>R0212</v>
          </cell>
          <cell r="B1128" t="str">
            <v>RIO NEGRO</v>
          </cell>
          <cell r="C1128" t="str">
            <v>GENERAL ROCA</v>
          </cell>
          <cell r="D1128" t="str">
            <v>CINCO SALTOS</v>
          </cell>
          <cell r="E1128" t="str">
            <v>AV BLUMETTI</v>
          </cell>
          <cell r="F1128">
            <v>22</v>
          </cell>
          <cell r="H1128" t="str">
            <v>CINCO SALTOS</v>
          </cell>
          <cell r="I1128" t="str">
            <v>R8303ZAA</v>
          </cell>
        </row>
        <row r="1129">
          <cell r="A1129" t="str">
            <v>R0214</v>
          </cell>
          <cell r="B1129" t="str">
            <v>RIO NEGRO</v>
          </cell>
          <cell r="C1129" t="str">
            <v>GENERAL ROCA</v>
          </cell>
          <cell r="D1129" t="str">
            <v>CIPOLLETTI</v>
          </cell>
          <cell r="E1129" t="str">
            <v>TENIENTE 1RO IBAÃ‘EZ</v>
          </cell>
          <cell r="F1129">
            <v>5</v>
          </cell>
          <cell r="H1129" t="str">
            <v>CIPOLLETTI</v>
          </cell>
          <cell r="I1129" t="str">
            <v>R8324ZAA</v>
          </cell>
        </row>
        <row r="1130">
          <cell r="A1130" t="str">
            <v>R0218</v>
          </cell>
          <cell r="B1130" t="str">
            <v>RIO NEGRO</v>
          </cell>
          <cell r="C1130" t="str">
            <v>GENERAL ROCA</v>
          </cell>
          <cell r="D1130" t="str">
            <v>CHICHINALES</v>
          </cell>
          <cell r="E1130" t="str">
            <v>RIO NEGRO</v>
          </cell>
          <cell r="F1130">
            <v>50</v>
          </cell>
          <cell r="H1130" t="str">
            <v>CHICHINALES</v>
          </cell>
          <cell r="I1130" t="str">
            <v>R8337ZAA</v>
          </cell>
        </row>
        <row r="1131">
          <cell r="A1131" t="str">
            <v>R0220</v>
          </cell>
          <cell r="B1131" t="str">
            <v>RIO NEGRO</v>
          </cell>
          <cell r="C1131" t="str">
            <v>GENERAL ROCA</v>
          </cell>
          <cell r="D1131" t="str">
            <v>GENERAL FERNANDEZ ORO</v>
          </cell>
          <cell r="E1131" t="str">
            <v>GRAL SAN MARTIN</v>
          </cell>
          <cell r="F1131">
            <v>180</v>
          </cell>
          <cell r="H1131" t="str">
            <v>GRAL. FERNANDEZ ORO</v>
          </cell>
          <cell r="I1131" t="str">
            <v>R8325ZAA</v>
          </cell>
        </row>
        <row r="1132">
          <cell r="A1132" t="str">
            <v>R0222</v>
          </cell>
          <cell r="B1132" t="str">
            <v>RIO NEGRO</v>
          </cell>
          <cell r="C1132" t="str">
            <v>GENERAL ROCA</v>
          </cell>
          <cell r="D1132" t="str">
            <v>GENERAL ENRIQUE GODOY</v>
          </cell>
          <cell r="E1132" t="str">
            <v>AV 9 DE JULIO</v>
          </cell>
          <cell r="F1132">
            <v>400</v>
          </cell>
          <cell r="H1132" t="str">
            <v>GRAL. ENRIQUE GODOY</v>
          </cell>
          <cell r="I1132" t="str">
            <v>R8338ZAA</v>
          </cell>
        </row>
        <row r="1133">
          <cell r="A1133" t="str">
            <v>R0224</v>
          </cell>
          <cell r="B1133" t="str">
            <v>RIO NEGRO</v>
          </cell>
          <cell r="C1133" t="str">
            <v>GENERAL ROCA</v>
          </cell>
          <cell r="D1133" t="str">
            <v>GENERAL ROCA</v>
          </cell>
          <cell r="E1133" t="str">
            <v>AV PTE GRAL JULIO A ROCA</v>
          </cell>
          <cell r="F1133">
            <v>1462</v>
          </cell>
          <cell r="H1133" t="str">
            <v>GRAL. ROCA</v>
          </cell>
          <cell r="I1133" t="str">
            <v>R8332ZAA</v>
          </cell>
        </row>
        <row r="1134">
          <cell r="A1134" t="str">
            <v>R0226</v>
          </cell>
          <cell r="B1134" t="str">
            <v>RIO NEGRO</v>
          </cell>
          <cell r="C1134" t="str">
            <v>GENERAL ROCA</v>
          </cell>
          <cell r="D1134" t="str">
            <v>INGENIERO HUERGO</v>
          </cell>
          <cell r="E1134" t="str">
            <v>AV CRISTOBAL COLON</v>
          </cell>
          <cell r="F1134">
            <v>970</v>
          </cell>
          <cell r="H1134" t="str">
            <v>ING. HUERGO</v>
          </cell>
          <cell r="I1134" t="str">
            <v>R8334ZAA</v>
          </cell>
        </row>
        <row r="1135">
          <cell r="A1135" t="str">
            <v>R0228</v>
          </cell>
          <cell r="B1135" t="str">
            <v>RIO NEGRO</v>
          </cell>
          <cell r="C1135" t="str">
            <v>GENERAL ROCA</v>
          </cell>
          <cell r="D1135" t="str">
            <v>MAINQUE</v>
          </cell>
          <cell r="E1135" t="str">
            <v>AV 19</v>
          </cell>
          <cell r="F1135">
            <v>580</v>
          </cell>
          <cell r="H1135" t="str">
            <v>MAINQUE</v>
          </cell>
          <cell r="I1135" t="str">
            <v>R8327ZAA</v>
          </cell>
        </row>
        <row r="1136">
          <cell r="A1136" t="str">
            <v>R0230</v>
          </cell>
          <cell r="B1136" t="str">
            <v>RIO NEGRO</v>
          </cell>
          <cell r="C1136" t="str">
            <v>GENERAL ROCA</v>
          </cell>
          <cell r="D1136" t="str">
            <v>VILLA REGINA</v>
          </cell>
          <cell r="E1136" t="str">
            <v>DOMINGO SARMIENTO</v>
          </cell>
          <cell r="F1136">
            <v>98</v>
          </cell>
          <cell r="H1136" t="str">
            <v>VILLA REGINA</v>
          </cell>
          <cell r="I1136" t="str">
            <v>R8336ZAA</v>
          </cell>
        </row>
        <row r="1137">
          <cell r="A1137" t="str">
            <v>R0232</v>
          </cell>
          <cell r="B1137" t="str">
            <v>RIO NEGRO</v>
          </cell>
          <cell r="C1137" t="str">
            <v>GENERAL ROCA</v>
          </cell>
          <cell r="D1137" t="str">
            <v>VILLA MANZANO</v>
          </cell>
          <cell r="E1137" t="str">
            <v>DR LUIS PASTEUR</v>
          </cell>
          <cell r="F1137">
            <v>446</v>
          </cell>
          <cell r="H1137" t="str">
            <v>VILLA MANZANO</v>
          </cell>
          <cell r="I1137" t="str">
            <v>R8308ZAA</v>
          </cell>
        </row>
        <row r="1138">
          <cell r="A1138" t="str">
            <v>R0300</v>
          </cell>
          <cell r="B1138" t="str">
            <v>RIO NEGRO</v>
          </cell>
          <cell r="C1138" t="str">
            <v>ADOLFO ALSINA</v>
          </cell>
          <cell r="D1138" t="str">
            <v>VIEDMA</v>
          </cell>
          <cell r="E1138" t="str">
            <v>B RIVADAVIA</v>
          </cell>
          <cell r="F1138">
            <v>151</v>
          </cell>
          <cell r="H1138" t="str">
            <v>VIEDMA</v>
          </cell>
          <cell r="I1138" t="str">
            <v>R8500ZAA</v>
          </cell>
        </row>
        <row r="1139">
          <cell r="A1139" t="str">
            <v>R0302</v>
          </cell>
          <cell r="B1139" t="str">
            <v>RIO NEGRO</v>
          </cell>
          <cell r="C1139" t="str">
            <v>AVELLANEDA</v>
          </cell>
          <cell r="D1139" t="str">
            <v>CHOELE CHOEL</v>
          </cell>
          <cell r="E1139" t="str">
            <v>AV GRAL SAN MARTIN</v>
          </cell>
          <cell r="F1139">
            <v>1298</v>
          </cell>
          <cell r="H1139" t="str">
            <v>CHOELE CHOEL</v>
          </cell>
          <cell r="I1139" t="str">
            <v>R8360ZAA</v>
          </cell>
        </row>
        <row r="1140">
          <cell r="A1140" t="str">
            <v>R0304</v>
          </cell>
          <cell r="B1140" t="str">
            <v>RIO NEGRO</v>
          </cell>
          <cell r="C1140" t="str">
            <v>AVELLANEDA</v>
          </cell>
          <cell r="D1140" t="str">
            <v>LAMARQUE</v>
          </cell>
          <cell r="E1140" t="str">
            <v>SAN MARTIN</v>
          </cell>
          <cell r="F1140">
            <v>100</v>
          </cell>
          <cell r="H1140" t="str">
            <v>LAMARQUE</v>
          </cell>
          <cell r="I1140" t="str">
            <v>R8363ZAA</v>
          </cell>
        </row>
        <row r="1141">
          <cell r="A1141" t="str">
            <v>R0306</v>
          </cell>
          <cell r="B1141" t="str">
            <v>RIO NEGRO</v>
          </cell>
          <cell r="C1141" t="str">
            <v>AVELLANEDA</v>
          </cell>
          <cell r="D1141" t="str">
            <v>LUIS BELTRAN</v>
          </cell>
          <cell r="E1141" t="str">
            <v>PRES N AVELLANEDA</v>
          </cell>
          <cell r="F1141">
            <v>100</v>
          </cell>
          <cell r="H1141" t="str">
            <v>LUIS BELTRAN</v>
          </cell>
          <cell r="I1141" t="str">
            <v>R8361ZAA</v>
          </cell>
        </row>
        <row r="1142">
          <cell r="A1142" t="str">
            <v>R0308</v>
          </cell>
          <cell r="B1142" t="str">
            <v>RIO NEGRO</v>
          </cell>
          <cell r="C1142" t="str">
            <v>25 DE MAYO</v>
          </cell>
          <cell r="D1142" t="str">
            <v>LOS MENUCOS</v>
          </cell>
          <cell r="E1142" t="str">
            <v>BUENOS AIRES</v>
          </cell>
          <cell r="F1142">
            <v>687</v>
          </cell>
          <cell r="H1142" t="str">
            <v>LOS MENUCOS</v>
          </cell>
          <cell r="I1142" t="str">
            <v>R8424ZAA</v>
          </cell>
        </row>
        <row r="1143">
          <cell r="A1143" t="str">
            <v>R0310</v>
          </cell>
          <cell r="B1143" t="str">
            <v>RIO NEGRO</v>
          </cell>
          <cell r="C1143" t="str">
            <v>SAN ANTONIO</v>
          </cell>
          <cell r="D1143" t="str">
            <v>SAN ANTONIO OESTE</v>
          </cell>
          <cell r="E1143" t="str">
            <v>ALTE G BROWN</v>
          </cell>
          <cell r="F1143">
            <v>305</v>
          </cell>
          <cell r="H1143" t="str">
            <v>SAN ANTONIO OESTE</v>
          </cell>
          <cell r="I1143" t="str">
            <v>R8520ZAA</v>
          </cell>
        </row>
        <row r="1144">
          <cell r="A1144" t="str">
            <v>R0312</v>
          </cell>
          <cell r="B1144" t="str">
            <v>RIO NEGRO</v>
          </cell>
          <cell r="C1144" t="str">
            <v>CONESA</v>
          </cell>
          <cell r="D1144" t="str">
            <v>GENERAL CONESA</v>
          </cell>
          <cell r="E1144" t="str">
            <v>PTE H YRIGOYEN</v>
          </cell>
          <cell r="F1144">
            <v>377</v>
          </cell>
          <cell r="H1144" t="str">
            <v>GRAL. CONESA</v>
          </cell>
          <cell r="I1144" t="str">
            <v>R8503ZAA</v>
          </cell>
        </row>
        <row r="1145">
          <cell r="A1145" t="str">
            <v>R0314</v>
          </cell>
          <cell r="B1145" t="str">
            <v>RIO NEGRO</v>
          </cell>
          <cell r="C1145" t="str">
            <v>PICHI MAHUIDA</v>
          </cell>
          <cell r="D1145" t="str">
            <v>RIO COLORADO</v>
          </cell>
          <cell r="E1145" t="str">
            <v>MORENO</v>
          </cell>
          <cell r="F1145">
            <v>495</v>
          </cell>
          <cell r="H1145" t="str">
            <v>RIO COLORADO</v>
          </cell>
          <cell r="I1145" t="str">
            <v>R8138ZAA</v>
          </cell>
        </row>
        <row r="1146">
          <cell r="A1146" t="str">
            <v>R0316</v>
          </cell>
          <cell r="B1146" t="str">
            <v>RIO NEGRO</v>
          </cell>
          <cell r="C1146" t="str">
            <v>SAN ANTONIO</v>
          </cell>
          <cell r="D1146" t="str">
            <v>SIERRA GRANDE</v>
          </cell>
          <cell r="E1146" t="str">
            <v>AV ANTARTIDA ARGENTINA</v>
          </cell>
          <cell r="F1146">
            <v>189</v>
          </cell>
          <cell r="H1146" t="str">
            <v>SIERRA GRANDE</v>
          </cell>
          <cell r="I1146" t="str">
            <v>R8532ZAA</v>
          </cell>
        </row>
        <row r="1147">
          <cell r="A1147" t="str">
            <v>R0318</v>
          </cell>
          <cell r="B1147" t="str">
            <v>RIO NEGRO</v>
          </cell>
          <cell r="C1147" t="str">
            <v>VALCHETA</v>
          </cell>
          <cell r="D1147" t="str">
            <v>VALCHETA</v>
          </cell>
          <cell r="E1147" t="str">
            <v>GDOR PAGANO</v>
          </cell>
          <cell r="F1147">
            <v>622</v>
          </cell>
          <cell r="H1147" t="str">
            <v>VALCHETA</v>
          </cell>
          <cell r="I1147" t="str">
            <v>R8536ZAA</v>
          </cell>
        </row>
        <row r="1148">
          <cell r="A1148" t="str">
            <v>R1028</v>
          </cell>
          <cell r="B1148" t="str">
            <v>RIO NEGRO</v>
          </cell>
          <cell r="C1148" t="str">
            <v>EL CUY</v>
          </cell>
          <cell r="D1148" t="str">
            <v>VALLE AZUL</v>
          </cell>
          <cell r="E1148" t="str">
            <v>ZONA RURAL</v>
          </cell>
          <cell r="H1148" t="str">
            <v>VALLE AZUL</v>
          </cell>
          <cell r="I1148" t="str">
            <v>R8336ZAB</v>
          </cell>
        </row>
        <row r="1149">
          <cell r="A1149" t="str">
            <v>R1308</v>
          </cell>
          <cell r="B1149" t="str">
            <v>RIO NEGRO</v>
          </cell>
          <cell r="C1149" t="str">
            <v>9 DE JULIO</v>
          </cell>
          <cell r="D1149" t="str">
            <v>MINISTRO RAMOS MEXIA</v>
          </cell>
          <cell r="E1149" t="str">
            <v>AV SAN MARTIN</v>
          </cell>
          <cell r="F1149">
            <v>0</v>
          </cell>
          <cell r="H1149" t="str">
            <v>MTRO. RAMOS MEXIA</v>
          </cell>
          <cell r="I1149" t="str">
            <v>R8534ZAA</v>
          </cell>
        </row>
        <row r="1150">
          <cell r="A1150" t="str">
            <v>R1310</v>
          </cell>
          <cell r="B1150" t="str">
            <v>RIO NEGRO</v>
          </cell>
          <cell r="C1150" t="str">
            <v>9 DE JULIO</v>
          </cell>
          <cell r="D1150" t="str">
            <v>SIERRA COLORADA</v>
          </cell>
          <cell r="E1150" t="str">
            <v>AV SAN MARTIN</v>
          </cell>
          <cell r="F1150">
            <v>0</v>
          </cell>
          <cell r="H1150" t="str">
            <v>SIERRA COLORADA</v>
          </cell>
          <cell r="I1150" t="str">
            <v>R8535ZAA</v>
          </cell>
        </row>
        <row r="1151">
          <cell r="A1151" t="str">
            <v>R1312</v>
          </cell>
          <cell r="B1151" t="str">
            <v>RIO NEGRO</v>
          </cell>
          <cell r="C1151" t="str">
            <v>SAN ANTONIO</v>
          </cell>
          <cell r="D1151" t="str">
            <v>BALNEARIO LAS GRUTAS</v>
          </cell>
          <cell r="E1151" t="str">
            <v>EL BOLSON</v>
          </cell>
          <cell r="F1151">
            <v>500</v>
          </cell>
          <cell r="H1151" t="str">
            <v>LAS GRUTAS</v>
          </cell>
          <cell r="I1151" t="str">
            <v>R8521ZAA</v>
          </cell>
        </row>
        <row r="1152">
          <cell r="A1152" t="str">
            <v>R1316</v>
          </cell>
          <cell r="B1152" t="str">
            <v>RIO NEGRO</v>
          </cell>
          <cell r="C1152" t="str">
            <v>AVELLANEDA</v>
          </cell>
          <cell r="D1152" t="str">
            <v>BELISLE CORONEL</v>
          </cell>
          <cell r="E1152" t="str">
            <v>AV PABLO BELISLE</v>
          </cell>
          <cell r="F1152">
            <v>605</v>
          </cell>
          <cell r="H1152" t="str">
            <v>CNEL. BELISLE</v>
          </cell>
          <cell r="I1152" t="str">
            <v>R8368ZAA</v>
          </cell>
        </row>
        <row r="1153">
          <cell r="A1153" t="str">
            <v>R1320</v>
          </cell>
          <cell r="B1153" t="str">
            <v>RIO NEGRO</v>
          </cell>
          <cell r="C1153" t="str">
            <v>ADOLFO ALSINA</v>
          </cell>
          <cell r="D1153" t="str">
            <v>GUARDIA MITRE</v>
          </cell>
          <cell r="E1153" t="str">
            <v>FRANCISCO FAGOADA</v>
          </cell>
          <cell r="F1153">
            <v>764</v>
          </cell>
          <cell r="H1153" t="str">
            <v>GUARDIA MITRE</v>
          </cell>
          <cell r="I1153" t="str">
            <v>R8505ZAA</v>
          </cell>
        </row>
        <row r="1154">
          <cell r="A1154" t="str">
            <v>R3068</v>
          </cell>
          <cell r="B1154" t="str">
            <v>RIO NEGRO</v>
          </cell>
          <cell r="C1154" t="str">
            <v>GENERAL ROCA</v>
          </cell>
          <cell r="D1154" t="str">
            <v>CIPOLLETTI</v>
          </cell>
          <cell r="E1154" t="str">
            <v>ESPAÃ‘A</v>
          </cell>
          <cell r="F1154">
            <v>134</v>
          </cell>
          <cell r="H1154" t="str">
            <v>CIPOLLETI SUCURSAL 1</v>
          </cell>
          <cell r="I1154" t="str">
            <v>R8324ZAH</v>
          </cell>
        </row>
        <row r="1155">
          <cell r="A1155" t="str">
            <v>R3257</v>
          </cell>
          <cell r="B1155" t="str">
            <v>RIO NEGRO</v>
          </cell>
          <cell r="C1155" t="str">
            <v>BARILOCHE</v>
          </cell>
          <cell r="D1155" t="str">
            <v>SAN CARLOS DE BARILOCHE</v>
          </cell>
          <cell r="E1155" t="str">
            <v>B RIVADAVIA</v>
          </cell>
          <cell r="F1155">
            <v>830</v>
          </cell>
          <cell r="H1155" t="str">
            <v>BARILOCHE SUCURSAL 1</v>
          </cell>
          <cell r="I1155" t="str">
            <v>R8400ZBC</v>
          </cell>
        </row>
        <row r="1156">
          <cell r="A1156" t="str">
            <v>A0000</v>
          </cell>
          <cell r="B1156" t="str">
            <v>SALTA</v>
          </cell>
          <cell r="C1156" t="str">
            <v>CAPITAL</v>
          </cell>
          <cell r="D1156" t="str">
            <v>SALTA</v>
          </cell>
          <cell r="E1156" t="str">
            <v>DEAN FUNES</v>
          </cell>
          <cell r="F1156">
            <v>160</v>
          </cell>
          <cell r="H1156" t="str">
            <v>SALTA</v>
          </cell>
          <cell r="I1156" t="str">
            <v>A4400ZAA</v>
          </cell>
        </row>
        <row r="1157">
          <cell r="A1157" t="str">
            <v>A0006</v>
          </cell>
          <cell r="B1157" t="str">
            <v>SALTA</v>
          </cell>
          <cell r="C1157" t="str">
            <v>GENERAL JOSE DE SAN MARTIN</v>
          </cell>
          <cell r="D1157" t="str">
            <v>AGUARAY</v>
          </cell>
          <cell r="E1157" t="str">
            <v>GRAL MARTIN M GUEMES</v>
          </cell>
          <cell r="F1157">
            <v>99</v>
          </cell>
          <cell r="H1157" t="str">
            <v>AGUARAY</v>
          </cell>
          <cell r="I1157" t="str">
            <v>A4566ZAA</v>
          </cell>
        </row>
        <row r="1158">
          <cell r="A1158" t="str">
            <v>A0007</v>
          </cell>
          <cell r="B1158" t="str">
            <v>SALTA</v>
          </cell>
          <cell r="C1158" t="str">
            <v>ANTA</v>
          </cell>
          <cell r="D1158" t="str">
            <v>APOLINARIO SARAVIA</v>
          </cell>
          <cell r="E1158" t="str">
            <v>GRAL JUAN B PEYROTTI</v>
          </cell>
          <cell r="F1158">
            <v>100</v>
          </cell>
          <cell r="H1158" t="str">
            <v>APOLINARIO SARAVIA</v>
          </cell>
          <cell r="I1158" t="str">
            <v>A4449ZAA</v>
          </cell>
        </row>
        <row r="1159">
          <cell r="A1159" t="str">
            <v>A0008</v>
          </cell>
          <cell r="B1159" t="str">
            <v>SALTA</v>
          </cell>
          <cell r="C1159" t="str">
            <v>CACHI</v>
          </cell>
          <cell r="D1159" t="str">
            <v>CACHI</v>
          </cell>
          <cell r="E1159" t="str">
            <v>AV GRAL MARTIN M GUEMES</v>
          </cell>
          <cell r="F1159">
            <v>102</v>
          </cell>
          <cell r="H1159" t="str">
            <v>CACHI</v>
          </cell>
          <cell r="I1159" t="str">
            <v>A4417ZAA</v>
          </cell>
        </row>
        <row r="1160">
          <cell r="A1160" t="str">
            <v>A0009</v>
          </cell>
          <cell r="B1160" t="str">
            <v>SALTA</v>
          </cell>
          <cell r="C1160" t="str">
            <v>CAFAYATE</v>
          </cell>
          <cell r="D1160" t="str">
            <v>CAFAYATE</v>
          </cell>
          <cell r="E1160" t="str">
            <v>AV GUEMES</v>
          </cell>
          <cell r="F1160">
            <v>197</v>
          </cell>
          <cell r="H1160" t="str">
            <v>CAFAYATE</v>
          </cell>
          <cell r="I1160" t="str">
            <v>A4427ZAA</v>
          </cell>
        </row>
        <row r="1161">
          <cell r="A1161" t="str">
            <v>A0011</v>
          </cell>
          <cell r="B1161" t="str">
            <v>SALTA</v>
          </cell>
          <cell r="C1161" t="str">
            <v>ROSARIO DE LERMA</v>
          </cell>
          <cell r="D1161" t="str">
            <v>CAMPO QUIJANO</v>
          </cell>
          <cell r="E1161" t="str">
            <v>AV 9 DE JULIO</v>
          </cell>
          <cell r="F1161">
            <v>601</v>
          </cell>
          <cell r="H1161" t="str">
            <v>AGENCIA CAMPO QUIJANO</v>
          </cell>
          <cell r="I1161" t="str">
            <v>A4407ZAA</v>
          </cell>
        </row>
        <row r="1162">
          <cell r="A1162" t="str">
            <v>A0013</v>
          </cell>
          <cell r="B1162" t="str">
            <v>SALTA</v>
          </cell>
          <cell r="C1162" t="str">
            <v>CERRILLOS</v>
          </cell>
          <cell r="D1162" t="str">
            <v>CERRILLOS</v>
          </cell>
          <cell r="E1162" t="str">
            <v>FLORENTINO AMEGHINO</v>
          </cell>
          <cell r="F1162">
            <v>215</v>
          </cell>
          <cell r="H1162" t="str">
            <v>CERRILLOS</v>
          </cell>
          <cell r="I1162" t="str">
            <v>A4403ZAA</v>
          </cell>
        </row>
        <row r="1163">
          <cell r="A1163" t="str">
            <v>A0014</v>
          </cell>
          <cell r="B1163" t="str">
            <v>SALTA</v>
          </cell>
          <cell r="C1163" t="str">
            <v>CHICOANA</v>
          </cell>
          <cell r="D1163" t="str">
            <v>CHICOANA</v>
          </cell>
          <cell r="E1163" t="str">
            <v>DR ADOLFO MORILLO</v>
          </cell>
          <cell r="F1163">
            <v>195</v>
          </cell>
          <cell r="H1163" t="str">
            <v>CHICOANA</v>
          </cell>
          <cell r="I1163" t="str">
            <v>A4423ZAA</v>
          </cell>
        </row>
        <row r="1164">
          <cell r="A1164" t="str">
            <v>A0015</v>
          </cell>
          <cell r="B1164" t="str">
            <v>SALTA</v>
          </cell>
          <cell r="C1164" t="str">
            <v>ORAN</v>
          </cell>
          <cell r="D1164" t="str">
            <v>COLONIA SANTA ROSA</v>
          </cell>
          <cell r="E1164" t="str">
            <v>SAN MARTIN</v>
          </cell>
          <cell r="F1164">
            <v>318</v>
          </cell>
          <cell r="H1164" t="str">
            <v>COLONIA SANTA ROSA</v>
          </cell>
          <cell r="I1164" t="str">
            <v>A4531ZAA</v>
          </cell>
        </row>
        <row r="1165">
          <cell r="A1165" t="str">
            <v>A0016</v>
          </cell>
          <cell r="B1165" t="str">
            <v>SALTA</v>
          </cell>
          <cell r="C1165" t="str">
            <v>CHICOANA</v>
          </cell>
          <cell r="D1165" t="str">
            <v>EL CARRIL</v>
          </cell>
          <cell r="E1165" t="str">
            <v>LUCIO D ANDREA</v>
          </cell>
          <cell r="F1165">
            <v>100</v>
          </cell>
          <cell r="H1165" t="str">
            <v>EL CARRIL</v>
          </cell>
          <cell r="I1165" t="str">
            <v>A4421ZAA</v>
          </cell>
        </row>
        <row r="1166">
          <cell r="A1166" t="str">
            <v>A0017</v>
          </cell>
          <cell r="B1166" t="str">
            <v>SALTA</v>
          </cell>
          <cell r="C1166" t="str">
            <v>METAN</v>
          </cell>
          <cell r="D1166" t="str">
            <v>EL GALPON</v>
          </cell>
          <cell r="E1166" t="str">
            <v>AV GRAL SAN MARTIN</v>
          </cell>
          <cell r="F1166">
            <v>569</v>
          </cell>
          <cell r="H1166" t="str">
            <v>EL GALPON</v>
          </cell>
          <cell r="I1166" t="str">
            <v>A4444ZAA</v>
          </cell>
        </row>
        <row r="1167">
          <cell r="A1167" t="str">
            <v>A0019</v>
          </cell>
          <cell r="B1167" t="str">
            <v>SALTA</v>
          </cell>
          <cell r="C1167" t="str">
            <v>GENERAL JOSE DE SAN MARTIN</v>
          </cell>
          <cell r="D1167" t="str">
            <v>EMBARCACION</v>
          </cell>
          <cell r="E1167" t="str">
            <v>24 DE SEPTIEMBRE</v>
          </cell>
          <cell r="F1167">
            <v>351</v>
          </cell>
          <cell r="H1167" t="str">
            <v>EMBARCACION</v>
          </cell>
          <cell r="I1167" t="str">
            <v>A4550ZAA</v>
          </cell>
        </row>
        <row r="1168">
          <cell r="A1168" t="str">
            <v>A0020</v>
          </cell>
          <cell r="B1168" t="str">
            <v>SALTA</v>
          </cell>
          <cell r="C1168" t="str">
            <v>GENERAL JOSE DE SAN MARTIN</v>
          </cell>
          <cell r="D1168" t="str">
            <v>GENERAL ENRIQUE MOSCONI</v>
          </cell>
          <cell r="E1168" t="str">
            <v>AV 20 DE FEBRERO</v>
          </cell>
          <cell r="F1168">
            <v>0</v>
          </cell>
          <cell r="H1168" t="str">
            <v>GRAL E.  MOSCONI</v>
          </cell>
          <cell r="I1168" t="str">
            <v>A4562ZAA</v>
          </cell>
        </row>
        <row r="1169">
          <cell r="A1169" t="str">
            <v>A0021</v>
          </cell>
          <cell r="B1169" t="str">
            <v>SALTA</v>
          </cell>
          <cell r="C1169" t="str">
            <v>GENERAL GUEMES</v>
          </cell>
          <cell r="D1169" t="str">
            <v>GENERAL GUEMES</v>
          </cell>
          <cell r="E1169" t="str">
            <v>DR DOMINGO CABRED</v>
          </cell>
          <cell r="F1169">
            <v>201</v>
          </cell>
          <cell r="H1169" t="str">
            <v>GENERAL GUEMES</v>
          </cell>
          <cell r="I1169" t="str">
            <v>A4430ZAA</v>
          </cell>
        </row>
        <row r="1170">
          <cell r="A1170" t="str">
            <v>A0023</v>
          </cell>
          <cell r="B1170" t="str">
            <v>SALTA</v>
          </cell>
          <cell r="C1170" t="str">
            <v>ORAN</v>
          </cell>
          <cell r="D1170" t="str">
            <v>HIPOLITO YRIGOYEN</v>
          </cell>
          <cell r="E1170" t="str">
            <v>GRAL MARTIN M GUEMES</v>
          </cell>
          <cell r="F1170">
            <v>0</v>
          </cell>
          <cell r="H1170" t="str">
            <v>HIPOLITO YRIGOYEN</v>
          </cell>
          <cell r="I1170" t="str">
            <v>A4532ZAB</v>
          </cell>
        </row>
        <row r="1171">
          <cell r="A1171" t="str">
            <v>A0024</v>
          </cell>
          <cell r="B1171" t="str">
            <v>SALTA</v>
          </cell>
          <cell r="C1171" t="str">
            <v>ANTA</v>
          </cell>
          <cell r="D1171" t="str">
            <v>JOAQUIN V GONZALEZ</v>
          </cell>
          <cell r="E1171" t="str">
            <v>GRAL M BELGRANO</v>
          </cell>
          <cell r="F1171">
            <v>315</v>
          </cell>
          <cell r="H1171" t="str">
            <v>JOAQUIN  V GONZALEZ</v>
          </cell>
          <cell r="I1171" t="str">
            <v>A4448ZAA</v>
          </cell>
        </row>
        <row r="1172">
          <cell r="A1172" t="str">
            <v>A0025</v>
          </cell>
          <cell r="B1172" t="str">
            <v>SALTA</v>
          </cell>
          <cell r="C1172" t="str">
            <v>METAN</v>
          </cell>
          <cell r="D1172" t="str">
            <v>METAN</v>
          </cell>
          <cell r="E1172" t="str">
            <v>CAP JOSE I SIERRA</v>
          </cell>
          <cell r="F1172">
            <v>358</v>
          </cell>
          <cell r="H1172" t="str">
            <v>METAN</v>
          </cell>
          <cell r="I1172" t="str">
            <v>A4440ZAA</v>
          </cell>
        </row>
        <row r="1173">
          <cell r="A1173" t="str">
            <v>A0026</v>
          </cell>
          <cell r="B1173" t="str">
            <v>SALTA</v>
          </cell>
          <cell r="C1173" t="str">
            <v>ORAN</v>
          </cell>
          <cell r="D1173" t="str">
            <v>PICHANAL</v>
          </cell>
          <cell r="E1173" t="str">
            <v>AV SARMIENTO</v>
          </cell>
          <cell r="F1173">
            <v>625</v>
          </cell>
          <cell r="H1173" t="str">
            <v>PICHANAL</v>
          </cell>
          <cell r="I1173" t="str">
            <v>A4534ZAA</v>
          </cell>
        </row>
        <row r="1174">
          <cell r="A1174" t="str">
            <v>A0027</v>
          </cell>
          <cell r="B1174" t="str">
            <v>SALTA</v>
          </cell>
          <cell r="C1174" t="str">
            <v>GENERAL JOSE DE SAN MARTIN</v>
          </cell>
          <cell r="D1174" t="str">
            <v>SALVADOR MAZZA</v>
          </cell>
          <cell r="E1174" t="str">
            <v>AV SAN MARTIN</v>
          </cell>
          <cell r="F1174">
            <v>100</v>
          </cell>
          <cell r="H1174" t="str">
            <v>POCITOS</v>
          </cell>
          <cell r="I1174" t="str">
            <v>A4568ZAA</v>
          </cell>
        </row>
        <row r="1175">
          <cell r="A1175" t="str">
            <v>A0028</v>
          </cell>
          <cell r="B1175" t="str">
            <v>SALTA</v>
          </cell>
          <cell r="C1175" t="str">
            <v>RIVADAVIA</v>
          </cell>
          <cell r="D1175" t="str">
            <v>RIVADAVIA</v>
          </cell>
          <cell r="E1175" t="str">
            <v>JUAN D PERON</v>
          </cell>
          <cell r="F1175">
            <v>100</v>
          </cell>
          <cell r="H1175" t="str">
            <v>RIVADAVIA</v>
          </cell>
          <cell r="I1175" t="str">
            <v>A4535ZAA</v>
          </cell>
        </row>
        <row r="1176">
          <cell r="A1176" t="str">
            <v>A0029</v>
          </cell>
          <cell r="B1176" t="str">
            <v>SALTA</v>
          </cell>
          <cell r="C1176" t="str">
            <v>ROSARIO DE LA FRONTERA</v>
          </cell>
          <cell r="D1176" t="str">
            <v>ROSARIO DE LA FRONTERA</v>
          </cell>
          <cell r="E1176" t="str">
            <v>PROVINCIA DE SALTA</v>
          </cell>
          <cell r="F1176">
            <v>296</v>
          </cell>
          <cell r="H1176" t="str">
            <v>ROSARIO DE LA FRONTERA</v>
          </cell>
          <cell r="I1176" t="str">
            <v>A4190ZAA</v>
          </cell>
        </row>
        <row r="1177">
          <cell r="A1177" t="str">
            <v>A0030</v>
          </cell>
          <cell r="B1177" t="str">
            <v>SALTA</v>
          </cell>
          <cell r="C1177" t="str">
            <v>ROSARIO DE LERMA</v>
          </cell>
          <cell r="D1177" t="str">
            <v>ROSARIO DE LERMA</v>
          </cell>
          <cell r="E1177" t="str">
            <v>CARLOS PELLEGRINI</v>
          </cell>
          <cell r="F1177">
            <v>201</v>
          </cell>
          <cell r="H1177" t="str">
            <v>ROSARIO DE  LERMA</v>
          </cell>
          <cell r="I1177" t="str">
            <v>A4405ZAA</v>
          </cell>
        </row>
        <row r="1178">
          <cell r="A1178" t="str">
            <v>A0031</v>
          </cell>
          <cell r="B1178" t="str">
            <v>SALTA</v>
          </cell>
          <cell r="C1178" t="str">
            <v>LOS ANDES</v>
          </cell>
          <cell r="D1178" t="str">
            <v>SAN ANTONIO DE LOS COBRES</v>
          </cell>
          <cell r="E1178" t="str">
            <v>AV GRAL M BELGRANO</v>
          </cell>
          <cell r="F1178">
            <v>20</v>
          </cell>
          <cell r="H1178" t="str">
            <v>SAN A . DE LOS COBRES</v>
          </cell>
          <cell r="I1178" t="str">
            <v>A4411ZAA</v>
          </cell>
        </row>
        <row r="1179">
          <cell r="A1179" t="str">
            <v>A0032</v>
          </cell>
          <cell r="B1179" t="str">
            <v>SALTA</v>
          </cell>
          <cell r="C1179" t="str">
            <v>SAN CARLOS</v>
          </cell>
          <cell r="D1179" t="str">
            <v>SAN CARLOS</v>
          </cell>
          <cell r="E1179" t="str">
            <v>GRAL MARTIN M GUEMES</v>
          </cell>
          <cell r="F1179">
            <v>1</v>
          </cell>
          <cell r="H1179" t="str">
            <v>SAN CARLOS</v>
          </cell>
          <cell r="I1179" t="str">
            <v>A4428ZAA</v>
          </cell>
        </row>
        <row r="1180">
          <cell r="A1180" t="str">
            <v>A0033</v>
          </cell>
          <cell r="B1180" t="str">
            <v>SALTA</v>
          </cell>
          <cell r="C1180" t="str">
            <v>ORAN</v>
          </cell>
          <cell r="D1180" t="str">
            <v>SAN RAMON DE LA NUEVA ORAN</v>
          </cell>
          <cell r="E1180" t="str">
            <v>AV VICENTE LOPEZ Y PLANES</v>
          </cell>
          <cell r="F1180">
            <v>402</v>
          </cell>
          <cell r="H1180" t="str">
            <v>SAN RAMON DE LA NUEVA ORAN</v>
          </cell>
          <cell r="I1180" t="str">
            <v>A4530ZAC</v>
          </cell>
        </row>
        <row r="1181">
          <cell r="A1181" t="str">
            <v>A0035</v>
          </cell>
          <cell r="B1181" t="str">
            <v>SALTA</v>
          </cell>
          <cell r="C1181" t="str">
            <v>MOLINOS</v>
          </cell>
          <cell r="D1181" t="str">
            <v>SECLANTAS</v>
          </cell>
          <cell r="E1181" t="str">
            <v>GDOR ABRAHAM CORNEJO</v>
          </cell>
          <cell r="F1181">
            <v>150</v>
          </cell>
          <cell r="H1181" t="str">
            <v>SECLANTAS</v>
          </cell>
          <cell r="I1181" t="str">
            <v>A4419ZAA</v>
          </cell>
        </row>
        <row r="1182">
          <cell r="A1182" t="str">
            <v>A0036</v>
          </cell>
          <cell r="B1182" t="str">
            <v>SALTA</v>
          </cell>
          <cell r="C1182" t="str">
            <v>LA CANDELARIA</v>
          </cell>
          <cell r="D1182" t="str">
            <v>EL TALA</v>
          </cell>
          <cell r="E1182" t="str">
            <v>PTE H YRIGOYEN</v>
          </cell>
          <cell r="F1182">
            <v>153</v>
          </cell>
          <cell r="H1182" t="str">
            <v>TALA</v>
          </cell>
          <cell r="I1182" t="str">
            <v>A4126ZAA</v>
          </cell>
        </row>
        <row r="1183">
          <cell r="A1183" t="str">
            <v>A0037</v>
          </cell>
          <cell r="B1183" t="str">
            <v>SALTA</v>
          </cell>
          <cell r="C1183" t="str">
            <v>GENERAL JOSE DE SAN MARTIN</v>
          </cell>
          <cell r="D1183" t="str">
            <v>TARTAGAL</v>
          </cell>
          <cell r="E1183" t="str">
            <v>GRAL MARTIN M GUEMES</v>
          </cell>
          <cell r="F1183">
            <v>501</v>
          </cell>
          <cell r="H1183" t="str">
            <v>TARTAGAL</v>
          </cell>
          <cell r="I1183" t="str">
            <v>A4560ZAA</v>
          </cell>
        </row>
        <row r="1184">
          <cell r="A1184" t="str">
            <v>A0045</v>
          </cell>
          <cell r="B1184" t="str">
            <v>SALTA</v>
          </cell>
          <cell r="C1184" t="str">
            <v>IRUYA</v>
          </cell>
          <cell r="D1184" t="str">
            <v>IRUYA</v>
          </cell>
          <cell r="E1184" t="str">
            <v>GRAL SAN MARTIN</v>
          </cell>
          <cell r="F1184">
            <v>0</v>
          </cell>
          <cell r="H1184" t="str">
            <v>IRUYA</v>
          </cell>
          <cell r="I1184" t="str">
            <v>A4633ZAA</v>
          </cell>
        </row>
        <row r="1185">
          <cell r="A1185" t="str">
            <v>A1056</v>
          </cell>
          <cell r="B1185" t="str">
            <v>SALTA</v>
          </cell>
          <cell r="C1185" t="str">
            <v>CAPITAL</v>
          </cell>
          <cell r="D1185" t="str">
            <v>LA UNION</v>
          </cell>
          <cell r="E1185" t="str">
            <v>CALLE EN LOCALIDAD DE MENOS DE</v>
          </cell>
          <cell r="H1185" t="str">
            <v>LA UNION</v>
          </cell>
          <cell r="I1185" t="str">
            <v>A4535ZAB</v>
          </cell>
        </row>
        <row r="1186">
          <cell r="A1186" t="str">
            <v>A1058</v>
          </cell>
          <cell r="B1186" t="str">
            <v>SALTA</v>
          </cell>
          <cell r="C1186" t="str">
            <v>ROSARIO DE LERMA</v>
          </cell>
          <cell r="D1186" t="str">
            <v>LAS CAPILLAS</v>
          </cell>
          <cell r="E1186" t="str">
            <v>PARAJE</v>
          </cell>
          <cell r="H1186" t="str">
            <v>LAS CAPILLAS</v>
          </cell>
          <cell r="I1186" t="str">
            <v>A4409ZAA</v>
          </cell>
        </row>
        <row r="1187">
          <cell r="A1187" t="str">
            <v>A1138</v>
          </cell>
          <cell r="B1187" t="str">
            <v>SALTA</v>
          </cell>
          <cell r="C1187" t="str">
            <v>CAPITAL</v>
          </cell>
          <cell r="D1187" t="str">
            <v>SALTA</v>
          </cell>
          <cell r="E1187" t="str">
            <v>GRAL J J DE URQUIZA</v>
          </cell>
          <cell r="F1187">
            <v>998</v>
          </cell>
          <cell r="H1187" t="str">
            <v>SALTA  2</v>
          </cell>
          <cell r="I1187" t="str">
            <v>A4402ZAA</v>
          </cell>
        </row>
        <row r="1188">
          <cell r="A1188" t="str">
            <v>A1168</v>
          </cell>
          <cell r="B1188" t="str">
            <v>SALTA</v>
          </cell>
          <cell r="C1188" t="str">
            <v>LA POMA</v>
          </cell>
          <cell r="D1188" t="str">
            <v>LA POMA</v>
          </cell>
          <cell r="E1188" t="str">
            <v>AV GRAL SAN MARTIN</v>
          </cell>
          <cell r="F1188">
            <v>117</v>
          </cell>
          <cell r="H1188" t="str">
            <v>LA POMA</v>
          </cell>
          <cell r="I1188" t="str">
            <v>A4416ZAA</v>
          </cell>
        </row>
        <row r="1189">
          <cell r="A1189" t="str">
            <v>A1199</v>
          </cell>
          <cell r="B1189" t="str">
            <v>SALTA</v>
          </cell>
          <cell r="C1189" t="str">
            <v>RIVADAVIA</v>
          </cell>
          <cell r="D1189" t="str">
            <v>SANTA VICTORIA ESTE</v>
          </cell>
          <cell r="E1189" t="str">
            <v>AVENIDA SALTA S/N</v>
          </cell>
          <cell r="H1189" t="str">
            <v>SANTA VICTORIA ESTE</v>
          </cell>
          <cell r="I1189" t="str">
            <v>A4561ZAA</v>
          </cell>
        </row>
        <row r="1190">
          <cell r="A1190" t="str">
            <v>A1208</v>
          </cell>
          <cell r="B1190" t="str">
            <v>SALTA</v>
          </cell>
          <cell r="C1190" t="str">
            <v>RIVADAVIA</v>
          </cell>
          <cell r="D1190" t="str">
            <v>HITO 1</v>
          </cell>
          <cell r="E1190" t="str">
            <v>CALLE S/N</v>
          </cell>
          <cell r="H1190" t="str">
            <v>HITO  1</v>
          </cell>
          <cell r="I1190" t="str">
            <v>A4561ZAB</v>
          </cell>
        </row>
        <row r="1191">
          <cell r="A1191" t="str">
            <v>A1217</v>
          </cell>
          <cell r="B1191" t="str">
            <v>SALTA</v>
          </cell>
          <cell r="C1191" t="str">
            <v>CAPITAL</v>
          </cell>
          <cell r="D1191" t="str">
            <v>SALTA</v>
          </cell>
          <cell r="E1191" t="str">
            <v>AV DE LOS INCAS</v>
          </cell>
          <cell r="F1191">
            <v>0</v>
          </cell>
          <cell r="H1191" t="str">
            <v>SALTA 4</v>
          </cell>
          <cell r="I1191" t="str">
            <v>A4406ZAB</v>
          </cell>
        </row>
        <row r="1192">
          <cell r="A1192" t="str">
            <v>A3253</v>
          </cell>
          <cell r="B1192" t="str">
            <v>SALTA</v>
          </cell>
          <cell r="C1192" t="str">
            <v>CAPITAL</v>
          </cell>
          <cell r="D1192" t="str">
            <v>SALTA</v>
          </cell>
          <cell r="E1192" t="str">
            <v>AV DR BERNARDO HOUSSAY</v>
          </cell>
          <cell r="F1192">
            <v>0</v>
          </cell>
          <cell r="H1192" t="str">
            <v>CIUDAD JUDICIAL SALTA</v>
          </cell>
          <cell r="I1192" t="str">
            <v>A4408ZAL</v>
          </cell>
        </row>
        <row r="1193">
          <cell r="A1193" t="str">
            <v>A3273</v>
          </cell>
          <cell r="B1193" t="str">
            <v>SALTA</v>
          </cell>
          <cell r="C1193" t="str">
            <v>ANTA</v>
          </cell>
          <cell r="D1193" t="str">
            <v>LAS LAJITAS</v>
          </cell>
          <cell r="E1193" t="str">
            <v>SANTA FE</v>
          </cell>
          <cell r="F1193">
            <v>0</v>
          </cell>
          <cell r="H1193" t="str">
            <v>LAS LAJITAS</v>
          </cell>
          <cell r="I1193" t="str">
            <v>A4450ZAE</v>
          </cell>
        </row>
        <row r="1194">
          <cell r="A1194" t="str">
            <v>A3300</v>
          </cell>
          <cell r="B1194" t="str">
            <v>SALTA</v>
          </cell>
          <cell r="C1194" t="str">
            <v>CAPITAL</v>
          </cell>
          <cell r="D1194" t="str">
            <v>SALTA</v>
          </cell>
          <cell r="E1194" t="str">
            <v>R NAC 51</v>
          </cell>
          <cell r="F1194">
            <v>0</v>
          </cell>
          <cell r="H1194" t="str">
            <v>CAYE SALTA</v>
          </cell>
          <cell r="I1194" t="str">
            <v>A4406ZAF</v>
          </cell>
        </row>
        <row r="1195">
          <cell r="A1195" t="str">
            <v>J0000</v>
          </cell>
          <cell r="B1195" t="str">
            <v>SAN JUAN</v>
          </cell>
          <cell r="C1195" t="str">
            <v>CAPITAL</v>
          </cell>
          <cell r="D1195" t="str">
            <v>SAN JUAN</v>
          </cell>
          <cell r="E1195" t="str">
            <v>AV JOSE I DE LA ROZA</v>
          </cell>
          <cell r="F1195">
            <v>223</v>
          </cell>
          <cell r="H1195" t="str">
            <v>SAN JUAN</v>
          </cell>
          <cell r="I1195" t="str">
            <v>J5402ZAA</v>
          </cell>
        </row>
        <row r="1196">
          <cell r="A1196" t="str">
            <v>J0004</v>
          </cell>
          <cell r="B1196" t="str">
            <v>SAN JUAN</v>
          </cell>
          <cell r="C1196" t="str">
            <v>RIVADAVIA</v>
          </cell>
          <cell r="D1196" t="str">
            <v>RIVADAVIA</v>
          </cell>
          <cell r="E1196" t="str">
            <v>STA MARIA DE ORO</v>
          </cell>
          <cell r="F1196">
            <v>15</v>
          </cell>
          <cell r="H1196" t="str">
            <v>SAN JUAN 4</v>
          </cell>
          <cell r="I1196" t="str">
            <v>J5400ZAD</v>
          </cell>
        </row>
        <row r="1197">
          <cell r="A1197" t="str">
            <v>J0005</v>
          </cell>
          <cell r="B1197" t="str">
            <v>SAN JUAN</v>
          </cell>
          <cell r="C1197" t="str">
            <v>ALBARDON</v>
          </cell>
          <cell r="D1197" t="str">
            <v>EST ALBARDON</v>
          </cell>
          <cell r="E1197" t="str">
            <v>SANTA MARIA DE ORO 22 NORTE</v>
          </cell>
          <cell r="H1197" t="str">
            <v>ALBARDON</v>
          </cell>
          <cell r="I1197" t="str">
            <v>J5419ZAB</v>
          </cell>
        </row>
        <row r="1198">
          <cell r="A1198" t="str">
            <v>J0006</v>
          </cell>
          <cell r="B1198" t="str">
            <v>SAN JUAN</v>
          </cell>
          <cell r="C1198" t="str">
            <v>SANTA LUCIA</v>
          </cell>
          <cell r="D1198" t="str">
            <v>ALTO DE SIERRA</v>
          </cell>
          <cell r="E1198" t="str">
            <v>AV LIBERTADOR SAN MARTIN</v>
          </cell>
          <cell r="F1198">
            <v>6260</v>
          </cell>
          <cell r="H1198" t="str">
            <v>ALTO DE SIERRA</v>
          </cell>
          <cell r="I1198" t="str">
            <v>J5438ZAA</v>
          </cell>
        </row>
        <row r="1199">
          <cell r="A1199" t="str">
            <v>J0008</v>
          </cell>
          <cell r="B1199" t="str">
            <v>SAN JUAN</v>
          </cell>
          <cell r="C1199" t="str">
            <v>IGLESIA</v>
          </cell>
          <cell r="D1199" t="str">
            <v>ANGUALASTO</v>
          </cell>
          <cell r="E1199" t="str">
            <v>PRINCIPAL</v>
          </cell>
          <cell r="F1199">
            <v>10</v>
          </cell>
          <cell r="H1199" t="str">
            <v>ANGUALASTO</v>
          </cell>
          <cell r="I1199" t="str">
            <v>J5467ZAA</v>
          </cell>
        </row>
        <row r="1200">
          <cell r="A1200" t="str">
            <v>J0010</v>
          </cell>
          <cell r="B1200" t="str">
            <v>SAN JUAN</v>
          </cell>
          <cell r="C1200" t="str">
            <v>CALINGASTA</v>
          </cell>
          <cell r="D1200" t="str">
            <v>BARREAL</v>
          </cell>
          <cell r="E1200" t="str">
            <v>AV PTE GRAL JULIO A ROCA</v>
          </cell>
          <cell r="F1200">
            <v>0</v>
          </cell>
          <cell r="H1200" t="str">
            <v>BARREAL</v>
          </cell>
          <cell r="I1200" t="str">
            <v>J5405ZAA</v>
          </cell>
        </row>
        <row r="1201">
          <cell r="A1201" t="str">
            <v>J0012</v>
          </cell>
          <cell r="B1201" t="str">
            <v>SAN JUAN</v>
          </cell>
          <cell r="C1201" t="str">
            <v>CALINGASTA</v>
          </cell>
          <cell r="D1201" t="str">
            <v>CALINGASTA</v>
          </cell>
          <cell r="E1201" t="str">
            <v>AV ARGENTINA</v>
          </cell>
          <cell r="F1201">
            <v>0</v>
          </cell>
          <cell r="H1201" t="str">
            <v>CALINGASTA</v>
          </cell>
          <cell r="I1201" t="str">
            <v>J5403ZAA</v>
          </cell>
        </row>
        <row r="1202">
          <cell r="A1202" t="str">
            <v>J0014</v>
          </cell>
          <cell r="B1202" t="str">
            <v>SAN JUAN</v>
          </cell>
          <cell r="C1202" t="str">
            <v>RAWSON</v>
          </cell>
          <cell r="D1202" t="str">
            <v>CAPITAN LAZO</v>
          </cell>
          <cell r="E1202" t="str">
            <v>AV ESPAÃ‘A</v>
          </cell>
          <cell r="F1202">
            <v>2995</v>
          </cell>
          <cell r="H1202" t="str">
            <v>CAPITAN LAZO</v>
          </cell>
          <cell r="I1202" t="str">
            <v>J5423ZAA</v>
          </cell>
        </row>
        <row r="1203">
          <cell r="A1203" t="str">
            <v>J0016</v>
          </cell>
          <cell r="B1203" t="str">
            <v>SAN JUAN</v>
          </cell>
          <cell r="C1203" t="str">
            <v>CAUCETE</v>
          </cell>
          <cell r="D1203" t="str">
            <v>CAUCETE</v>
          </cell>
          <cell r="E1203" t="str">
            <v>MANUEL BELGRANO</v>
          </cell>
          <cell r="F1203">
            <v>112</v>
          </cell>
          <cell r="H1203" t="str">
            <v>CAUCETE</v>
          </cell>
          <cell r="I1203" t="str">
            <v>J5442ZAA</v>
          </cell>
        </row>
        <row r="1204">
          <cell r="A1204" t="str">
            <v>J0018</v>
          </cell>
          <cell r="B1204" t="str">
            <v>SAN JUAN</v>
          </cell>
          <cell r="C1204" t="str">
            <v>CHIMBAS</v>
          </cell>
          <cell r="D1204" t="str">
            <v>CHIMBAS</v>
          </cell>
          <cell r="E1204" t="str">
            <v>MENDOZA</v>
          </cell>
          <cell r="F1204">
            <v>405</v>
          </cell>
          <cell r="H1204" t="str">
            <v>CHIMBAS</v>
          </cell>
          <cell r="I1204" t="str">
            <v>J5413ZAA</v>
          </cell>
        </row>
        <row r="1205">
          <cell r="A1205" t="str">
            <v>J0020</v>
          </cell>
          <cell r="B1205" t="str">
            <v>SAN JUAN</v>
          </cell>
          <cell r="C1205" t="str">
            <v>IGLESIA</v>
          </cell>
          <cell r="D1205" t="str">
            <v>IGLESIA</v>
          </cell>
          <cell r="E1205" t="str">
            <v>PUBLICO</v>
          </cell>
          <cell r="F1205">
            <v>10</v>
          </cell>
          <cell r="H1205" t="str">
            <v>IGLESIA</v>
          </cell>
          <cell r="I1205" t="str">
            <v>J5684ZAA</v>
          </cell>
        </row>
        <row r="1206">
          <cell r="A1206" t="str">
            <v>J0022</v>
          </cell>
          <cell r="B1206" t="str">
            <v>SAN JUAN</v>
          </cell>
          <cell r="C1206" t="str">
            <v>JACHAL</v>
          </cell>
          <cell r="D1206" t="str">
            <v>JACHAL</v>
          </cell>
          <cell r="E1206" t="str">
            <v>SAN MARTIN</v>
          </cell>
          <cell r="F1206">
            <v>493</v>
          </cell>
          <cell r="H1206" t="str">
            <v>JACHAL</v>
          </cell>
          <cell r="I1206" t="str">
            <v>J5460ZAA</v>
          </cell>
        </row>
        <row r="1207">
          <cell r="A1207" t="str">
            <v>J0024</v>
          </cell>
          <cell r="B1207" t="str">
            <v>SAN JUAN</v>
          </cell>
          <cell r="C1207" t="str">
            <v>IGLESIA</v>
          </cell>
          <cell r="D1207" t="str">
            <v>LAS FLORES</v>
          </cell>
          <cell r="E1207" t="str">
            <v>R PROV 436</v>
          </cell>
          <cell r="F1207">
            <v>100</v>
          </cell>
          <cell r="H1207" t="str">
            <v>LAS FLORES</v>
          </cell>
          <cell r="I1207" t="str">
            <v>J5458ZAA</v>
          </cell>
        </row>
        <row r="1208">
          <cell r="A1208" t="str">
            <v>J0026</v>
          </cell>
          <cell r="B1208" t="str">
            <v>SAN JUAN</v>
          </cell>
          <cell r="C1208" t="str">
            <v>RIVADAVIA</v>
          </cell>
          <cell r="D1208" t="str">
            <v>MARQUESADO</v>
          </cell>
          <cell r="E1208" t="str">
            <v>AV LIBERTADOR SAN MARTIN</v>
          </cell>
          <cell r="F1208">
            <v>7355</v>
          </cell>
          <cell r="H1208" t="str">
            <v>MARQUESADO</v>
          </cell>
          <cell r="I1208" t="str">
            <v>J5407ZAB</v>
          </cell>
        </row>
        <row r="1209">
          <cell r="A1209" t="str">
            <v>J0028</v>
          </cell>
          <cell r="B1209" t="str">
            <v>SAN JUAN</v>
          </cell>
          <cell r="C1209" t="str">
            <v>SARMIENTO</v>
          </cell>
          <cell r="D1209" t="str">
            <v>MEDIA AGUA</v>
          </cell>
          <cell r="E1209" t="str">
            <v>JOAQUIN TORRENT</v>
          </cell>
          <cell r="F1209">
            <v>69</v>
          </cell>
          <cell r="H1209" t="str">
            <v>MEDIA AGUA</v>
          </cell>
          <cell r="I1209" t="str">
            <v>J5435ZAA</v>
          </cell>
        </row>
        <row r="1210">
          <cell r="A1210" t="str">
            <v>J0034</v>
          </cell>
          <cell r="B1210" t="str">
            <v>SAN JUAN</v>
          </cell>
          <cell r="C1210" t="str">
            <v>IGLESIA</v>
          </cell>
          <cell r="D1210" t="str">
            <v>RODEO</v>
          </cell>
          <cell r="E1210" t="str">
            <v>SANTO DOMINGO</v>
          </cell>
          <cell r="F1210">
            <v>10</v>
          </cell>
          <cell r="H1210" t="str">
            <v>RODEO</v>
          </cell>
          <cell r="I1210" t="str">
            <v>J5465ZAA</v>
          </cell>
        </row>
        <row r="1211">
          <cell r="A1211" t="str">
            <v>J0038</v>
          </cell>
          <cell r="B1211" t="str">
            <v>SAN JUAN</v>
          </cell>
          <cell r="C1211" t="str">
            <v>SANTA LUCIA</v>
          </cell>
          <cell r="D1211" t="str">
            <v>SANTA LUCIA</v>
          </cell>
          <cell r="E1211" t="str">
            <v>GORRITI</v>
          </cell>
          <cell r="F1211">
            <v>709</v>
          </cell>
          <cell r="H1211" t="str">
            <v>SANTA LUCIA</v>
          </cell>
          <cell r="I1211" t="str">
            <v>J5411ZAB</v>
          </cell>
        </row>
        <row r="1212">
          <cell r="A1212" t="str">
            <v>J0042</v>
          </cell>
          <cell r="B1212" t="str">
            <v>SAN JUAN</v>
          </cell>
          <cell r="C1212" t="str">
            <v>VALLE FERTIL</v>
          </cell>
          <cell r="D1212" t="str">
            <v>SAN AGUSTIN DEL VALLE FERTIL</v>
          </cell>
          <cell r="E1212" t="str">
            <v>LAPRIDA</v>
          </cell>
          <cell r="F1212">
            <v>75</v>
          </cell>
          <cell r="H1212" t="str">
            <v>VALLE FERTIL</v>
          </cell>
          <cell r="I1212" t="str">
            <v>J5449ZAA</v>
          </cell>
        </row>
        <row r="1213">
          <cell r="A1213" t="str">
            <v>J0044</v>
          </cell>
          <cell r="B1213" t="str">
            <v>SAN JUAN</v>
          </cell>
          <cell r="C1213" t="str">
            <v>POCITO</v>
          </cell>
          <cell r="D1213" t="str">
            <v>VILLA ABERASTAIN</v>
          </cell>
          <cell r="E1213" t="str">
            <v>RAWSON</v>
          </cell>
          <cell r="F1213">
            <v>1082</v>
          </cell>
          <cell r="H1213" t="str">
            <v>VILLA ABERASTAIN</v>
          </cell>
          <cell r="I1213" t="str">
            <v>J5427ZAA</v>
          </cell>
        </row>
        <row r="1214">
          <cell r="A1214" t="str">
            <v>J0046</v>
          </cell>
          <cell r="B1214" t="str">
            <v>SAN JUAN</v>
          </cell>
          <cell r="C1214" t="str">
            <v>ANGACO</v>
          </cell>
          <cell r="D1214" t="str">
            <v>VILLA DEL SALVADOR</v>
          </cell>
          <cell r="E1214" t="str">
            <v>GRAL SAN MARTIN</v>
          </cell>
          <cell r="F1214">
            <v>0</v>
          </cell>
          <cell r="H1214" t="str">
            <v>VILLA DEL SALVADOR</v>
          </cell>
          <cell r="I1214" t="str">
            <v>J5415ZAA</v>
          </cell>
        </row>
        <row r="1215">
          <cell r="A1215" t="str">
            <v>J0048</v>
          </cell>
          <cell r="B1215" t="str">
            <v>SAN JUAN</v>
          </cell>
          <cell r="C1215" t="str">
            <v>RAWSON</v>
          </cell>
          <cell r="D1215" t="str">
            <v>VILLA KRAUSE</v>
          </cell>
          <cell r="E1215" t="str">
            <v>AV ESPAÃ‘A</v>
          </cell>
          <cell r="F1215">
            <v>446</v>
          </cell>
          <cell r="H1215" t="str">
            <v>VILLA KRAUSE</v>
          </cell>
          <cell r="I1215" t="str">
            <v>J5425ZAA</v>
          </cell>
        </row>
        <row r="1216">
          <cell r="A1216" t="str">
            <v>J0050</v>
          </cell>
          <cell r="B1216" t="str">
            <v>SAN JUAN</v>
          </cell>
          <cell r="C1216" t="str">
            <v>25 DE MAYO</v>
          </cell>
          <cell r="D1216" t="str">
            <v>VILLA SANTA ROSA</v>
          </cell>
          <cell r="E1216" t="str">
            <v>9 DE JULIO</v>
          </cell>
          <cell r="F1216">
            <v>400</v>
          </cell>
          <cell r="H1216" t="str">
            <v>VILLA SANTA ROSA</v>
          </cell>
          <cell r="I1216" t="str">
            <v>J5452ZAA</v>
          </cell>
        </row>
        <row r="1217">
          <cell r="A1217" t="str">
            <v>J1036</v>
          </cell>
          <cell r="B1217" t="str">
            <v>SAN JUAN</v>
          </cell>
          <cell r="C1217" t="str">
            <v>SAN MARTIN</v>
          </cell>
          <cell r="D1217" t="str">
            <v>SAN MARTIN</v>
          </cell>
          <cell r="E1217" t="str">
            <v>AV DOMINGO SARMIENTO</v>
          </cell>
          <cell r="F1217">
            <v>0</v>
          </cell>
          <cell r="H1217" t="str">
            <v>SAN MARTÃN</v>
          </cell>
          <cell r="I1217" t="str">
            <v>J5418ZAA</v>
          </cell>
        </row>
        <row r="1218">
          <cell r="A1218" t="str">
            <v>J1058</v>
          </cell>
          <cell r="B1218" t="str">
            <v>SAN JUAN</v>
          </cell>
          <cell r="C1218" t="str">
            <v>JACHAL</v>
          </cell>
          <cell r="D1218" t="str">
            <v>VILLA MERCEDES</v>
          </cell>
          <cell r="E1218" t="str">
            <v>EUGENIO FLORES S/N</v>
          </cell>
          <cell r="H1218" t="str">
            <v>VILLA MERCEDES</v>
          </cell>
          <cell r="I1218" t="str">
            <v>J5461ZAB</v>
          </cell>
        </row>
        <row r="1219">
          <cell r="A1219" t="str">
            <v>J1120</v>
          </cell>
          <cell r="B1219" t="str">
            <v>SAN JUAN</v>
          </cell>
          <cell r="C1219" t="str">
            <v>VALLE FERTIL</v>
          </cell>
          <cell r="D1219" t="str">
            <v>ASTICA</v>
          </cell>
          <cell r="E1219" t="str">
            <v>AV ING ENRIQUE ZULETA</v>
          </cell>
          <cell r="F1219">
            <v>0</v>
          </cell>
          <cell r="H1219" t="str">
            <v>ASTICA</v>
          </cell>
          <cell r="I1219" t="str">
            <v>J5681ZAA</v>
          </cell>
        </row>
        <row r="1220">
          <cell r="A1220" t="str">
            <v>D0000</v>
          </cell>
          <cell r="B1220" t="str">
            <v>SAN LUIS</v>
          </cell>
          <cell r="C1220" t="str">
            <v>JUAN MARTIN DE PUEYRREDON</v>
          </cell>
          <cell r="D1220" t="str">
            <v>SAN LUIS</v>
          </cell>
          <cell r="E1220" t="str">
            <v>SAN MARTIN</v>
          </cell>
          <cell r="F1220">
            <v>801</v>
          </cell>
          <cell r="H1220" t="str">
            <v>SAN LUIS</v>
          </cell>
          <cell r="I1220" t="str">
            <v>D5702ZAA</v>
          </cell>
        </row>
        <row r="1221">
          <cell r="A1221" t="str">
            <v>D0001</v>
          </cell>
          <cell r="B1221" t="str">
            <v>SAN LUIS</v>
          </cell>
          <cell r="C1221" t="str">
            <v>JUAN MARTIN DE PUEYRREDON</v>
          </cell>
          <cell r="D1221" t="str">
            <v>SAN LUIS</v>
          </cell>
          <cell r="E1221" t="str">
            <v>PTE J D PERON</v>
          </cell>
          <cell r="F1221">
            <v>1024</v>
          </cell>
          <cell r="H1221" t="str">
            <v>SAN LUIS 1</v>
          </cell>
          <cell r="I1221" t="str">
            <v>D5702ZAB</v>
          </cell>
        </row>
        <row r="1222">
          <cell r="A1222" t="str">
            <v>D0003</v>
          </cell>
          <cell r="B1222" t="str">
            <v>SAN LUIS</v>
          </cell>
          <cell r="C1222" t="str">
            <v>GOBERNADOR DUPUY</v>
          </cell>
          <cell r="D1222" t="str">
            <v>ARIZONA</v>
          </cell>
          <cell r="E1222" t="str">
            <v>SANTA MARINA</v>
          </cell>
          <cell r="F1222">
            <v>0</v>
          </cell>
          <cell r="H1222" t="str">
            <v>ARIZONA</v>
          </cell>
          <cell r="I1222" t="str">
            <v>D6389ZAA</v>
          </cell>
        </row>
        <row r="1223">
          <cell r="A1223" t="str">
            <v>D0004</v>
          </cell>
          <cell r="B1223" t="str">
            <v>SAN LUIS</v>
          </cell>
          <cell r="C1223" t="str">
            <v>GOBERNADOR DUPUY</v>
          </cell>
          <cell r="D1223" t="str">
            <v>BUENA ESPERANZA</v>
          </cell>
          <cell r="E1223" t="str">
            <v>PRINGLES</v>
          </cell>
          <cell r="F1223">
            <v>0</v>
          </cell>
          <cell r="H1223" t="str">
            <v>BUENA ESPERANZA</v>
          </cell>
          <cell r="I1223" t="str">
            <v>D6277ZAA</v>
          </cell>
        </row>
        <row r="1224">
          <cell r="A1224" t="str">
            <v>D0006</v>
          </cell>
          <cell r="B1224" t="str">
            <v>SAN LUIS</v>
          </cell>
          <cell r="C1224" t="str">
            <v>AYACUCHO</v>
          </cell>
          <cell r="D1224" t="str">
            <v>CANDELARIA</v>
          </cell>
          <cell r="E1224" t="str">
            <v>SANTA FE</v>
          </cell>
          <cell r="F1224">
            <v>0</v>
          </cell>
          <cell r="H1224" t="str">
            <v>CANDELARIA</v>
          </cell>
          <cell r="I1224" t="str">
            <v>D5713ZAA</v>
          </cell>
        </row>
        <row r="1225">
          <cell r="A1225" t="str">
            <v>D0008</v>
          </cell>
          <cell r="B1225" t="str">
            <v>SAN LUIS</v>
          </cell>
          <cell r="C1225" t="str">
            <v>CHACABUCO</v>
          </cell>
          <cell r="D1225" t="str">
            <v>CONCARAN</v>
          </cell>
          <cell r="E1225" t="str">
            <v>PTE H YRIGOYEN</v>
          </cell>
          <cell r="F1225">
            <v>534</v>
          </cell>
          <cell r="H1225" t="str">
            <v>CONCARAN</v>
          </cell>
          <cell r="I1225" t="str">
            <v>D5770ZAA</v>
          </cell>
        </row>
        <row r="1226">
          <cell r="A1226" t="str">
            <v>D0014</v>
          </cell>
          <cell r="B1226" t="str">
            <v>SAN LUIS</v>
          </cell>
          <cell r="C1226" t="str">
            <v>GENERAL PEDERNERA</v>
          </cell>
          <cell r="D1226" t="str">
            <v>JUSTO DARACT</v>
          </cell>
          <cell r="E1226" t="str">
            <v>AV PTE H YRIGOYEN</v>
          </cell>
          <cell r="F1226">
            <v>791</v>
          </cell>
          <cell r="H1226" t="str">
            <v>JUSTO DARACT</v>
          </cell>
          <cell r="I1226" t="str">
            <v>D5738ZAA</v>
          </cell>
        </row>
        <row r="1227">
          <cell r="A1227" t="str">
            <v>D0016</v>
          </cell>
          <cell r="B1227" t="str">
            <v>SAN LUIS</v>
          </cell>
          <cell r="C1227" t="str">
            <v>CORONEL PRINGLES</v>
          </cell>
          <cell r="D1227" t="str">
            <v>LA TOMA</v>
          </cell>
          <cell r="E1227" t="str">
            <v>GARCIARENA</v>
          </cell>
          <cell r="F1227">
            <v>193</v>
          </cell>
          <cell r="H1227" t="str">
            <v>LA TOMA</v>
          </cell>
          <cell r="I1227" t="str">
            <v>D5750ZAA</v>
          </cell>
        </row>
        <row r="1228">
          <cell r="A1228" t="str">
            <v>D0018</v>
          </cell>
          <cell r="B1228" t="str">
            <v>SAN LUIS</v>
          </cell>
          <cell r="C1228" t="str">
            <v>AYACUCHO</v>
          </cell>
          <cell r="D1228" t="str">
            <v>LUJAN</v>
          </cell>
          <cell r="E1228" t="str">
            <v>PRINGLES</v>
          </cell>
          <cell r="F1228">
            <v>0</v>
          </cell>
          <cell r="H1228" t="str">
            <v>LUJAN</v>
          </cell>
          <cell r="I1228" t="str">
            <v>D5709ZAA</v>
          </cell>
        </row>
        <row r="1229">
          <cell r="A1229" t="str">
            <v>D0020</v>
          </cell>
          <cell r="B1229" t="str">
            <v>SAN LUIS</v>
          </cell>
          <cell r="C1229" t="str">
            <v>GENERAL PEDERNERA</v>
          </cell>
          <cell r="D1229" t="str">
            <v>VILLA MERCEDES</v>
          </cell>
          <cell r="E1229" t="str">
            <v>LEON GUILLET</v>
          </cell>
          <cell r="F1229">
            <v>31</v>
          </cell>
          <cell r="H1229" t="str">
            <v>VILLA MERCEDES</v>
          </cell>
          <cell r="I1229" t="str">
            <v>D5732ZAA</v>
          </cell>
        </row>
        <row r="1230">
          <cell r="A1230" t="str">
            <v>D0022</v>
          </cell>
          <cell r="B1230" t="str">
            <v>SAN LUIS</v>
          </cell>
          <cell r="C1230" t="str">
            <v>GENERAL PEDERNERA</v>
          </cell>
          <cell r="D1230" t="str">
            <v>VILLA MERCEDES</v>
          </cell>
          <cell r="E1230" t="str">
            <v>J B JUSTO</v>
          </cell>
          <cell r="F1230">
            <v>88</v>
          </cell>
          <cell r="H1230" t="str">
            <v>NÂº 1 VILLA MERCEDES</v>
          </cell>
          <cell r="I1230" t="str">
            <v>D5732ZAB</v>
          </cell>
        </row>
        <row r="1231">
          <cell r="A1231" t="str">
            <v>D0024</v>
          </cell>
          <cell r="B1231" t="str">
            <v>SAN LUIS</v>
          </cell>
          <cell r="C1231" t="str">
            <v>JUNIN</v>
          </cell>
          <cell r="D1231" t="str">
            <v>MERLO</v>
          </cell>
          <cell r="E1231" t="str">
            <v>CNEL NICASIO MERCAU</v>
          </cell>
          <cell r="F1231">
            <v>579</v>
          </cell>
          <cell r="H1231" t="str">
            <v>MERLO</v>
          </cell>
          <cell r="I1231" t="str">
            <v>D5881ZAA</v>
          </cell>
        </row>
        <row r="1232">
          <cell r="A1232" t="str">
            <v>D0026</v>
          </cell>
          <cell r="B1232" t="str">
            <v>SAN LUIS</v>
          </cell>
          <cell r="C1232" t="str">
            <v>CHACABUCO</v>
          </cell>
          <cell r="D1232" t="str">
            <v>NASCHEL</v>
          </cell>
          <cell r="E1232" t="str">
            <v>SAN MARTIN</v>
          </cell>
          <cell r="F1232">
            <v>493</v>
          </cell>
          <cell r="H1232" t="str">
            <v>NASCHEL</v>
          </cell>
          <cell r="I1232" t="str">
            <v>D5759ZAA</v>
          </cell>
        </row>
        <row r="1233">
          <cell r="A1233" t="str">
            <v>D0028</v>
          </cell>
          <cell r="B1233" t="str">
            <v>SAN LUIS</v>
          </cell>
          <cell r="C1233" t="str">
            <v>GOBERNADOR DUPUY</v>
          </cell>
          <cell r="D1233" t="str">
            <v>NUEVA GALIA</v>
          </cell>
          <cell r="E1233" t="str">
            <v>SAN MARTIN</v>
          </cell>
          <cell r="F1233">
            <v>0</v>
          </cell>
          <cell r="H1233" t="str">
            <v>NUEVA GALIA</v>
          </cell>
          <cell r="I1233" t="str">
            <v>D6217ZAA</v>
          </cell>
        </row>
        <row r="1234">
          <cell r="A1234" t="str">
            <v>D0030</v>
          </cell>
          <cell r="B1234" t="str">
            <v>SAN LUIS</v>
          </cell>
          <cell r="C1234" t="str">
            <v>AYACUCHO</v>
          </cell>
          <cell r="D1234" t="str">
            <v>QUINES</v>
          </cell>
          <cell r="E1234" t="str">
            <v>SAAVEDRA</v>
          </cell>
          <cell r="F1234">
            <v>210</v>
          </cell>
          <cell r="H1234" t="str">
            <v>QUINES</v>
          </cell>
          <cell r="I1234" t="str">
            <v>D5711ZAA</v>
          </cell>
        </row>
        <row r="1235">
          <cell r="A1235" t="str">
            <v>D0032</v>
          </cell>
          <cell r="B1235" t="str">
            <v>SAN LUIS</v>
          </cell>
          <cell r="C1235" t="str">
            <v>AYACUCHO</v>
          </cell>
          <cell r="D1235" t="str">
            <v>SAN FRANCISCO DEL MONTE DE ORO</v>
          </cell>
          <cell r="E1235" t="str">
            <v>GRAL SAN MARTIN</v>
          </cell>
          <cell r="F1235">
            <v>0</v>
          </cell>
          <cell r="H1235" t="str">
            <v>SAN FCO. DEL MONTE DE ORO</v>
          </cell>
          <cell r="I1235" t="str">
            <v>D5705ZAA</v>
          </cell>
        </row>
        <row r="1236">
          <cell r="A1236" t="str">
            <v>D0038</v>
          </cell>
          <cell r="B1236" t="str">
            <v>SAN LUIS</v>
          </cell>
          <cell r="C1236" t="str">
            <v>LIBERTADOR GENERAL SAN MARTIN</v>
          </cell>
          <cell r="D1236" t="str">
            <v>SAN MARTIN</v>
          </cell>
          <cell r="E1236" t="str">
            <v>LAFINUR</v>
          </cell>
          <cell r="F1236">
            <v>0</v>
          </cell>
          <cell r="H1236" t="str">
            <v>SAN MARTÃN</v>
          </cell>
          <cell r="I1236" t="str">
            <v>D5755ZAA</v>
          </cell>
        </row>
        <row r="1237">
          <cell r="A1237" t="str">
            <v>D0040</v>
          </cell>
          <cell r="B1237" t="str">
            <v>SAN LUIS</v>
          </cell>
          <cell r="C1237" t="str">
            <v>JUNIN</v>
          </cell>
          <cell r="D1237" t="str">
            <v>SANTA ROSA DE CONLARA</v>
          </cell>
          <cell r="E1237" t="str">
            <v>PTE H YRIGOYEN</v>
          </cell>
          <cell r="F1237">
            <v>700</v>
          </cell>
          <cell r="H1237" t="str">
            <v>SANTA ROSA DE CONLARA</v>
          </cell>
          <cell r="I1237" t="str">
            <v>D5777ZAA</v>
          </cell>
        </row>
        <row r="1238">
          <cell r="A1238" t="str">
            <v>D0042</v>
          </cell>
          <cell r="B1238" t="str">
            <v>SAN LUIS</v>
          </cell>
          <cell r="C1238" t="str">
            <v>CHACABUCO</v>
          </cell>
          <cell r="D1238" t="str">
            <v>TILISARAO</v>
          </cell>
          <cell r="E1238" t="str">
            <v>PRINGLES</v>
          </cell>
          <cell r="F1238">
            <v>232</v>
          </cell>
          <cell r="H1238" t="str">
            <v>TILISARAO</v>
          </cell>
          <cell r="I1238" t="str">
            <v>D5773ZAA</v>
          </cell>
        </row>
        <row r="1239">
          <cell r="A1239" t="str">
            <v>D0044</v>
          </cell>
          <cell r="B1239" t="str">
            <v>SAN LUIS</v>
          </cell>
          <cell r="C1239" t="str">
            <v>GOBERNADOR DUPUY</v>
          </cell>
          <cell r="D1239" t="str">
            <v>UNION</v>
          </cell>
          <cell r="E1239" t="str">
            <v>AV ANTONIO DASSA</v>
          </cell>
          <cell r="F1239">
            <v>340</v>
          </cell>
          <cell r="H1239" t="str">
            <v>UNION</v>
          </cell>
          <cell r="I1239" t="str">
            <v>D6219ZAA</v>
          </cell>
        </row>
        <row r="1240">
          <cell r="A1240" t="str">
            <v>D0048</v>
          </cell>
          <cell r="B1240" t="str">
            <v>SAN LUIS</v>
          </cell>
          <cell r="C1240" t="str">
            <v>GENERAL PEDERNERA</v>
          </cell>
          <cell r="D1240" t="str">
            <v>VILLA REYNOLDS</v>
          </cell>
          <cell r="E1240" t="str">
            <v>TENIENTE JORGE VAZQUEZ</v>
          </cell>
          <cell r="F1240">
            <v>0</v>
          </cell>
          <cell r="H1240" t="str">
            <v>VILLA REYNOLDS</v>
          </cell>
          <cell r="I1240" t="str">
            <v>D5733ZAA</v>
          </cell>
        </row>
        <row r="1241">
          <cell r="A1241" t="str">
            <v>D1032</v>
          </cell>
          <cell r="B1241" t="str">
            <v>SAN LUIS</v>
          </cell>
          <cell r="C1241" t="str">
            <v>JUAN MARTIN DE PUEYRREDON</v>
          </cell>
          <cell r="D1241" t="str">
            <v>ESTACION ZANJITAS</v>
          </cell>
          <cell r="E1241">
            <v>0</v>
          </cell>
          <cell r="H1241" t="str">
            <v>ESTACION ZANJITA</v>
          </cell>
          <cell r="I1241" t="str">
            <v>D5721ZAA</v>
          </cell>
        </row>
        <row r="1242">
          <cell r="A1242" t="str">
            <v>D1044</v>
          </cell>
          <cell r="B1242" t="str">
            <v>SAN LUIS</v>
          </cell>
          <cell r="C1242" t="str">
            <v>JUAN MARTIN DE PUEYRREDON</v>
          </cell>
          <cell r="D1242" t="str">
            <v>LAS BARRANCAS</v>
          </cell>
          <cell r="E1242">
            <v>0</v>
          </cell>
          <cell r="H1242" t="str">
            <v>LAS BARRANCAS</v>
          </cell>
          <cell r="I1242" t="str">
            <v>D5871ZAA</v>
          </cell>
        </row>
        <row r="1243">
          <cell r="A1243" t="str">
            <v>D1066</v>
          </cell>
          <cell r="B1243" t="str">
            <v>SAN LUIS</v>
          </cell>
          <cell r="C1243" t="str">
            <v>LIBERTADOR GENERAL SAN MARTIN</v>
          </cell>
          <cell r="D1243" t="str">
            <v>PUERTA COLORADA</v>
          </cell>
          <cell r="E1243">
            <v>0</v>
          </cell>
          <cell r="H1243" t="str">
            <v>PUERTA COLORADA</v>
          </cell>
          <cell r="I1243" t="str">
            <v>D5771ZAA</v>
          </cell>
        </row>
        <row r="1244">
          <cell r="A1244" t="str">
            <v>D1092</v>
          </cell>
          <cell r="B1244" t="str">
            <v>SAN LUIS</v>
          </cell>
          <cell r="C1244" t="str">
            <v>BELGRANO</v>
          </cell>
          <cell r="D1244" t="str">
            <v>VILLA GENERAL ROCA</v>
          </cell>
          <cell r="E1244" t="str">
            <v>DR NICOLAS AVELLANEDA</v>
          </cell>
          <cell r="F1244">
            <v>0</v>
          </cell>
          <cell r="H1244" t="str">
            <v>VILLA GRAL ROCA</v>
          </cell>
          <cell r="I1244" t="str">
            <v>D5722ZAA</v>
          </cell>
        </row>
        <row r="1245">
          <cell r="A1245" t="str">
            <v>D3090</v>
          </cell>
          <cell r="B1245" t="str">
            <v>SAN LUIS</v>
          </cell>
          <cell r="C1245" t="str">
            <v>JUAN MARTIN DE PUEYRREDON</v>
          </cell>
          <cell r="D1245" t="str">
            <v>SAN LUIS</v>
          </cell>
          <cell r="E1245" t="str">
            <v>AYACUCHO</v>
          </cell>
          <cell r="F1245">
            <v>945</v>
          </cell>
          <cell r="H1245" t="str">
            <v>SAN LUIS MINI-POST</v>
          </cell>
          <cell r="I1245" t="str">
            <v>D5700ZAB</v>
          </cell>
        </row>
        <row r="1246">
          <cell r="A1246" t="str">
            <v>D3152</v>
          </cell>
          <cell r="B1246" t="str">
            <v>SAN LUIS</v>
          </cell>
          <cell r="C1246" t="str">
            <v>JUAN MARTIN DE PUEYRREDON</v>
          </cell>
          <cell r="D1246" t="str">
            <v>LA PUNTA</v>
          </cell>
          <cell r="E1246" t="str">
            <v>CALLE 9</v>
          </cell>
          <cell r="F1246">
            <v>0</v>
          </cell>
          <cell r="H1246" t="str">
            <v>CIUDAD DE LA PUNTA</v>
          </cell>
          <cell r="I1246" t="str">
            <v>D5710ZAA</v>
          </cell>
        </row>
        <row r="1247">
          <cell r="A1247" t="str">
            <v>Z0000</v>
          </cell>
          <cell r="B1247" t="str">
            <v>SANTA CRUZ</v>
          </cell>
          <cell r="C1247" t="str">
            <v>GUER AIKE</v>
          </cell>
          <cell r="D1247" t="str">
            <v>RIO GALLEGOS</v>
          </cell>
          <cell r="E1247" t="str">
            <v>AV PTE DR NESTOR C KIRCHNER</v>
          </cell>
          <cell r="F1247">
            <v>893</v>
          </cell>
          <cell r="H1247" t="str">
            <v>RIO GALLEGOS</v>
          </cell>
          <cell r="I1247" t="str">
            <v>Z9400ZAA</v>
          </cell>
        </row>
        <row r="1248">
          <cell r="A1248" t="str">
            <v>Z0001</v>
          </cell>
          <cell r="B1248" t="str">
            <v>SANTA CRUZ</v>
          </cell>
          <cell r="C1248" t="str">
            <v>GUER AIKE</v>
          </cell>
          <cell r="D1248" t="str">
            <v>RIO GALLEGOS</v>
          </cell>
          <cell r="E1248" t="str">
            <v>MEXICO</v>
          </cell>
          <cell r="F1248">
            <v>1501</v>
          </cell>
          <cell r="H1248" t="str">
            <v>RIO GALLEGOS SUCURSAL 1</v>
          </cell>
          <cell r="I1248" t="str">
            <v>Z9400ZAB</v>
          </cell>
        </row>
        <row r="1249">
          <cell r="A1249" t="str">
            <v>Z0002</v>
          </cell>
          <cell r="B1249" t="str">
            <v>SANTA CRUZ</v>
          </cell>
          <cell r="C1249" t="str">
            <v>LAGO ARGENTINO</v>
          </cell>
          <cell r="D1249" t="str">
            <v>EL CALAFATE</v>
          </cell>
          <cell r="E1249" t="str">
            <v>AV DEL LIB G SAN MARTIN</v>
          </cell>
          <cell r="F1249">
            <v>1133</v>
          </cell>
          <cell r="H1249" t="str">
            <v>EL CALAFATE</v>
          </cell>
          <cell r="I1249" t="str">
            <v>Z9405ZAA</v>
          </cell>
        </row>
        <row r="1250">
          <cell r="A1250" t="str">
            <v>Z0004</v>
          </cell>
          <cell r="B1250" t="str">
            <v>SANTA CRUZ</v>
          </cell>
          <cell r="C1250" t="str">
            <v>CORPEN AIKE</v>
          </cell>
          <cell r="D1250" t="str">
            <v>COMANDANTE LUIS PIEDRABUENA</v>
          </cell>
          <cell r="E1250" t="str">
            <v>AV JORGE IBAÃ‘EZ</v>
          </cell>
          <cell r="F1250">
            <v>374</v>
          </cell>
          <cell r="H1250" t="str">
            <v>CMTE. LUIS PIEDRABUENA</v>
          </cell>
          <cell r="I1250" t="str">
            <v>Z9303ZAA</v>
          </cell>
        </row>
        <row r="1251">
          <cell r="A1251" t="str">
            <v>Z0006</v>
          </cell>
          <cell r="B1251" t="str">
            <v>SANTA CRUZ</v>
          </cell>
          <cell r="C1251" t="str">
            <v>RIO CHICO</v>
          </cell>
          <cell r="D1251" t="str">
            <v>GOBERNADOR GREGORES</v>
          </cell>
          <cell r="E1251" t="str">
            <v>JUAN B ALBERDI</v>
          </cell>
          <cell r="F1251">
            <v>490</v>
          </cell>
          <cell r="H1251" t="str">
            <v>GOBERNADOR GREGORES</v>
          </cell>
          <cell r="I1251" t="str">
            <v>Z9311ZAA</v>
          </cell>
        </row>
        <row r="1252">
          <cell r="A1252" t="str">
            <v>Z0008</v>
          </cell>
          <cell r="B1252" t="str">
            <v>SANTA CRUZ</v>
          </cell>
          <cell r="C1252" t="str">
            <v>MAGALLANES</v>
          </cell>
          <cell r="D1252" t="str">
            <v>PUERTO SAN JULIAN</v>
          </cell>
          <cell r="E1252" t="str">
            <v>AV GRAL SAN MARTIN</v>
          </cell>
          <cell r="F1252">
            <v>155</v>
          </cell>
          <cell r="H1252" t="str">
            <v>PTO. SAN JULIAN</v>
          </cell>
          <cell r="I1252" t="str">
            <v>Z9310ZAA</v>
          </cell>
        </row>
        <row r="1253">
          <cell r="A1253" t="str">
            <v>Z0009</v>
          </cell>
          <cell r="B1253" t="str">
            <v>SANTA CRUZ</v>
          </cell>
          <cell r="C1253" t="str">
            <v>DESEADO</v>
          </cell>
          <cell r="D1253" t="str">
            <v>CAÃ‘ADON SECO</v>
          </cell>
          <cell r="E1253" t="str">
            <v>BARRANCAS</v>
          </cell>
          <cell r="F1253">
            <v>201</v>
          </cell>
          <cell r="H1253" t="str">
            <v>CAÃ‘ADON SECO</v>
          </cell>
          <cell r="I1253" t="str">
            <v>Z9013ZAA</v>
          </cell>
        </row>
        <row r="1254">
          <cell r="A1254" t="str">
            <v>Z0010</v>
          </cell>
          <cell r="B1254" t="str">
            <v>SANTA CRUZ</v>
          </cell>
          <cell r="C1254" t="str">
            <v>CORPEN AIKE</v>
          </cell>
          <cell r="D1254" t="str">
            <v>PUERTO SANTA CRUZ</v>
          </cell>
          <cell r="E1254" t="str">
            <v>DR MANUEL BELGRANO</v>
          </cell>
          <cell r="F1254">
            <v>131</v>
          </cell>
          <cell r="H1254" t="str">
            <v>PUERTO SANTA CRUZ</v>
          </cell>
          <cell r="I1254" t="str">
            <v>Z9300ZAA</v>
          </cell>
        </row>
        <row r="1255">
          <cell r="A1255" t="str">
            <v>Z0013</v>
          </cell>
          <cell r="B1255" t="str">
            <v>SANTA CRUZ</v>
          </cell>
          <cell r="C1255" t="str">
            <v>DESEADO</v>
          </cell>
          <cell r="D1255" t="str">
            <v>CALETA OLIVIA</v>
          </cell>
          <cell r="E1255" t="str">
            <v>PTE H YRIGOYEN</v>
          </cell>
          <cell r="F1255">
            <v>194</v>
          </cell>
          <cell r="H1255" t="str">
            <v>CALETA OLIVIA</v>
          </cell>
          <cell r="I1255" t="str">
            <v>Z9011ZAA</v>
          </cell>
        </row>
        <row r="1256">
          <cell r="A1256" t="str">
            <v>Z0016</v>
          </cell>
          <cell r="B1256" t="str">
            <v>SANTA CRUZ</v>
          </cell>
          <cell r="C1256" t="str">
            <v>LAGO ARGENTINO</v>
          </cell>
          <cell r="D1256" t="str">
            <v>TRES LAGOS</v>
          </cell>
          <cell r="E1256" t="str">
            <v>SAN MARTIN S N</v>
          </cell>
          <cell r="H1256" t="str">
            <v>TRES LAGOS</v>
          </cell>
          <cell r="I1256" t="str">
            <v>Z9301ZAA</v>
          </cell>
        </row>
        <row r="1257">
          <cell r="A1257" t="str">
            <v>Z0020</v>
          </cell>
          <cell r="B1257" t="str">
            <v>SANTA CRUZ</v>
          </cell>
          <cell r="C1257" t="str">
            <v>GUER AIKE</v>
          </cell>
          <cell r="D1257" t="str">
            <v>RIO TURBIO</v>
          </cell>
          <cell r="E1257" t="str">
            <v>AV DE LOS MINEROS</v>
          </cell>
          <cell r="F1257">
            <v>494</v>
          </cell>
          <cell r="H1257" t="str">
            <v>RIO TURBIO</v>
          </cell>
          <cell r="I1257" t="str">
            <v>Z9407ZAA</v>
          </cell>
        </row>
        <row r="1258">
          <cell r="A1258" t="str">
            <v>Z0022</v>
          </cell>
          <cell r="B1258" t="str">
            <v>SANTA CRUZ</v>
          </cell>
          <cell r="C1258" t="str">
            <v>GUER AIKE</v>
          </cell>
          <cell r="D1258" t="str">
            <v>28 DE NOVIEMBRE</v>
          </cell>
          <cell r="E1258" t="str">
            <v>AV TTE GRAL JUAN D PERON</v>
          </cell>
          <cell r="F1258">
            <v>478</v>
          </cell>
          <cell r="H1258" t="str">
            <v>28 DE NOVIEMBRE</v>
          </cell>
          <cell r="I1258" t="str">
            <v>Z9408ZAA</v>
          </cell>
        </row>
        <row r="1259">
          <cell r="A1259" t="str">
            <v>Z0024</v>
          </cell>
          <cell r="B1259" t="str">
            <v>SANTA CRUZ</v>
          </cell>
          <cell r="C1259" t="str">
            <v>GUER AIKE</v>
          </cell>
          <cell r="D1259" t="str">
            <v>ROSPENTEK</v>
          </cell>
          <cell r="E1259" t="str">
            <v>S/C</v>
          </cell>
          <cell r="F1259">
            <v>0</v>
          </cell>
          <cell r="H1259" t="str">
            <v>ROSPENTEK</v>
          </cell>
          <cell r="I1259" t="str">
            <v>Z9398ZAA</v>
          </cell>
        </row>
        <row r="1260">
          <cell r="A1260" t="str">
            <v>Z0041</v>
          </cell>
          <cell r="B1260" t="str">
            <v>SANTA CRUZ</v>
          </cell>
          <cell r="C1260" t="str">
            <v>DESEADO</v>
          </cell>
          <cell r="D1260" t="str">
            <v>LAS HERAS</v>
          </cell>
          <cell r="E1260" t="str">
            <v>SAN MARTIN</v>
          </cell>
          <cell r="F1260">
            <v>300</v>
          </cell>
          <cell r="H1260" t="str">
            <v>LAS HERAS</v>
          </cell>
          <cell r="I1260" t="str">
            <v>Z9017ZAA</v>
          </cell>
        </row>
        <row r="1261">
          <cell r="A1261" t="str">
            <v>Z0047</v>
          </cell>
          <cell r="B1261" t="str">
            <v>SANTA CRUZ</v>
          </cell>
          <cell r="C1261" t="str">
            <v>LAGO BUENOS AIRES</v>
          </cell>
          <cell r="D1261" t="str">
            <v>LOS ANTIGUOS</v>
          </cell>
          <cell r="E1261" t="str">
            <v>GDOR GREGORES</v>
          </cell>
          <cell r="F1261">
            <v>19</v>
          </cell>
          <cell r="H1261" t="str">
            <v>LOS ANTIGUOS</v>
          </cell>
          <cell r="I1261" t="str">
            <v>Z9041ZAA</v>
          </cell>
        </row>
        <row r="1262">
          <cell r="A1262" t="str">
            <v>Z0049</v>
          </cell>
          <cell r="B1262" t="str">
            <v>SANTA CRUZ</v>
          </cell>
          <cell r="C1262" t="str">
            <v>LAGO BUENOS AIRES</v>
          </cell>
          <cell r="D1262" t="str">
            <v>PERITO MORENO</v>
          </cell>
          <cell r="E1262" t="str">
            <v>AV JUAN D PERON</v>
          </cell>
          <cell r="F1262">
            <v>1327</v>
          </cell>
          <cell r="H1262" t="str">
            <v>PERITO MORENO</v>
          </cell>
          <cell r="I1262" t="str">
            <v>Z9040ZAA</v>
          </cell>
        </row>
        <row r="1263">
          <cell r="A1263" t="str">
            <v>Z0051</v>
          </cell>
          <cell r="B1263" t="str">
            <v>SANTA CRUZ</v>
          </cell>
          <cell r="C1263" t="str">
            <v>DESEADO</v>
          </cell>
          <cell r="D1263" t="str">
            <v>PICO TRUNCADO</v>
          </cell>
          <cell r="E1263" t="str">
            <v>AV B RIVADAVIA</v>
          </cell>
          <cell r="F1263">
            <v>455</v>
          </cell>
          <cell r="H1263" t="str">
            <v>PICO TRUNCADO</v>
          </cell>
          <cell r="I1263" t="str">
            <v>Z9015ZAA</v>
          </cell>
        </row>
        <row r="1264">
          <cell r="A1264" t="str">
            <v>Z0053</v>
          </cell>
          <cell r="B1264" t="str">
            <v>SANTA CRUZ</v>
          </cell>
          <cell r="C1264" t="str">
            <v>DESEADO</v>
          </cell>
          <cell r="D1264" t="str">
            <v>PUERTO DESEADO</v>
          </cell>
          <cell r="E1264" t="str">
            <v>GRAL SAN MARTIN</v>
          </cell>
          <cell r="F1264">
            <v>1075</v>
          </cell>
          <cell r="H1264" t="str">
            <v>PUERTO DESEADO</v>
          </cell>
          <cell r="I1264" t="str">
            <v>Z9050ZAA</v>
          </cell>
        </row>
        <row r="1265">
          <cell r="A1265" t="str">
            <v>Z1112</v>
          </cell>
          <cell r="B1265" t="str">
            <v>SANTA CRUZ</v>
          </cell>
          <cell r="C1265" t="str">
            <v>LAGO ARGENTINO</v>
          </cell>
          <cell r="D1265" t="str">
            <v>EL CHALTEN</v>
          </cell>
          <cell r="E1265" t="str">
            <v>ANDREA MADSEN</v>
          </cell>
          <cell r="F1265">
            <v>22</v>
          </cell>
          <cell r="H1265" t="str">
            <v>EL CHALTEN</v>
          </cell>
          <cell r="I1265" t="str">
            <v>Z9301ZAB</v>
          </cell>
        </row>
        <row r="1266">
          <cell r="A1266" t="str">
            <v>Z3110</v>
          </cell>
          <cell r="B1266" t="str">
            <v>SANTA CRUZ</v>
          </cell>
          <cell r="C1266" t="str">
            <v>RIO CHICO</v>
          </cell>
          <cell r="D1266" t="str">
            <v>H YRIGOYEN LAGO POSADAS</v>
          </cell>
          <cell r="E1266" t="str">
            <v>AVDA. SAN MARTIN</v>
          </cell>
          <cell r="H1266" t="str">
            <v>LAGO POSADAS</v>
          </cell>
          <cell r="I1266" t="str">
            <v>Z9315ZAF</v>
          </cell>
        </row>
        <row r="1267">
          <cell r="A1267" t="str">
            <v>S0000</v>
          </cell>
          <cell r="B1267" t="str">
            <v>SANTA FE</v>
          </cell>
          <cell r="C1267" t="str">
            <v>LA CAPITAL</v>
          </cell>
          <cell r="D1267" t="str">
            <v>SANTA FE</v>
          </cell>
          <cell r="E1267" t="str">
            <v>MENDOZA</v>
          </cell>
          <cell r="F1267">
            <v>2430</v>
          </cell>
          <cell r="H1267" t="str">
            <v>SANTA FE</v>
          </cell>
          <cell r="I1267" t="str">
            <v>S3000ZAE</v>
          </cell>
        </row>
        <row r="1268">
          <cell r="A1268" t="str">
            <v>S0001</v>
          </cell>
          <cell r="B1268" t="str">
            <v>SANTA FE</v>
          </cell>
          <cell r="C1268" t="str">
            <v>LA CAPITAL</v>
          </cell>
          <cell r="D1268" t="str">
            <v>SANTA FE</v>
          </cell>
          <cell r="E1268" t="str">
            <v>GRAL SAN MARTIN</v>
          </cell>
          <cell r="F1268">
            <v>1863</v>
          </cell>
          <cell r="H1268" t="str">
            <v>SUCURSAL 1</v>
          </cell>
          <cell r="I1268" t="str">
            <v>S3000ZAF</v>
          </cell>
        </row>
        <row r="1269">
          <cell r="A1269" t="str">
            <v>S0002</v>
          </cell>
          <cell r="B1269" t="str">
            <v>SANTA FE</v>
          </cell>
          <cell r="C1269" t="str">
            <v>LA CAPITAL</v>
          </cell>
          <cell r="D1269" t="str">
            <v>SANTA FE</v>
          </cell>
          <cell r="E1269" t="str">
            <v>AARON CASTELLANOS</v>
          </cell>
          <cell r="F1269">
            <v>1408</v>
          </cell>
          <cell r="H1269" t="str">
            <v>SUCURSAL 2</v>
          </cell>
          <cell r="I1269" t="str">
            <v>S3002ZAA</v>
          </cell>
        </row>
        <row r="1270">
          <cell r="A1270" t="str">
            <v>S0003</v>
          </cell>
          <cell r="B1270" t="str">
            <v>SANTA FE</v>
          </cell>
          <cell r="C1270" t="str">
            <v>LA CAPITAL</v>
          </cell>
          <cell r="D1270" t="str">
            <v>SANTA FE</v>
          </cell>
          <cell r="E1270" t="str">
            <v>9 DE JULIO</v>
          </cell>
          <cell r="F1270">
            <v>3501</v>
          </cell>
          <cell r="H1270" t="str">
            <v>SUCURSAL 3</v>
          </cell>
          <cell r="I1270" t="str">
            <v>S3002ZAC</v>
          </cell>
        </row>
        <row r="1271">
          <cell r="A1271" t="str">
            <v>S0004</v>
          </cell>
          <cell r="B1271" t="str">
            <v>SANTA FE</v>
          </cell>
          <cell r="C1271" t="str">
            <v>LA CAPITAL</v>
          </cell>
          <cell r="D1271" t="str">
            <v>SANTA FE</v>
          </cell>
          <cell r="E1271" t="str">
            <v>PRES BERNARDINO RIVADAVIA</v>
          </cell>
          <cell r="F1271">
            <v>2999</v>
          </cell>
          <cell r="H1271" t="str">
            <v>SUCURSAL 4</v>
          </cell>
          <cell r="I1271" t="str">
            <v>S3000ZAC</v>
          </cell>
        </row>
        <row r="1272">
          <cell r="A1272" t="str">
            <v>S0005</v>
          </cell>
          <cell r="B1272" t="str">
            <v>SANTA FE</v>
          </cell>
          <cell r="C1272" t="str">
            <v>LA CAPITAL</v>
          </cell>
          <cell r="D1272" t="str">
            <v>SANTA FE</v>
          </cell>
          <cell r="E1272" t="str">
            <v>AV GRAL PAZ</v>
          </cell>
          <cell r="F1272">
            <v>7276</v>
          </cell>
          <cell r="H1272" t="str">
            <v>SUCURSAL 5</v>
          </cell>
          <cell r="I1272" t="str">
            <v>S3004ZAA</v>
          </cell>
        </row>
        <row r="1273">
          <cell r="A1273" t="str">
            <v>S0006</v>
          </cell>
          <cell r="B1273" t="str">
            <v>SANTA FE</v>
          </cell>
          <cell r="C1273" t="str">
            <v>LA CAPITAL</v>
          </cell>
          <cell r="D1273" t="str">
            <v>SANTA FE</v>
          </cell>
          <cell r="E1273" t="str">
            <v>GRAL PAZ</v>
          </cell>
          <cell r="F1273">
            <v>5347</v>
          </cell>
          <cell r="H1273" t="str">
            <v>SUCURSAL 6</v>
          </cell>
          <cell r="I1273" t="str">
            <v>S3002ZAD</v>
          </cell>
        </row>
        <row r="1274">
          <cell r="A1274" t="str">
            <v>S0007</v>
          </cell>
          <cell r="B1274" t="str">
            <v>SANTA FE</v>
          </cell>
          <cell r="C1274" t="str">
            <v>LA CAPITAL</v>
          </cell>
          <cell r="D1274" t="str">
            <v>SANTA FE</v>
          </cell>
          <cell r="E1274" t="str">
            <v>AV PROF ARISTOBULO DEL VALLE</v>
          </cell>
          <cell r="F1274">
            <v>6855</v>
          </cell>
          <cell r="H1274" t="str">
            <v>SUCURSAL 7</v>
          </cell>
          <cell r="I1274" t="str">
            <v>S3004ZAB</v>
          </cell>
        </row>
        <row r="1275">
          <cell r="A1275" t="str">
            <v>S0008</v>
          </cell>
          <cell r="B1275" t="str">
            <v>SANTA FE</v>
          </cell>
          <cell r="C1275" t="str">
            <v>LA CAPITAL</v>
          </cell>
          <cell r="D1275" t="str">
            <v>SANTA FE</v>
          </cell>
          <cell r="E1275" t="str">
            <v>GRAL GREGORIO DE LAMADRID</v>
          </cell>
          <cell r="F1275">
            <v>7699</v>
          </cell>
          <cell r="H1275" t="str">
            <v>SUCURSAL 8</v>
          </cell>
          <cell r="I1275" t="str">
            <v>S3006ZAA</v>
          </cell>
        </row>
        <row r="1276">
          <cell r="A1276" t="str">
            <v>S0010</v>
          </cell>
          <cell r="B1276" t="str">
            <v>SANTA FE</v>
          </cell>
          <cell r="C1276" t="str">
            <v>SAN JAVIER</v>
          </cell>
          <cell r="D1276" t="str">
            <v>ALEJANDRA</v>
          </cell>
          <cell r="E1276" t="str">
            <v>AV SAN MARTIN</v>
          </cell>
          <cell r="F1276">
            <v>1405</v>
          </cell>
          <cell r="H1276" t="str">
            <v>ALEJANDRA</v>
          </cell>
          <cell r="I1276" t="str">
            <v>S3051ZAA</v>
          </cell>
        </row>
        <row r="1277">
          <cell r="A1277" t="str">
            <v>S0011</v>
          </cell>
          <cell r="B1277" t="str">
            <v>SANTA FE</v>
          </cell>
          <cell r="C1277" t="str">
            <v>CASTELLANOS</v>
          </cell>
          <cell r="D1277" t="str">
            <v>ANGELICA</v>
          </cell>
          <cell r="E1277" t="str">
            <v>DR LISANDRO DE LA TORRE</v>
          </cell>
          <cell r="F1277">
            <v>348</v>
          </cell>
          <cell r="H1277" t="str">
            <v>ANGELICA</v>
          </cell>
          <cell r="I1277" t="str">
            <v>S2303ZAA</v>
          </cell>
        </row>
        <row r="1278">
          <cell r="A1278" t="str">
            <v>S0012</v>
          </cell>
          <cell r="B1278" t="str">
            <v>SANTA FE</v>
          </cell>
          <cell r="C1278" t="str">
            <v>SAN JERONIMO</v>
          </cell>
          <cell r="D1278" t="str">
            <v>AROCENA</v>
          </cell>
          <cell r="E1278" t="str">
            <v>DR ROVERE</v>
          </cell>
          <cell r="F1278">
            <v>380</v>
          </cell>
          <cell r="H1278" t="str">
            <v>AROCENA</v>
          </cell>
          <cell r="I1278" t="str">
            <v>S2242ZAA</v>
          </cell>
        </row>
        <row r="1279">
          <cell r="A1279" t="str">
            <v>S0013</v>
          </cell>
          <cell r="B1279" t="str">
            <v>SANTA FE</v>
          </cell>
          <cell r="C1279" t="str">
            <v>SAN CRISTOBAL</v>
          </cell>
          <cell r="D1279" t="str">
            <v>ARRUFO</v>
          </cell>
          <cell r="E1279" t="str">
            <v>GRAL SAN MARTIN</v>
          </cell>
          <cell r="F1279">
            <v>151</v>
          </cell>
          <cell r="H1279" t="str">
            <v>ARRUFO</v>
          </cell>
          <cell r="I1279" t="str">
            <v>S2344ZAA</v>
          </cell>
        </row>
        <row r="1280">
          <cell r="A1280" t="str">
            <v>S0014</v>
          </cell>
          <cell r="B1280" t="str">
            <v>SANTA FE</v>
          </cell>
          <cell r="C1280" t="str">
            <v>CASTELLANOS</v>
          </cell>
          <cell r="D1280" t="str">
            <v>ATALIVA</v>
          </cell>
          <cell r="E1280" t="str">
            <v>MORENO</v>
          </cell>
          <cell r="F1280">
            <v>98</v>
          </cell>
          <cell r="H1280" t="str">
            <v>ATALIVA</v>
          </cell>
          <cell r="I1280" t="str">
            <v>S2307ZAB</v>
          </cell>
        </row>
        <row r="1281">
          <cell r="A1281" t="str">
            <v>S0015</v>
          </cell>
          <cell r="B1281" t="str">
            <v>SANTA FE</v>
          </cell>
          <cell r="C1281" t="str">
            <v>GENERAL OBLIGADO</v>
          </cell>
          <cell r="D1281" t="str">
            <v>AVELLANEDA</v>
          </cell>
          <cell r="E1281" t="str">
            <v>CALLE 12</v>
          </cell>
          <cell r="F1281">
            <v>692</v>
          </cell>
          <cell r="H1281" t="str">
            <v>AVELLANEDA</v>
          </cell>
          <cell r="I1281" t="str">
            <v>S3561ZAA</v>
          </cell>
        </row>
        <row r="1282">
          <cell r="A1282" t="str">
            <v>S0016</v>
          </cell>
          <cell r="B1282" t="str">
            <v>SANTA FE</v>
          </cell>
          <cell r="C1282" t="str">
            <v>SAN JERONIMO</v>
          </cell>
          <cell r="D1282" t="str">
            <v>BARRANCAS</v>
          </cell>
          <cell r="E1282" t="str">
            <v>LISANDRO DE LA TORRE</v>
          </cell>
          <cell r="F1282">
            <v>131</v>
          </cell>
          <cell r="H1282" t="str">
            <v>BARRANCAS</v>
          </cell>
          <cell r="I1282" t="str">
            <v>S2246ZAA</v>
          </cell>
        </row>
        <row r="1283">
          <cell r="A1283" t="str">
            <v>S0017</v>
          </cell>
          <cell r="B1283" t="str">
            <v>SANTA FE</v>
          </cell>
          <cell r="C1283" t="str">
            <v>SAN JERONIMO</v>
          </cell>
          <cell r="D1283" t="str">
            <v>BERNARDO DE IRIGOYEN</v>
          </cell>
          <cell r="E1283" t="str">
            <v>ROSARIO</v>
          </cell>
          <cell r="F1283">
            <v>227</v>
          </cell>
          <cell r="H1283" t="str">
            <v>BDO. DE IRIGOYEN</v>
          </cell>
          <cell r="I1283" t="str">
            <v>S2248ZAA</v>
          </cell>
        </row>
        <row r="1284">
          <cell r="A1284" t="str">
            <v>S0018</v>
          </cell>
          <cell r="B1284" t="str">
            <v>SANTA FE</v>
          </cell>
          <cell r="C1284" t="str">
            <v>SAN JERONIMO</v>
          </cell>
          <cell r="D1284" t="str">
            <v>CENTENO</v>
          </cell>
          <cell r="E1284" t="str">
            <v>ENTRE RIOS</v>
          </cell>
          <cell r="F1284">
            <v>1098</v>
          </cell>
          <cell r="H1284" t="str">
            <v>CENTENO</v>
          </cell>
          <cell r="I1284" t="str">
            <v>S2148ZAA</v>
          </cell>
        </row>
        <row r="1285">
          <cell r="A1285" t="str">
            <v>S0020</v>
          </cell>
          <cell r="B1285" t="str">
            <v>SANTA FE</v>
          </cell>
          <cell r="C1285" t="str">
            <v>VERA</v>
          </cell>
          <cell r="D1285" t="str">
            <v>CALCHAQUI</v>
          </cell>
          <cell r="E1285" t="str">
            <v>GRAL M BELGRANO</v>
          </cell>
          <cell r="F1285">
            <v>512</v>
          </cell>
          <cell r="H1285" t="str">
            <v>CALCHAQUI</v>
          </cell>
          <cell r="I1285" t="str">
            <v>S3050ZAA</v>
          </cell>
        </row>
        <row r="1286">
          <cell r="A1286" t="str">
            <v>S0022</v>
          </cell>
          <cell r="B1286" t="str">
            <v>SANTA FE</v>
          </cell>
          <cell r="C1286" t="str">
            <v>GARAY</v>
          </cell>
          <cell r="D1286" t="str">
            <v>CAYASTA</v>
          </cell>
          <cell r="E1286" t="str">
            <v>JUAN DE GARAY</v>
          </cell>
          <cell r="F1286">
            <v>0</v>
          </cell>
          <cell r="H1286" t="str">
            <v>CAYASTA</v>
          </cell>
          <cell r="I1286" t="str">
            <v>S3001ZAA</v>
          </cell>
        </row>
        <row r="1287">
          <cell r="A1287" t="str">
            <v>S0024</v>
          </cell>
          <cell r="B1287" t="str">
            <v>SANTA FE</v>
          </cell>
          <cell r="C1287" t="str">
            <v>SAN CRISTOBAL</v>
          </cell>
          <cell r="D1287" t="str">
            <v>CERES</v>
          </cell>
          <cell r="E1287" t="str">
            <v>L N ALEM</v>
          </cell>
          <cell r="F1287">
            <v>146</v>
          </cell>
          <cell r="H1287" t="str">
            <v>CERES</v>
          </cell>
          <cell r="I1287" t="str">
            <v>S2340ZAA</v>
          </cell>
        </row>
        <row r="1288">
          <cell r="A1288" t="str">
            <v>S0026</v>
          </cell>
          <cell r="B1288" t="str">
            <v>SANTA FE</v>
          </cell>
          <cell r="C1288" t="str">
            <v>CASTELLANOS</v>
          </cell>
          <cell r="D1288" t="str">
            <v>PLAZA CLUCELLAS</v>
          </cell>
          <cell r="E1288" t="str">
            <v>BONINI</v>
          </cell>
          <cell r="F1288">
            <v>100</v>
          </cell>
          <cell r="H1288" t="str">
            <v>CLUCELLAS</v>
          </cell>
          <cell r="I1288" t="str">
            <v>S2407ZAA</v>
          </cell>
        </row>
        <row r="1289">
          <cell r="A1289" t="str">
            <v>S0028</v>
          </cell>
          <cell r="B1289" t="str">
            <v>SANTA FE</v>
          </cell>
          <cell r="C1289" t="str">
            <v>SAN MARTIN</v>
          </cell>
          <cell r="D1289" t="str">
            <v>COLONIA BELGRANO</v>
          </cell>
          <cell r="E1289" t="str">
            <v>DOMINGO SARMIENTO</v>
          </cell>
          <cell r="F1289">
            <v>968</v>
          </cell>
          <cell r="H1289" t="str">
            <v>COLONIA BELGRANO</v>
          </cell>
          <cell r="I1289" t="str">
            <v>S2257ZAA</v>
          </cell>
        </row>
        <row r="1290">
          <cell r="A1290" t="str">
            <v>S0030</v>
          </cell>
          <cell r="B1290" t="str">
            <v>SANTA FE</v>
          </cell>
          <cell r="C1290" t="str">
            <v>SAN JERONIMO</v>
          </cell>
          <cell r="D1290" t="str">
            <v>CORONDA</v>
          </cell>
          <cell r="E1290" t="str">
            <v>JUAN DE GARAY</v>
          </cell>
          <cell r="F1290">
            <v>1657</v>
          </cell>
          <cell r="H1290" t="str">
            <v>CORONDA</v>
          </cell>
          <cell r="I1290" t="str">
            <v>S2240ZAA</v>
          </cell>
        </row>
        <row r="1291">
          <cell r="A1291" t="str">
            <v>S0032</v>
          </cell>
          <cell r="B1291" t="str">
            <v>SANTA FE</v>
          </cell>
          <cell r="C1291" t="str">
            <v>SAN MARTIN</v>
          </cell>
          <cell r="D1291" t="str">
            <v>CAÃ‘ADA ROSQUIN</v>
          </cell>
          <cell r="E1291" t="str">
            <v>SARMIENTO</v>
          </cell>
          <cell r="F1291">
            <v>799</v>
          </cell>
          <cell r="H1291" t="str">
            <v>CAÃ‘ADA ROSQUIN</v>
          </cell>
          <cell r="I1291" t="str">
            <v>S2454ZAA</v>
          </cell>
        </row>
        <row r="1292">
          <cell r="A1292" t="str">
            <v>S0034</v>
          </cell>
          <cell r="B1292" t="str">
            <v>SANTA FE</v>
          </cell>
          <cell r="C1292" t="str">
            <v>SAN MARTIN</v>
          </cell>
          <cell r="D1292" t="str">
            <v>CARLOS PELLEGRINI</v>
          </cell>
          <cell r="E1292" t="str">
            <v>9 DE JULIO</v>
          </cell>
          <cell r="F1292">
            <v>175</v>
          </cell>
          <cell r="H1292" t="str">
            <v>CARLOS PELLEGRINI</v>
          </cell>
          <cell r="I1292" t="str">
            <v>S2453ZAA</v>
          </cell>
        </row>
        <row r="1293">
          <cell r="A1293" t="str">
            <v>S0036</v>
          </cell>
          <cell r="B1293" t="str">
            <v>SANTA FE</v>
          </cell>
          <cell r="C1293" t="str">
            <v>SAN JERONIMO</v>
          </cell>
          <cell r="D1293" t="str">
            <v>DIAZ</v>
          </cell>
          <cell r="E1293" t="str">
            <v>AV BUENOS AIRES</v>
          </cell>
          <cell r="F1293">
            <v>420</v>
          </cell>
          <cell r="H1293" t="str">
            <v>DIAZ</v>
          </cell>
          <cell r="I1293" t="str">
            <v>S2222ZAA</v>
          </cell>
        </row>
        <row r="1294">
          <cell r="A1294" t="str">
            <v>S0038</v>
          </cell>
          <cell r="B1294" t="str">
            <v>SANTA FE</v>
          </cell>
          <cell r="C1294" t="str">
            <v>LAS COLONIAS</v>
          </cell>
          <cell r="D1294" t="str">
            <v>ELISA</v>
          </cell>
          <cell r="E1294" t="str">
            <v>CORRIENTES</v>
          </cell>
          <cell r="F1294">
            <v>399</v>
          </cell>
          <cell r="H1294" t="str">
            <v>ELISA</v>
          </cell>
          <cell r="I1294" t="str">
            <v>S3029ZAA</v>
          </cell>
        </row>
        <row r="1295">
          <cell r="A1295" t="str">
            <v>S0042</v>
          </cell>
          <cell r="B1295" t="str">
            <v>SANTA FE</v>
          </cell>
          <cell r="C1295" t="str">
            <v>LAS COLONIAS</v>
          </cell>
          <cell r="D1295" t="str">
            <v>ESPERANZA</v>
          </cell>
          <cell r="E1295" t="str">
            <v>GRAL SAN MARTIN</v>
          </cell>
          <cell r="F1295">
            <v>1231</v>
          </cell>
          <cell r="H1295" t="str">
            <v>ESPERANZA</v>
          </cell>
          <cell r="I1295" t="str">
            <v>S3080ZAA</v>
          </cell>
        </row>
        <row r="1296">
          <cell r="A1296" t="str">
            <v>S0044</v>
          </cell>
          <cell r="B1296" t="str">
            <v>SANTA FE</v>
          </cell>
          <cell r="C1296" t="str">
            <v>SAN MARTIN</v>
          </cell>
          <cell r="D1296" t="str">
            <v>EL TREBOL</v>
          </cell>
          <cell r="E1296" t="str">
            <v>AV AMERICA</v>
          </cell>
          <cell r="F1296">
            <v>1161</v>
          </cell>
          <cell r="H1296" t="str">
            <v>EL TREBOL</v>
          </cell>
          <cell r="I1296" t="str">
            <v>S2535ZAA</v>
          </cell>
        </row>
        <row r="1297">
          <cell r="A1297" t="str">
            <v>S0046</v>
          </cell>
          <cell r="B1297" t="str">
            <v>SANTA FE</v>
          </cell>
          <cell r="C1297" t="str">
            <v>LAS COLONIAS</v>
          </cell>
          <cell r="D1297" t="str">
            <v>FELICIA</v>
          </cell>
          <cell r="E1297" t="str">
            <v>ENRIQUE SENN</v>
          </cell>
          <cell r="F1297">
            <v>204</v>
          </cell>
          <cell r="H1297" t="str">
            <v>FELICIA</v>
          </cell>
          <cell r="I1297" t="str">
            <v>S3087ZAA</v>
          </cell>
        </row>
        <row r="1298">
          <cell r="A1298" t="str">
            <v>S0048</v>
          </cell>
          <cell r="B1298" t="str">
            <v>SANTA FE</v>
          </cell>
          <cell r="C1298" t="str">
            <v>GENERAL OBLIGADO</v>
          </cell>
          <cell r="D1298" t="str">
            <v>FLORENCIA</v>
          </cell>
          <cell r="E1298" t="str">
            <v>SAN MARTIN</v>
          </cell>
          <cell r="F1298">
            <v>655</v>
          </cell>
          <cell r="H1298" t="str">
            <v>FLORENCIA</v>
          </cell>
          <cell r="I1298" t="str">
            <v>S3516ZAA</v>
          </cell>
        </row>
        <row r="1299">
          <cell r="A1299" t="str">
            <v>S0050</v>
          </cell>
          <cell r="B1299" t="str">
            <v>SANTA FE</v>
          </cell>
          <cell r="C1299" t="str">
            <v>LAS COLONIAS</v>
          </cell>
          <cell r="D1299" t="str">
            <v>FRANCK</v>
          </cell>
          <cell r="E1299" t="str">
            <v>JUAN B ALBERDI</v>
          </cell>
          <cell r="F1299">
            <v>1983</v>
          </cell>
          <cell r="H1299" t="str">
            <v>FRANCK</v>
          </cell>
          <cell r="I1299" t="str">
            <v>S3009ZAA</v>
          </cell>
        </row>
        <row r="1300">
          <cell r="A1300" t="str">
            <v>S0052</v>
          </cell>
          <cell r="B1300" t="str">
            <v>SANTA FE</v>
          </cell>
          <cell r="C1300" t="str">
            <v>CASTELLANOS</v>
          </cell>
          <cell r="D1300" t="str">
            <v>FRONTERA</v>
          </cell>
          <cell r="E1300" t="str">
            <v>CALLE 90</v>
          </cell>
          <cell r="F1300">
            <v>100</v>
          </cell>
          <cell r="H1300" t="str">
            <v>FRONTERA</v>
          </cell>
          <cell r="I1300" t="str">
            <v>S2438ZAA</v>
          </cell>
        </row>
        <row r="1301">
          <cell r="A1301" t="str">
            <v>S0056</v>
          </cell>
          <cell r="B1301" t="str">
            <v>SANTA FE</v>
          </cell>
          <cell r="C1301" t="str">
            <v>SAN JERONIMO</v>
          </cell>
          <cell r="D1301" t="str">
            <v>GALVEZ</v>
          </cell>
          <cell r="E1301" t="str">
            <v>MANUEL BELGRANO</v>
          </cell>
          <cell r="F1301">
            <v>735</v>
          </cell>
          <cell r="H1301" t="str">
            <v>GALVEZ</v>
          </cell>
          <cell r="I1301" t="str">
            <v>S2252ZAA</v>
          </cell>
        </row>
        <row r="1302">
          <cell r="A1302" t="str">
            <v>S0058</v>
          </cell>
          <cell r="B1302" t="str">
            <v>SANTA FE</v>
          </cell>
          <cell r="C1302" t="str">
            <v>SAN JERONIMO</v>
          </cell>
          <cell r="D1302" t="str">
            <v>GESSLER</v>
          </cell>
          <cell r="E1302" t="str">
            <v>MITRE</v>
          </cell>
          <cell r="F1302">
            <v>961</v>
          </cell>
          <cell r="H1302" t="str">
            <v>GESSLER</v>
          </cell>
          <cell r="I1302" t="str">
            <v>S2253ZAA</v>
          </cell>
        </row>
        <row r="1303">
          <cell r="A1303" t="str">
            <v>S0060</v>
          </cell>
          <cell r="B1303" t="str">
            <v>SANTA FE</v>
          </cell>
          <cell r="C1303" t="str">
            <v>SAN JUSTO</v>
          </cell>
          <cell r="D1303" t="str">
            <v>GOBERNADOR CRESPO</v>
          </cell>
          <cell r="E1303" t="str">
            <v>COMBATE DE SAN LORENZO</v>
          </cell>
          <cell r="F1303">
            <v>134</v>
          </cell>
          <cell r="H1303" t="str">
            <v>GDOR. CRESPO</v>
          </cell>
          <cell r="I1303" t="str">
            <v>S3044ZAA</v>
          </cell>
        </row>
        <row r="1304">
          <cell r="A1304" t="str">
            <v>S0062</v>
          </cell>
          <cell r="B1304" t="str">
            <v>SANTA FE</v>
          </cell>
          <cell r="C1304" t="str">
            <v>GARAY</v>
          </cell>
          <cell r="D1304" t="str">
            <v>HELVECIA</v>
          </cell>
          <cell r="E1304" t="str">
            <v>SAN MARTIN</v>
          </cell>
          <cell r="F1304">
            <v>550</v>
          </cell>
          <cell r="H1304" t="str">
            <v>HELVECIA</v>
          </cell>
          <cell r="I1304" t="str">
            <v>S3003ZAA</v>
          </cell>
        </row>
        <row r="1305">
          <cell r="A1305" t="str">
            <v>S0064</v>
          </cell>
          <cell r="B1305" t="str">
            <v>SANTA FE</v>
          </cell>
          <cell r="C1305" t="str">
            <v>SAN CRISTOBAL</v>
          </cell>
          <cell r="D1305" t="str">
            <v>HERSILIA</v>
          </cell>
          <cell r="E1305" t="str">
            <v>BME MITRE</v>
          </cell>
          <cell r="F1305">
            <v>327</v>
          </cell>
          <cell r="H1305" t="str">
            <v>HERSILIA</v>
          </cell>
          <cell r="I1305" t="str">
            <v>S2352ZAA</v>
          </cell>
        </row>
        <row r="1306">
          <cell r="A1306" t="str">
            <v>S0068</v>
          </cell>
          <cell r="B1306" t="str">
            <v>SANTA FE</v>
          </cell>
          <cell r="C1306" t="str">
            <v>CASTELLANOS</v>
          </cell>
          <cell r="D1306" t="str">
            <v>HUMBERTO PRIMERO</v>
          </cell>
          <cell r="E1306" t="str">
            <v>B RIVADAVIA</v>
          </cell>
          <cell r="F1306">
            <v>157</v>
          </cell>
          <cell r="H1306" t="str">
            <v>HUMBERTO PRIMO</v>
          </cell>
          <cell r="I1306" t="str">
            <v>S2309ZAA</v>
          </cell>
        </row>
        <row r="1307">
          <cell r="A1307" t="str">
            <v>S0070</v>
          </cell>
          <cell r="B1307" t="str">
            <v>SANTA FE</v>
          </cell>
          <cell r="C1307" t="str">
            <v>LAS COLONIAS</v>
          </cell>
          <cell r="D1307" t="str">
            <v>HUMBOLDT</v>
          </cell>
          <cell r="E1307" t="str">
            <v>AV GRAL SAN MARTIN</v>
          </cell>
          <cell r="F1307">
            <v>1636</v>
          </cell>
          <cell r="H1307" t="str">
            <v>HUMBOLDT</v>
          </cell>
          <cell r="I1307" t="str">
            <v>S3081ZAA</v>
          </cell>
        </row>
        <row r="1308">
          <cell r="A1308" t="str">
            <v>S0072</v>
          </cell>
          <cell r="B1308" t="str">
            <v>SANTA FE</v>
          </cell>
          <cell r="C1308" t="str">
            <v>SAN JERONIMO</v>
          </cell>
          <cell r="D1308" t="str">
            <v>IRIGOYEN</v>
          </cell>
          <cell r="E1308" t="str">
            <v>GRAL M BELGRANO</v>
          </cell>
          <cell r="F1308">
            <v>560</v>
          </cell>
          <cell r="H1308" t="str">
            <v>IRIGOYEN</v>
          </cell>
          <cell r="I1308" t="str">
            <v>S2249ZAA</v>
          </cell>
        </row>
        <row r="1309">
          <cell r="A1309" t="str">
            <v>S0074</v>
          </cell>
          <cell r="B1309" t="str">
            <v>SANTA FE</v>
          </cell>
          <cell r="C1309" t="str">
            <v>SAN MARTIN</v>
          </cell>
          <cell r="D1309" t="str">
            <v>LANDETA</v>
          </cell>
          <cell r="E1309" t="str">
            <v>MANUEL BELGRANO</v>
          </cell>
          <cell r="F1309">
            <v>180</v>
          </cell>
          <cell r="H1309" t="str">
            <v>LANDETA</v>
          </cell>
          <cell r="I1309" t="str">
            <v>S2531ZAA</v>
          </cell>
        </row>
        <row r="1310">
          <cell r="A1310" t="str">
            <v>S0076</v>
          </cell>
          <cell r="B1310" t="str">
            <v>SANTA FE</v>
          </cell>
          <cell r="C1310" t="str">
            <v>SAN JUSTO</v>
          </cell>
          <cell r="D1310" t="str">
            <v>LA CRIOLLA</v>
          </cell>
          <cell r="E1310" t="str">
            <v>9 DE JULIO</v>
          </cell>
          <cell r="F1310">
            <v>304</v>
          </cell>
          <cell r="H1310" t="str">
            <v>LA CRIOLLA</v>
          </cell>
          <cell r="I1310" t="str">
            <v>S3052ZAA</v>
          </cell>
        </row>
        <row r="1311">
          <cell r="A1311" t="str">
            <v>S0078</v>
          </cell>
          <cell r="B1311" t="str">
            <v>SANTA FE</v>
          </cell>
          <cell r="C1311" t="str">
            <v>VERA</v>
          </cell>
          <cell r="D1311" t="str">
            <v>LA GALLARETA</v>
          </cell>
          <cell r="E1311" t="str">
            <v>GRAL M BELGRANO</v>
          </cell>
          <cell r="F1311">
            <v>100</v>
          </cell>
          <cell r="H1311" t="str">
            <v>LA GALLARETA</v>
          </cell>
          <cell r="I1311" t="str">
            <v>S3057ZAA</v>
          </cell>
        </row>
        <row r="1312">
          <cell r="A1312" t="str">
            <v>S0082</v>
          </cell>
          <cell r="B1312" t="str">
            <v>SANTA FE</v>
          </cell>
          <cell r="C1312" t="str">
            <v>LA CAPITAL</v>
          </cell>
          <cell r="D1312" t="str">
            <v>LAGUNA PAIVA</v>
          </cell>
          <cell r="E1312" t="str">
            <v>1 DE MAYO</v>
          </cell>
          <cell r="F1312">
            <v>1198</v>
          </cell>
          <cell r="H1312" t="str">
            <v>LAGUNA PAIVA</v>
          </cell>
          <cell r="I1312" t="str">
            <v>S3020ZAA</v>
          </cell>
        </row>
        <row r="1313">
          <cell r="A1313" t="str">
            <v>S0084</v>
          </cell>
          <cell r="B1313" t="str">
            <v>SANTA FE</v>
          </cell>
          <cell r="C1313" t="str">
            <v>GENERAL OBLIGADO</v>
          </cell>
          <cell r="D1313" t="str">
            <v>LAS TOSCAS</v>
          </cell>
          <cell r="E1313" t="str">
            <v>CALLE 10</v>
          </cell>
          <cell r="F1313">
            <v>834</v>
          </cell>
          <cell r="H1313" t="str">
            <v>LAS TOSCAS</v>
          </cell>
          <cell r="I1313" t="str">
            <v>S3586ZAA</v>
          </cell>
        </row>
        <row r="1314">
          <cell r="A1314" t="str">
            <v>S0086</v>
          </cell>
          <cell r="B1314" t="str">
            <v>SANTA FE</v>
          </cell>
          <cell r="C1314" t="str">
            <v>CASTELLANOS</v>
          </cell>
          <cell r="D1314" t="str">
            <v>LEHMANN</v>
          </cell>
          <cell r="E1314" t="str">
            <v>9 DE JULIO</v>
          </cell>
          <cell r="F1314">
            <v>1</v>
          </cell>
          <cell r="H1314" t="str">
            <v>LEHMANN</v>
          </cell>
          <cell r="I1314" t="str">
            <v>S2305ZAA</v>
          </cell>
        </row>
        <row r="1315">
          <cell r="A1315" t="str">
            <v>S0088</v>
          </cell>
          <cell r="B1315" t="str">
            <v>SANTA FE</v>
          </cell>
          <cell r="C1315" t="str">
            <v>LA CAPITAL</v>
          </cell>
          <cell r="D1315" t="str">
            <v>LLAMBI CAMPBELL</v>
          </cell>
          <cell r="E1315" t="str">
            <v>GRAL J J DE URQUIZA</v>
          </cell>
          <cell r="F1315">
            <v>307</v>
          </cell>
          <cell r="H1315" t="str">
            <v>LLAMBI CAMPBELL</v>
          </cell>
          <cell r="I1315" t="str">
            <v>S3036ZAA</v>
          </cell>
        </row>
        <row r="1316">
          <cell r="A1316" t="str">
            <v>S0090</v>
          </cell>
          <cell r="B1316" t="str">
            <v>SANTA FE</v>
          </cell>
          <cell r="C1316" t="str">
            <v>SAN JERONIMO</v>
          </cell>
          <cell r="D1316" t="str">
            <v>LOPEZ</v>
          </cell>
          <cell r="E1316" t="str">
            <v>CORRIENTES</v>
          </cell>
          <cell r="F1316">
            <v>1454</v>
          </cell>
          <cell r="H1316" t="str">
            <v>LOPEZ</v>
          </cell>
          <cell r="I1316" t="str">
            <v>S2255ZAA</v>
          </cell>
        </row>
        <row r="1317">
          <cell r="A1317" t="str">
            <v>S0092</v>
          </cell>
          <cell r="B1317" t="str">
            <v>SANTA FE</v>
          </cell>
          <cell r="C1317" t="str">
            <v>SAN MARTIN</v>
          </cell>
          <cell r="D1317" t="str">
            <v>LAS PETACAS</v>
          </cell>
          <cell r="E1317" t="str">
            <v>CALLE 9</v>
          </cell>
          <cell r="F1317">
            <v>360</v>
          </cell>
          <cell r="H1317" t="str">
            <v>LAS PETACAS</v>
          </cell>
          <cell r="I1317" t="str">
            <v>S2451ZAA</v>
          </cell>
        </row>
        <row r="1318">
          <cell r="A1318" t="str">
            <v>S0094</v>
          </cell>
          <cell r="B1318" t="str">
            <v>SANTA FE</v>
          </cell>
          <cell r="C1318" t="str">
            <v>SAN MARTIN</v>
          </cell>
          <cell r="D1318" t="str">
            <v>LOS CARDOS</v>
          </cell>
          <cell r="E1318" t="str">
            <v>ESTANISLAO LOPEZ</v>
          </cell>
          <cell r="F1318">
            <v>420</v>
          </cell>
          <cell r="H1318" t="str">
            <v>LOS CARDOS</v>
          </cell>
          <cell r="I1318" t="str">
            <v>S2533ZAA</v>
          </cell>
        </row>
        <row r="1319">
          <cell r="A1319" t="str">
            <v>S0096</v>
          </cell>
          <cell r="B1319" t="str">
            <v>SANTA FE</v>
          </cell>
          <cell r="C1319" t="str">
            <v>SAN JERONIMO</v>
          </cell>
          <cell r="D1319" t="str">
            <v>MACIEL</v>
          </cell>
          <cell r="E1319" t="str">
            <v>SAN JUAN</v>
          </cell>
          <cell r="F1319">
            <v>762</v>
          </cell>
          <cell r="H1319" t="str">
            <v>MACIEL</v>
          </cell>
          <cell r="I1319" t="str">
            <v>S2209ZAA</v>
          </cell>
        </row>
        <row r="1320">
          <cell r="A1320" t="str">
            <v>S0098</v>
          </cell>
          <cell r="B1320" t="str">
            <v>SANTA FE</v>
          </cell>
          <cell r="C1320" t="str">
            <v>GENERAL OBLIGADO</v>
          </cell>
          <cell r="D1320" t="str">
            <v>MALABRIGO</v>
          </cell>
          <cell r="E1320" t="str">
            <v>AV FEDERICO CARLOS SIGEL</v>
          </cell>
          <cell r="F1320">
            <v>902</v>
          </cell>
          <cell r="H1320" t="str">
            <v>MALABRIGO</v>
          </cell>
          <cell r="I1320" t="str">
            <v>S3572ZAA</v>
          </cell>
        </row>
        <row r="1321">
          <cell r="A1321" t="str">
            <v>S0100</v>
          </cell>
          <cell r="B1321" t="str">
            <v>SANTA FE</v>
          </cell>
          <cell r="C1321" t="str">
            <v>SAN JUSTO</v>
          </cell>
          <cell r="D1321" t="str">
            <v>MARCELINO ESCALADA</v>
          </cell>
          <cell r="E1321" t="str">
            <v>R NAC 11</v>
          </cell>
          <cell r="F1321">
            <v>396</v>
          </cell>
          <cell r="H1321" t="str">
            <v>MARCELINO ESCALADA</v>
          </cell>
          <cell r="I1321" t="str">
            <v>S3042ZAA</v>
          </cell>
        </row>
        <row r="1322">
          <cell r="A1322" t="str">
            <v>S0102</v>
          </cell>
          <cell r="B1322" t="str">
            <v>SANTA FE</v>
          </cell>
          <cell r="C1322" t="str">
            <v>VERA</v>
          </cell>
          <cell r="D1322" t="str">
            <v>MARGARITA</v>
          </cell>
          <cell r="E1322" t="str">
            <v>MANUEL BELGRANO</v>
          </cell>
          <cell r="F1322">
            <v>0</v>
          </cell>
          <cell r="H1322" t="str">
            <v>MARGARITA</v>
          </cell>
          <cell r="I1322" t="str">
            <v>S3056ZAA</v>
          </cell>
        </row>
        <row r="1323">
          <cell r="A1323" t="str">
            <v>S0104</v>
          </cell>
          <cell r="B1323" t="str">
            <v>SANTA FE</v>
          </cell>
          <cell r="C1323" t="str">
            <v>CASTELLANOS</v>
          </cell>
          <cell r="D1323" t="str">
            <v>MARIA JUANA</v>
          </cell>
          <cell r="E1323" t="str">
            <v>SANTA FE</v>
          </cell>
          <cell r="F1323">
            <v>247</v>
          </cell>
          <cell r="H1323" t="str">
            <v>MARIA JUANA</v>
          </cell>
          <cell r="I1323" t="str">
            <v>S2445ZAA</v>
          </cell>
        </row>
        <row r="1324">
          <cell r="A1324" t="str">
            <v>S0106</v>
          </cell>
          <cell r="B1324" t="str">
            <v>SANTA FE</v>
          </cell>
          <cell r="C1324" t="str">
            <v>SAN CRISTOBAL</v>
          </cell>
          <cell r="D1324" t="str">
            <v>MOISES VILLE</v>
          </cell>
          <cell r="E1324" t="str">
            <v>9 DE JULIO</v>
          </cell>
          <cell r="F1324">
            <v>162</v>
          </cell>
          <cell r="H1324" t="str">
            <v>MOISES VILLE</v>
          </cell>
          <cell r="I1324" t="str">
            <v>S2313ZAA</v>
          </cell>
        </row>
        <row r="1325">
          <cell r="A1325" t="str">
            <v>S0108</v>
          </cell>
          <cell r="B1325" t="str">
            <v>SANTA FE</v>
          </cell>
          <cell r="C1325" t="str">
            <v>SAN MARTIN</v>
          </cell>
          <cell r="D1325" t="str">
            <v>MARIA SUSANA</v>
          </cell>
          <cell r="E1325" t="str">
            <v>CRISTOBAL COLON</v>
          </cell>
          <cell r="F1325">
            <v>897</v>
          </cell>
          <cell r="H1325" t="str">
            <v>MARIA SUSANA</v>
          </cell>
          <cell r="I1325" t="str">
            <v>S2527ZAA</v>
          </cell>
        </row>
        <row r="1326">
          <cell r="A1326" t="str">
            <v>S0110</v>
          </cell>
          <cell r="B1326" t="str">
            <v>SANTA FE</v>
          </cell>
          <cell r="C1326" t="str">
            <v>SAN JERONIMO</v>
          </cell>
          <cell r="D1326" t="str">
            <v>MONJE</v>
          </cell>
          <cell r="E1326" t="str">
            <v>PTE H YRIGOYEN</v>
          </cell>
          <cell r="F1326">
            <v>428</v>
          </cell>
          <cell r="H1326" t="str">
            <v>MONJE</v>
          </cell>
          <cell r="I1326" t="str">
            <v>S2212ZAA</v>
          </cell>
        </row>
        <row r="1327">
          <cell r="A1327" t="str">
            <v>S0112</v>
          </cell>
          <cell r="B1327" t="str">
            <v>SANTA FE</v>
          </cell>
          <cell r="C1327" t="str">
            <v>LA CAPITAL</v>
          </cell>
          <cell r="D1327" t="str">
            <v>NELSON</v>
          </cell>
          <cell r="E1327" t="str">
            <v>SARMIENTO</v>
          </cell>
          <cell r="F1327">
            <v>396</v>
          </cell>
          <cell r="H1327" t="str">
            <v>NELSON</v>
          </cell>
          <cell r="I1327" t="str">
            <v>S3032ZAA</v>
          </cell>
        </row>
        <row r="1328">
          <cell r="A1328" t="str">
            <v>S0114</v>
          </cell>
          <cell r="B1328" t="str">
            <v>SANTA FE</v>
          </cell>
          <cell r="C1328" t="str">
            <v>SAN MARTIN</v>
          </cell>
          <cell r="D1328" t="str">
            <v>PIAMONTE</v>
          </cell>
          <cell r="E1328" t="str">
            <v>COLON</v>
          </cell>
          <cell r="F1328">
            <v>1007</v>
          </cell>
          <cell r="H1328" t="str">
            <v>PIAMONTE</v>
          </cell>
          <cell r="I1328" t="str">
            <v>S2529ZAA</v>
          </cell>
        </row>
        <row r="1329">
          <cell r="A1329" t="str">
            <v>S0116</v>
          </cell>
          <cell r="B1329" t="str">
            <v>SANTA FE</v>
          </cell>
          <cell r="C1329" t="str">
            <v>LAS COLONIAS</v>
          </cell>
          <cell r="D1329" t="str">
            <v>PILAR</v>
          </cell>
          <cell r="E1329" t="str">
            <v>25 DE MAYO</v>
          </cell>
          <cell r="F1329">
            <v>1552</v>
          </cell>
          <cell r="H1329" t="str">
            <v>PILAR</v>
          </cell>
          <cell r="I1329" t="str">
            <v>S3085ZAA</v>
          </cell>
        </row>
        <row r="1330">
          <cell r="A1330" t="str">
            <v>S0118</v>
          </cell>
          <cell r="B1330" t="str">
            <v>SANTA FE</v>
          </cell>
          <cell r="C1330" t="str">
            <v>LAS COLONIAS</v>
          </cell>
          <cell r="D1330" t="str">
            <v>PROGRESO</v>
          </cell>
          <cell r="E1330" t="str">
            <v>JOSE MANUEL ESTRADA</v>
          </cell>
          <cell r="F1330">
            <v>0</v>
          </cell>
          <cell r="H1330" t="str">
            <v>PROGRESO</v>
          </cell>
          <cell r="I1330" t="str">
            <v>S3023ZAA</v>
          </cell>
        </row>
        <row r="1331">
          <cell r="A1331" t="str">
            <v>S0122</v>
          </cell>
          <cell r="B1331" t="str">
            <v>SANTA FE</v>
          </cell>
          <cell r="C1331" t="str">
            <v>CASTELLANOS</v>
          </cell>
          <cell r="D1331" t="str">
            <v>RAMONA</v>
          </cell>
          <cell r="E1331" t="str">
            <v>MORENO</v>
          </cell>
          <cell r="F1331">
            <v>50</v>
          </cell>
          <cell r="H1331" t="str">
            <v>PUEBLO RAMONA</v>
          </cell>
          <cell r="I1331" t="str">
            <v>S2301ZAA</v>
          </cell>
        </row>
        <row r="1332">
          <cell r="A1332" t="str">
            <v>S0124</v>
          </cell>
          <cell r="B1332" t="str">
            <v>SANTA FE</v>
          </cell>
          <cell r="C1332" t="str">
            <v>LA CAPITAL</v>
          </cell>
          <cell r="D1332" t="str">
            <v>RECREO</v>
          </cell>
          <cell r="E1332" t="str">
            <v>ALFONSINA STORNI</v>
          </cell>
          <cell r="F1332">
            <v>1155</v>
          </cell>
          <cell r="H1332" t="str">
            <v>RECREO</v>
          </cell>
          <cell r="I1332" t="str">
            <v>S3018ZAA</v>
          </cell>
        </row>
        <row r="1333">
          <cell r="A1333" t="str">
            <v>S0126</v>
          </cell>
          <cell r="B1333" t="str">
            <v>SANTA FE</v>
          </cell>
          <cell r="C1333" t="str">
            <v>CASTELLANOS</v>
          </cell>
          <cell r="D1333" t="str">
            <v>RAFAELA</v>
          </cell>
          <cell r="E1333" t="str">
            <v>DR MARIANO MORENO</v>
          </cell>
          <cell r="F1333">
            <v>104</v>
          </cell>
          <cell r="H1333" t="str">
            <v>RAFAELA</v>
          </cell>
          <cell r="I1333" t="str">
            <v>S2300ZAA</v>
          </cell>
        </row>
        <row r="1334">
          <cell r="A1334" t="str">
            <v>S0128</v>
          </cell>
          <cell r="B1334" t="str">
            <v>SANTA FE</v>
          </cell>
          <cell r="C1334" t="str">
            <v>GENERAL OBLIGADO</v>
          </cell>
          <cell r="D1334" t="str">
            <v>RECONQUISTA</v>
          </cell>
          <cell r="E1334" t="str">
            <v>9 DE JULIO</v>
          </cell>
          <cell r="F1334">
            <v>745</v>
          </cell>
          <cell r="H1334" t="str">
            <v>RECONQUISTA</v>
          </cell>
          <cell r="I1334" t="str">
            <v>S3560ZAA</v>
          </cell>
        </row>
        <row r="1335">
          <cell r="A1335" t="str">
            <v>S0130</v>
          </cell>
          <cell r="B1335" t="str">
            <v>SANTA FE</v>
          </cell>
          <cell r="C1335" t="str">
            <v>SAN JAVIER</v>
          </cell>
          <cell r="D1335" t="str">
            <v>ROMANG</v>
          </cell>
          <cell r="E1335" t="str">
            <v>CRISTIAN RAMSEYER</v>
          </cell>
          <cell r="F1335">
            <v>996</v>
          </cell>
          <cell r="H1335" t="str">
            <v>ROMANG</v>
          </cell>
          <cell r="I1335" t="str">
            <v>S3555ZAA</v>
          </cell>
        </row>
        <row r="1336">
          <cell r="A1336" t="str">
            <v>S0132</v>
          </cell>
          <cell r="B1336" t="str">
            <v>SANTA FE</v>
          </cell>
          <cell r="C1336" t="str">
            <v>LAS COLONIAS</v>
          </cell>
          <cell r="D1336" t="str">
            <v>SA PEREYRA</v>
          </cell>
          <cell r="E1336" t="str">
            <v>25 DE MAYO</v>
          </cell>
          <cell r="F1336">
            <v>163</v>
          </cell>
          <cell r="H1336" t="str">
            <v>SA PEREIRA</v>
          </cell>
          <cell r="I1336" t="str">
            <v>S3011ZAA</v>
          </cell>
        </row>
        <row r="1337">
          <cell r="A1337" t="str">
            <v>S0134</v>
          </cell>
          <cell r="B1337" t="str">
            <v>SANTA FE</v>
          </cell>
          <cell r="C1337" t="str">
            <v>LAS COLONIAS</v>
          </cell>
          <cell r="D1337" t="str">
            <v>SAN CARLOS CENTRO</v>
          </cell>
          <cell r="E1337" t="str">
            <v>AV GRAL M BELGRANO</v>
          </cell>
          <cell r="F1337">
            <v>550</v>
          </cell>
          <cell r="H1337" t="str">
            <v>SAN CARLOS CENTRO</v>
          </cell>
          <cell r="I1337" t="str">
            <v>S3013ZAA</v>
          </cell>
        </row>
        <row r="1338">
          <cell r="A1338" t="str">
            <v>S0136</v>
          </cell>
          <cell r="B1338" t="str">
            <v>SANTA FE</v>
          </cell>
          <cell r="C1338" t="str">
            <v>LAS COLONIAS</v>
          </cell>
          <cell r="D1338" t="str">
            <v>SAN CARLOS SUD</v>
          </cell>
          <cell r="E1338" t="str">
            <v>JUAN DE GARAY</v>
          </cell>
          <cell r="F1338">
            <v>624</v>
          </cell>
          <cell r="H1338" t="str">
            <v>SAN CARLOS SUD</v>
          </cell>
          <cell r="I1338" t="str">
            <v>S3017ZAA</v>
          </cell>
        </row>
        <row r="1339">
          <cell r="A1339" t="str">
            <v>S0138</v>
          </cell>
          <cell r="B1339" t="str">
            <v>SANTA FE</v>
          </cell>
          <cell r="C1339" t="str">
            <v>SAN CRISTOBAL</v>
          </cell>
          <cell r="D1339" t="str">
            <v>SAN CRISTOBAL</v>
          </cell>
          <cell r="E1339" t="str">
            <v>PRINGLES</v>
          </cell>
          <cell r="F1339">
            <v>915</v>
          </cell>
          <cell r="H1339" t="str">
            <v>SAN CRISTOBAL</v>
          </cell>
          <cell r="I1339" t="str">
            <v>S3070ZAA</v>
          </cell>
        </row>
        <row r="1340">
          <cell r="A1340" t="str">
            <v>S0140</v>
          </cell>
          <cell r="B1340" t="str">
            <v>SANTA FE</v>
          </cell>
          <cell r="C1340" t="str">
            <v>BELGRANO</v>
          </cell>
          <cell r="D1340" t="str">
            <v>SAN GUILLERMO</v>
          </cell>
          <cell r="E1340" t="str">
            <v>B. RIVADAVIA Y MORENO</v>
          </cell>
          <cell r="H1340" t="str">
            <v>SAN GUILLERMO</v>
          </cell>
          <cell r="I1340" t="str">
            <v>S2347ZAA</v>
          </cell>
        </row>
        <row r="1341">
          <cell r="A1341" t="str">
            <v>S0142</v>
          </cell>
          <cell r="B1341" t="str">
            <v>SANTA FE</v>
          </cell>
          <cell r="C1341" t="str">
            <v>SAN JAVIER</v>
          </cell>
          <cell r="D1341" t="str">
            <v>SAN JAVIER</v>
          </cell>
          <cell r="E1341" t="str">
            <v>SAN MARTIN</v>
          </cell>
          <cell r="F1341">
            <v>1839</v>
          </cell>
          <cell r="H1341" t="str">
            <v>SAN JAVIER</v>
          </cell>
          <cell r="I1341" t="str">
            <v>S3005ZAA</v>
          </cell>
        </row>
        <row r="1342">
          <cell r="A1342" t="str">
            <v>S0144</v>
          </cell>
          <cell r="B1342" t="str">
            <v>SANTA FE</v>
          </cell>
          <cell r="C1342" t="str">
            <v>LAS COLONIAS</v>
          </cell>
          <cell r="D1342" t="str">
            <v>SAN JERONIMO NORTE</v>
          </cell>
          <cell r="E1342" t="str">
            <v>SARMIENTO</v>
          </cell>
          <cell r="F1342">
            <v>577</v>
          </cell>
          <cell r="H1342" t="str">
            <v>SAN JERONIMO NORTE</v>
          </cell>
          <cell r="I1342" t="str">
            <v>S3015ZAA</v>
          </cell>
        </row>
        <row r="1343">
          <cell r="A1343" t="str">
            <v>S0146</v>
          </cell>
          <cell r="B1343" t="str">
            <v>SANTA FE</v>
          </cell>
          <cell r="C1343" t="str">
            <v>SAN MARTIN</v>
          </cell>
          <cell r="D1343" t="str">
            <v>SAN JORGE</v>
          </cell>
          <cell r="E1343" t="str">
            <v>AV JUAN B ALBERDI</v>
          </cell>
          <cell r="F1343">
            <v>1298</v>
          </cell>
          <cell r="H1343" t="str">
            <v>SAN JORGE</v>
          </cell>
          <cell r="I1343" t="str">
            <v>S2452ZAA</v>
          </cell>
        </row>
        <row r="1344">
          <cell r="A1344" t="str">
            <v>S0148</v>
          </cell>
          <cell r="B1344" t="str">
            <v>SANTA FE</v>
          </cell>
          <cell r="C1344" t="str">
            <v>LA CAPITAL</v>
          </cell>
          <cell r="D1344" t="str">
            <v>SAN JOSE DEL RINCON</v>
          </cell>
          <cell r="E1344" t="str">
            <v>GREGORIO GAMBOA</v>
          </cell>
          <cell r="F1344">
            <v>1401</v>
          </cell>
          <cell r="H1344" t="str">
            <v>SAN JOSE DEL RINCON</v>
          </cell>
          <cell r="I1344" t="str">
            <v>S3089ZAA</v>
          </cell>
        </row>
        <row r="1345">
          <cell r="A1345" t="str">
            <v>S0150</v>
          </cell>
          <cell r="B1345" t="str">
            <v>SANTA FE</v>
          </cell>
          <cell r="C1345" t="str">
            <v>SAN JUSTO</v>
          </cell>
          <cell r="D1345" t="str">
            <v>SAN JUSTO</v>
          </cell>
          <cell r="E1345" t="str">
            <v>GDOR CABAL</v>
          </cell>
          <cell r="F1345">
            <v>2340</v>
          </cell>
          <cell r="H1345" t="str">
            <v>SAN JUSTO</v>
          </cell>
          <cell r="I1345" t="str">
            <v>S3040ZAA</v>
          </cell>
        </row>
        <row r="1346">
          <cell r="A1346" t="str">
            <v>S0152</v>
          </cell>
          <cell r="B1346" t="str">
            <v>SANTA FE</v>
          </cell>
          <cell r="C1346" t="str">
            <v>SAN MARTIN</v>
          </cell>
          <cell r="D1346" t="str">
            <v>SAN MARTIN DE LAS ESCOBAS</v>
          </cell>
          <cell r="E1346" t="str">
            <v>MIGUEL RIBETTI</v>
          </cell>
          <cell r="F1346">
            <v>785</v>
          </cell>
          <cell r="H1346" t="str">
            <v>SAN MARTIN DE LAS ESCOBAS</v>
          </cell>
          <cell r="I1346" t="str">
            <v>S2449ZAA</v>
          </cell>
        </row>
        <row r="1347">
          <cell r="A1347" t="str">
            <v>S0154</v>
          </cell>
          <cell r="B1347" t="str">
            <v>SANTA FE</v>
          </cell>
          <cell r="C1347" t="str">
            <v>CASTELLANOS</v>
          </cell>
          <cell r="D1347" t="str">
            <v>SAN VICENTE</v>
          </cell>
          <cell r="E1347" t="str">
            <v>SGTO CABRAL</v>
          </cell>
          <cell r="F1347">
            <v>144</v>
          </cell>
          <cell r="H1347" t="str">
            <v>SAN VICENTE</v>
          </cell>
          <cell r="I1347" t="str">
            <v>S2447ZAA</v>
          </cell>
        </row>
        <row r="1348">
          <cell r="A1348" t="str">
            <v>S0156</v>
          </cell>
          <cell r="B1348" t="str">
            <v>SANTA FE</v>
          </cell>
          <cell r="C1348" t="str">
            <v>LAS COLONIAS</v>
          </cell>
          <cell r="D1348" t="str">
            <v>SANTA CLARA DE BUENA VISTA</v>
          </cell>
          <cell r="E1348" t="str">
            <v>AV CNEL C RISSO PATRON</v>
          </cell>
          <cell r="F1348">
            <v>645</v>
          </cell>
          <cell r="H1348" t="str">
            <v>SANTA CLARA DE LA BUENA VISTA</v>
          </cell>
          <cell r="I1348" t="str">
            <v>S2258ZAA</v>
          </cell>
        </row>
        <row r="1349">
          <cell r="A1349" t="str">
            <v>S0158</v>
          </cell>
          <cell r="B1349" t="str">
            <v>SANTA FE</v>
          </cell>
          <cell r="C1349" t="str">
            <v>CASTELLANOS</v>
          </cell>
          <cell r="D1349" t="str">
            <v>SANTA CLARA DE SAGUIER</v>
          </cell>
          <cell r="E1349" t="str">
            <v>SANTA CLARA DE ASIS</v>
          </cell>
          <cell r="F1349">
            <v>88</v>
          </cell>
          <cell r="H1349" t="str">
            <v>SANTA CLARA DE SAGUIER</v>
          </cell>
          <cell r="I1349" t="str">
            <v>S2405ZAA</v>
          </cell>
        </row>
        <row r="1350">
          <cell r="A1350" t="str">
            <v>S0176</v>
          </cell>
          <cell r="B1350" t="str">
            <v>SANTA FE</v>
          </cell>
          <cell r="C1350" t="str">
            <v>GARAY</v>
          </cell>
          <cell r="D1350" t="str">
            <v>SANTA ROSA DE CALCHINES</v>
          </cell>
          <cell r="E1350" t="str">
            <v>JUAN DE GARAY</v>
          </cell>
          <cell r="F1350">
            <v>331</v>
          </cell>
          <cell r="H1350" t="str">
            <v>SANTA ROSA</v>
          </cell>
          <cell r="I1350" t="str">
            <v>S3022ZAA</v>
          </cell>
        </row>
        <row r="1351">
          <cell r="A1351" t="str">
            <v>S0178</v>
          </cell>
          <cell r="B1351" t="str">
            <v>SANTA FE</v>
          </cell>
          <cell r="C1351" t="str">
            <v>LA CAPITAL</v>
          </cell>
          <cell r="D1351" t="str">
            <v>SANTO TOME</v>
          </cell>
          <cell r="E1351" t="str">
            <v>ALVEAR</v>
          </cell>
          <cell r="F1351">
            <v>2517</v>
          </cell>
          <cell r="H1351" t="str">
            <v>SANTO TOME</v>
          </cell>
          <cell r="I1351" t="str">
            <v>S3016ZAA</v>
          </cell>
        </row>
        <row r="1352">
          <cell r="A1352" t="str">
            <v>S0180</v>
          </cell>
          <cell r="B1352" t="str">
            <v>SANTA FE</v>
          </cell>
          <cell r="C1352" t="str">
            <v>LAS COLONIAS</v>
          </cell>
          <cell r="D1352" t="str">
            <v>SARMIENTO</v>
          </cell>
          <cell r="E1352" t="str">
            <v>DR MARIANO MORENO</v>
          </cell>
          <cell r="F1352">
            <v>1287</v>
          </cell>
          <cell r="H1352" t="str">
            <v>SARMIENTO</v>
          </cell>
          <cell r="I1352" t="str">
            <v>S3024ZAA</v>
          </cell>
        </row>
        <row r="1353">
          <cell r="A1353" t="str">
            <v>S0182</v>
          </cell>
          <cell r="B1353" t="str">
            <v>SANTA FE</v>
          </cell>
          <cell r="C1353" t="str">
            <v>SAN MARTIN</v>
          </cell>
          <cell r="D1353" t="str">
            <v>SASTRE</v>
          </cell>
          <cell r="E1353" t="str">
            <v>EMILIO DE ORTIZ</v>
          </cell>
          <cell r="F1353">
            <v>1635</v>
          </cell>
          <cell r="H1353" t="str">
            <v>SASTRE</v>
          </cell>
          <cell r="I1353" t="str">
            <v>S2440ZAA</v>
          </cell>
        </row>
        <row r="1354">
          <cell r="A1354" t="str">
            <v>S0184</v>
          </cell>
          <cell r="B1354" t="str">
            <v>SANTA FE</v>
          </cell>
          <cell r="C1354" t="str">
            <v>SAN CRISTOBAL</v>
          </cell>
          <cell r="D1354" t="str">
            <v>SUARDI</v>
          </cell>
          <cell r="E1354" t="str">
            <v>25 DE MAYO</v>
          </cell>
          <cell r="F1354">
            <v>598</v>
          </cell>
          <cell r="H1354" t="str">
            <v>SUARDI</v>
          </cell>
          <cell r="I1354" t="str">
            <v>S2349ZAA</v>
          </cell>
        </row>
        <row r="1355">
          <cell r="A1355" t="str">
            <v>S0186</v>
          </cell>
          <cell r="B1355" t="str">
            <v>SANTA FE</v>
          </cell>
          <cell r="C1355" t="str">
            <v>CASTELLANOS</v>
          </cell>
          <cell r="D1355" t="str">
            <v>SUNCHALES</v>
          </cell>
          <cell r="E1355" t="str">
            <v>AV MANUEL BELGRANO</v>
          </cell>
          <cell r="F1355">
            <v>192</v>
          </cell>
          <cell r="H1355" t="str">
            <v>SUNCHALES</v>
          </cell>
          <cell r="I1355" t="str">
            <v>S2322ZAA</v>
          </cell>
        </row>
        <row r="1356">
          <cell r="A1356" t="str">
            <v>S0188</v>
          </cell>
          <cell r="B1356" t="str">
            <v>SANTA FE</v>
          </cell>
          <cell r="C1356" t="str">
            <v>SAN JERONIMO</v>
          </cell>
          <cell r="D1356" t="str">
            <v>SAN GENARO</v>
          </cell>
          <cell r="E1356" t="str">
            <v>JUAN LAZARTE</v>
          </cell>
          <cell r="F1356">
            <v>1498</v>
          </cell>
          <cell r="H1356" t="str">
            <v>SAN GENARO</v>
          </cell>
          <cell r="I1356" t="str">
            <v>S2146ZAA</v>
          </cell>
        </row>
        <row r="1357">
          <cell r="A1357" t="str">
            <v>S0190</v>
          </cell>
          <cell r="B1357" t="str">
            <v>SANTA FE</v>
          </cell>
          <cell r="C1357" t="str">
            <v>SAN JERONIMO</v>
          </cell>
          <cell r="D1357" t="str">
            <v>SAN GENARO NORTE</v>
          </cell>
          <cell r="E1357" t="str">
            <v>SAN MARTIN</v>
          </cell>
          <cell r="F1357">
            <v>777</v>
          </cell>
          <cell r="H1357" t="str">
            <v>SAN GENARO NORTE</v>
          </cell>
          <cell r="I1357" t="str">
            <v>S2147ZAA</v>
          </cell>
        </row>
        <row r="1358">
          <cell r="A1358" t="str">
            <v>S0192</v>
          </cell>
          <cell r="B1358" t="str">
            <v>SANTA FE</v>
          </cell>
          <cell r="C1358" t="str">
            <v>CASTELLANOS</v>
          </cell>
          <cell r="D1358" t="str">
            <v>TACURAL</v>
          </cell>
          <cell r="E1358" t="str">
            <v>DR MANUEL BELGRANO</v>
          </cell>
          <cell r="F1358">
            <v>512</v>
          </cell>
          <cell r="H1358" t="str">
            <v>TACURAL</v>
          </cell>
          <cell r="I1358" t="str">
            <v>S2324ZAA</v>
          </cell>
        </row>
        <row r="1359">
          <cell r="A1359" t="str">
            <v>S0194</v>
          </cell>
          <cell r="B1359" t="str">
            <v>SANTA FE</v>
          </cell>
          <cell r="C1359" t="str">
            <v>9 DE JULIO</v>
          </cell>
          <cell r="D1359" t="str">
            <v>TOSTADO</v>
          </cell>
          <cell r="E1359" t="str">
            <v>AV B RIVADAVIA</v>
          </cell>
          <cell r="F1359">
            <v>1118</v>
          </cell>
          <cell r="H1359" t="str">
            <v>TOSTADO</v>
          </cell>
          <cell r="I1359" t="str">
            <v>S3060ZAA</v>
          </cell>
        </row>
        <row r="1360">
          <cell r="A1360" t="str">
            <v>S0196</v>
          </cell>
          <cell r="B1360" t="str">
            <v>SANTA FE</v>
          </cell>
          <cell r="C1360" t="str">
            <v>VERA</v>
          </cell>
          <cell r="D1360" t="str">
            <v>VERA</v>
          </cell>
          <cell r="E1360" t="str">
            <v>25 DE MAYO</v>
          </cell>
          <cell r="F1360">
            <v>1905</v>
          </cell>
          <cell r="H1360" t="str">
            <v>VERA</v>
          </cell>
          <cell r="I1360" t="str">
            <v>S3550ZAA</v>
          </cell>
        </row>
        <row r="1361">
          <cell r="A1361" t="str">
            <v>S0198</v>
          </cell>
          <cell r="B1361" t="str">
            <v>SANTA FE</v>
          </cell>
          <cell r="C1361" t="str">
            <v>SAN JUSTO</v>
          </cell>
          <cell r="D1361" t="str">
            <v>VERA Y PINTADO</v>
          </cell>
          <cell r="E1361" t="str">
            <v>MANZANA K P URBANA</v>
          </cell>
          <cell r="H1361" t="str">
            <v>VERA Y PINTADO</v>
          </cell>
          <cell r="I1361" t="str">
            <v>S3054ZAA</v>
          </cell>
        </row>
        <row r="1362">
          <cell r="A1362" t="str">
            <v>S0200</v>
          </cell>
          <cell r="B1362" t="str">
            <v>SANTA FE</v>
          </cell>
          <cell r="C1362" t="str">
            <v>SAN JUSTO</v>
          </cell>
          <cell r="D1362" t="str">
            <v>VIDELA</v>
          </cell>
          <cell r="E1362" t="str">
            <v>20 DE JUNIO</v>
          </cell>
          <cell r="F1362">
            <v>602</v>
          </cell>
          <cell r="H1362" t="str">
            <v>VIDELA</v>
          </cell>
          <cell r="I1362" t="str">
            <v>S3048ZAA</v>
          </cell>
        </row>
        <row r="1363">
          <cell r="A1363" t="str">
            <v>S0202</v>
          </cell>
          <cell r="B1363" t="str">
            <v>SANTA FE</v>
          </cell>
          <cell r="C1363" t="str">
            <v>CASTELLANOS</v>
          </cell>
          <cell r="D1363" t="str">
            <v>VILA</v>
          </cell>
          <cell r="E1363" t="str">
            <v>1 DE MAYO</v>
          </cell>
          <cell r="F1363">
            <v>100</v>
          </cell>
          <cell r="H1363" t="str">
            <v>VILA</v>
          </cell>
          <cell r="I1363" t="str">
            <v>S2306ZAA</v>
          </cell>
        </row>
        <row r="1364">
          <cell r="A1364" t="str">
            <v>S0204</v>
          </cell>
          <cell r="B1364" t="str">
            <v>SANTA FE</v>
          </cell>
          <cell r="C1364" t="str">
            <v>GENERAL OBLIGADO</v>
          </cell>
          <cell r="D1364" t="str">
            <v>VILLA ANA</v>
          </cell>
          <cell r="E1364" t="str">
            <v>AV 25 DE MAYO</v>
          </cell>
          <cell r="F1364">
            <v>200</v>
          </cell>
          <cell r="H1364" t="str">
            <v>VILLA ANA</v>
          </cell>
          <cell r="I1364" t="str">
            <v>S3583ZAA</v>
          </cell>
        </row>
        <row r="1365">
          <cell r="A1365" t="str">
            <v>S0206</v>
          </cell>
          <cell r="B1365" t="str">
            <v>SANTA FE</v>
          </cell>
          <cell r="C1365" t="str">
            <v>GENERAL OBLIGADO</v>
          </cell>
          <cell r="D1365" t="str">
            <v>VILLA GUILLERMINA</v>
          </cell>
          <cell r="E1365" t="str">
            <v>GDOR MANUEL MENCHACA</v>
          </cell>
          <cell r="F1365">
            <v>0</v>
          </cell>
          <cell r="H1365" t="str">
            <v>VILLA GUILLERMINA</v>
          </cell>
          <cell r="I1365" t="str">
            <v>S3589ZAA</v>
          </cell>
        </row>
        <row r="1366">
          <cell r="A1366" t="str">
            <v>S0208</v>
          </cell>
          <cell r="B1366" t="str">
            <v>SANTA FE</v>
          </cell>
          <cell r="C1366" t="str">
            <v>GENERAL OBLIGADO</v>
          </cell>
          <cell r="D1366" t="str">
            <v>VILLA OCAMPO</v>
          </cell>
          <cell r="E1366" t="str">
            <v>MANUEL BELGRANO</v>
          </cell>
          <cell r="F1366">
            <v>1290</v>
          </cell>
          <cell r="H1366" t="str">
            <v>VILLA OCAMPO</v>
          </cell>
          <cell r="I1366" t="str">
            <v>S3580ZAA</v>
          </cell>
        </row>
        <row r="1367">
          <cell r="A1367" t="str">
            <v>S0210</v>
          </cell>
          <cell r="B1367" t="str">
            <v>SANTA FE</v>
          </cell>
          <cell r="C1367" t="str">
            <v>SAN CRISTOBAL</v>
          </cell>
          <cell r="D1367" t="str">
            <v>VILLA TRINIDAD</v>
          </cell>
          <cell r="E1367" t="str">
            <v>SIMON DE IRIONDO</v>
          </cell>
          <cell r="F1367">
            <v>362</v>
          </cell>
          <cell r="H1367" t="str">
            <v>VILLA TRINIDAD</v>
          </cell>
          <cell r="I1367" t="str">
            <v>S2345ZAA</v>
          </cell>
        </row>
        <row r="1368">
          <cell r="A1368" t="str">
            <v>S0212</v>
          </cell>
          <cell r="B1368" t="str">
            <v>SANTA FE</v>
          </cell>
          <cell r="C1368" t="str">
            <v>9 DE JULIO</v>
          </cell>
          <cell r="D1368" t="str">
            <v>VILLA MINETTI</v>
          </cell>
          <cell r="E1368" t="str">
            <v>9 DE JULIO</v>
          </cell>
          <cell r="F1368">
            <v>735</v>
          </cell>
          <cell r="H1368" t="str">
            <v>VILLA MINETTI</v>
          </cell>
          <cell r="I1368" t="str">
            <v>S3061ZAA</v>
          </cell>
        </row>
        <row r="1369">
          <cell r="A1369" t="str">
            <v>S0214</v>
          </cell>
          <cell r="B1369" t="str">
            <v>SANTA FE</v>
          </cell>
          <cell r="C1369" t="str">
            <v>CASTELLANOS</v>
          </cell>
          <cell r="D1369" t="str">
            <v>ZENON PEREYRA</v>
          </cell>
          <cell r="E1369" t="str">
            <v>PTE H YRIGOYEN</v>
          </cell>
          <cell r="F1369">
            <v>755</v>
          </cell>
          <cell r="H1369" t="str">
            <v>ZENON PEREYRA</v>
          </cell>
          <cell r="I1369" t="str">
            <v>S2409ZAA</v>
          </cell>
        </row>
        <row r="1370">
          <cell r="A1370" t="str">
            <v>S0216</v>
          </cell>
          <cell r="B1370" t="str">
            <v>SANTA FE</v>
          </cell>
          <cell r="C1370" t="str">
            <v>LA CAPITAL</v>
          </cell>
          <cell r="D1370" t="str">
            <v>SANTA FE</v>
          </cell>
          <cell r="E1370" t="str">
            <v>LA RIOJA</v>
          </cell>
          <cell r="F1370">
            <v>2558</v>
          </cell>
          <cell r="H1370" t="str">
            <v>PEATONAL</v>
          </cell>
          <cell r="I1370" t="str">
            <v>S3000ZAD</v>
          </cell>
        </row>
        <row r="1371">
          <cell r="A1371" t="str">
            <v>S0300</v>
          </cell>
          <cell r="B1371" t="str">
            <v>SANTA FE</v>
          </cell>
          <cell r="C1371" t="str">
            <v>ROSARIO</v>
          </cell>
          <cell r="D1371" t="str">
            <v>ROSARIO</v>
          </cell>
          <cell r="E1371" t="str">
            <v>CORDOBA</v>
          </cell>
          <cell r="F1371">
            <v>721</v>
          </cell>
          <cell r="H1371" t="str">
            <v>CORREO CENTRAL ROSARIO</v>
          </cell>
          <cell r="I1371" t="str">
            <v>S2000ZAC</v>
          </cell>
        </row>
        <row r="1372">
          <cell r="A1372" t="str">
            <v>S0301</v>
          </cell>
          <cell r="B1372" t="str">
            <v>SANTA FE</v>
          </cell>
          <cell r="C1372" t="str">
            <v>ROSARIO</v>
          </cell>
          <cell r="D1372" t="str">
            <v>ROSARIO</v>
          </cell>
          <cell r="E1372" t="str">
            <v>L N ALEM</v>
          </cell>
          <cell r="F1372">
            <v>1755</v>
          </cell>
          <cell r="H1372" t="str">
            <v>SUCURSAL 1 ROSARIO</v>
          </cell>
          <cell r="I1372" t="str">
            <v>S2000ZAD</v>
          </cell>
        </row>
        <row r="1373">
          <cell r="A1373" t="str">
            <v>S0302</v>
          </cell>
          <cell r="B1373" t="str">
            <v>SANTA FE</v>
          </cell>
          <cell r="C1373" t="str">
            <v>ROSARIO</v>
          </cell>
          <cell r="D1373" t="str">
            <v>ROSARIO</v>
          </cell>
          <cell r="E1373" t="str">
            <v>CORDOBA</v>
          </cell>
          <cell r="F1373">
            <v>2401</v>
          </cell>
          <cell r="H1373" t="str">
            <v>SUCURSAL 2 ROSARIO</v>
          </cell>
          <cell r="I1373" t="str">
            <v>S2002ZAC</v>
          </cell>
        </row>
        <row r="1374">
          <cell r="A1374" t="str">
            <v>S0303</v>
          </cell>
          <cell r="B1374" t="str">
            <v>SANTA FE</v>
          </cell>
          <cell r="C1374" t="str">
            <v>ROSARIO</v>
          </cell>
          <cell r="D1374" t="str">
            <v>ROSARIO</v>
          </cell>
          <cell r="E1374" t="str">
            <v>AV CORRIENTES</v>
          </cell>
          <cell r="F1374">
            <v>1676</v>
          </cell>
          <cell r="H1374" t="str">
            <v>SUCURSAL 3 ROSARIO</v>
          </cell>
          <cell r="I1374" t="str">
            <v>S2000ZAH</v>
          </cell>
        </row>
        <row r="1375">
          <cell r="A1375" t="str">
            <v>S0304</v>
          </cell>
          <cell r="B1375" t="str">
            <v>SANTA FE</v>
          </cell>
          <cell r="C1375" t="str">
            <v>ROSARIO</v>
          </cell>
          <cell r="D1375" t="str">
            <v>ROSARIO</v>
          </cell>
          <cell r="E1375" t="str">
            <v>AV OVIDIO LAGOS</v>
          </cell>
          <cell r="F1375">
            <v>182</v>
          </cell>
          <cell r="H1375" t="str">
            <v>SUCURSAL 4 ROSARIO</v>
          </cell>
          <cell r="I1375" t="str">
            <v>S2002ZAD</v>
          </cell>
        </row>
        <row r="1376">
          <cell r="A1376" t="str">
            <v>S0305</v>
          </cell>
          <cell r="B1376" t="str">
            <v>SANTA FE</v>
          </cell>
          <cell r="C1376" t="str">
            <v>ROSARIO</v>
          </cell>
          <cell r="D1376" t="str">
            <v>ROSARIO</v>
          </cell>
          <cell r="E1376" t="str">
            <v>AV OVIDIO LAGOS</v>
          </cell>
          <cell r="F1376">
            <v>1199</v>
          </cell>
          <cell r="H1376" t="str">
            <v>SUCURSAL 5 ROSARIO</v>
          </cell>
          <cell r="I1376" t="str">
            <v>S2002ZAE</v>
          </cell>
        </row>
        <row r="1377">
          <cell r="A1377" t="str">
            <v>S0306</v>
          </cell>
          <cell r="B1377" t="str">
            <v>SANTA FE</v>
          </cell>
          <cell r="C1377" t="str">
            <v>ROSARIO</v>
          </cell>
          <cell r="D1377" t="str">
            <v>ROSARIO</v>
          </cell>
          <cell r="E1377" t="str">
            <v>AV JUAN B ALBERDI BIS</v>
          </cell>
          <cell r="F1377">
            <v>967</v>
          </cell>
          <cell r="H1377" t="str">
            <v>SUCURSAL 6 ROSARIO</v>
          </cell>
          <cell r="I1377" t="str">
            <v>S2002ZAF</v>
          </cell>
        </row>
        <row r="1378">
          <cell r="A1378" t="str">
            <v>S0308</v>
          </cell>
          <cell r="B1378" t="str">
            <v>SANTA FE</v>
          </cell>
          <cell r="C1378" t="str">
            <v>ROSARIO</v>
          </cell>
          <cell r="D1378" t="str">
            <v>ROSARIO</v>
          </cell>
          <cell r="E1378" t="str">
            <v>GRAL J RONDEAU</v>
          </cell>
          <cell r="F1378">
            <v>1144</v>
          </cell>
          <cell r="H1378" t="str">
            <v>SUCURSAL 8 ROSARIO</v>
          </cell>
          <cell r="I1378" t="str">
            <v>S2005ZAA</v>
          </cell>
        </row>
        <row r="1379">
          <cell r="A1379" t="str">
            <v>S0309</v>
          </cell>
          <cell r="B1379" t="str">
            <v>SANTA FE</v>
          </cell>
          <cell r="C1379" t="str">
            <v>ROSARIO</v>
          </cell>
          <cell r="D1379" t="str">
            <v>ROSARIO</v>
          </cell>
          <cell r="E1379" t="str">
            <v>AV BAT DE AYACUCHO</v>
          </cell>
          <cell r="F1379">
            <v>5516</v>
          </cell>
          <cell r="H1379" t="str">
            <v>SUCURSAL 9 ROSARIO</v>
          </cell>
          <cell r="I1379" t="str">
            <v>S2011ZAA</v>
          </cell>
        </row>
        <row r="1380">
          <cell r="A1380" t="str">
            <v>S0310</v>
          </cell>
          <cell r="B1380" t="str">
            <v>SANTA FE</v>
          </cell>
          <cell r="C1380" t="str">
            <v>ROSARIO</v>
          </cell>
          <cell r="D1380" t="str">
            <v>ROSARIO</v>
          </cell>
          <cell r="E1380" t="str">
            <v>AV MENDOZA</v>
          </cell>
          <cell r="F1380">
            <v>6365</v>
          </cell>
          <cell r="H1380" t="str">
            <v>SUCURSAL 10 ROSARIO</v>
          </cell>
          <cell r="I1380" t="str">
            <v>S2008ZAA</v>
          </cell>
        </row>
        <row r="1381">
          <cell r="A1381" t="str">
            <v>S0311</v>
          </cell>
          <cell r="B1381" t="str">
            <v>SANTA FE</v>
          </cell>
          <cell r="C1381" t="str">
            <v>ROSARIO</v>
          </cell>
          <cell r="D1381" t="str">
            <v>ROSARIO</v>
          </cell>
          <cell r="E1381" t="str">
            <v>RIOJA</v>
          </cell>
          <cell r="F1381">
            <v>1702</v>
          </cell>
          <cell r="H1381" t="str">
            <v>SUCURSAL 11 ROSARIO</v>
          </cell>
          <cell r="I1381" t="str">
            <v>S2000ZAE</v>
          </cell>
        </row>
        <row r="1382">
          <cell r="A1382" t="str">
            <v>S0312</v>
          </cell>
          <cell r="B1382" t="str">
            <v>SANTA FE</v>
          </cell>
          <cell r="C1382" t="str">
            <v>ROSARIO</v>
          </cell>
          <cell r="D1382" t="str">
            <v>ROSARIO</v>
          </cell>
          <cell r="E1382" t="str">
            <v>MENDOZA</v>
          </cell>
          <cell r="F1382">
            <v>4588</v>
          </cell>
          <cell r="H1382" t="str">
            <v>SUCURSAL 12 ROSARIO</v>
          </cell>
          <cell r="I1382" t="str">
            <v>S2002ZAB</v>
          </cell>
        </row>
        <row r="1383">
          <cell r="A1383" t="str">
            <v>S0313</v>
          </cell>
          <cell r="B1383" t="str">
            <v>SANTA FE</v>
          </cell>
          <cell r="C1383" t="str">
            <v>ROSARIO</v>
          </cell>
          <cell r="D1383" t="str">
            <v>ROSARIO</v>
          </cell>
          <cell r="E1383" t="str">
            <v>BALCARCE</v>
          </cell>
          <cell r="F1383">
            <v>1651</v>
          </cell>
          <cell r="H1383" t="str">
            <v>SUCURSAL 13 ROSARIO</v>
          </cell>
          <cell r="I1383" t="str">
            <v>S2000ZAF</v>
          </cell>
        </row>
        <row r="1384">
          <cell r="A1384" t="str">
            <v>S0314</v>
          </cell>
          <cell r="B1384" t="str">
            <v>SANTA FE</v>
          </cell>
          <cell r="C1384" t="str">
            <v>ROSARIO</v>
          </cell>
          <cell r="D1384" t="str">
            <v>ROSARIO</v>
          </cell>
          <cell r="E1384" t="str">
            <v>ENTRE RIOS</v>
          </cell>
          <cell r="F1384">
            <v>3502</v>
          </cell>
          <cell r="H1384" t="str">
            <v>SUCURSAL 14 ROSARIO</v>
          </cell>
          <cell r="I1384" t="str">
            <v>S2001ZAA</v>
          </cell>
        </row>
        <row r="1385">
          <cell r="A1385" t="str">
            <v>S0315</v>
          </cell>
          <cell r="B1385" t="str">
            <v>SANTA FE</v>
          </cell>
          <cell r="C1385" t="str">
            <v>ROSARIO</v>
          </cell>
          <cell r="D1385" t="str">
            <v>ROSARIO</v>
          </cell>
          <cell r="E1385" t="str">
            <v>PARAGUAY</v>
          </cell>
          <cell r="F1385">
            <v>818</v>
          </cell>
          <cell r="H1385" t="str">
            <v>SUCURSAL 15 ROSARIO</v>
          </cell>
          <cell r="I1385" t="str">
            <v>S2000ZAG</v>
          </cell>
        </row>
        <row r="1386">
          <cell r="A1386" t="str">
            <v>S0316</v>
          </cell>
          <cell r="B1386" t="str">
            <v>SANTA FE</v>
          </cell>
          <cell r="C1386" t="str">
            <v>ROSARIO</v>
          </cell>
          <cell r="D1386" t="str">
            <v>ROSARIO</v>
          </cell>
          <cell r="E1386" t="str">
            <v>AV DR NICOLAS AVELLANEDA</v>
          </cell>
          <cell r="F1386">
            <v>2215</v>
          </cell>
          <cell r="H1386" t="str">
            <v>SUCURSAL 16 ROSARIO</v>
          </cell>
          <cell r="I1386" t="str">
            <v>S2003ZAA</v>
          </cell>
        </row>
        <row r="1387">
          <cell r="A1387" t="str">
            <v>S0317</v>
          </cell>
          <cell r="B1387" t="str">
            <v>SANTA FE</v>
          </cell>
          <cell r="C1387" t="str">
            <v>ROSARIO</v>
          </cell>
          <cell r="D1387" t="str">
            <v>ROSARIO</v>
          </cell>
          <cell r="E1387" t="str">
            <v>AV EVA PERON</v>
          </cell>
          <cell r="F1387">
            <v>7003</v>
          </cell>
          <cell r="H1387" t="str">
            <v>.SUCURSAL 17 ROSARIO</v>
          </cell>
          <cell r="I1387" t="str">
            <v>S2007ZAB</v>
          </cell>
        </row>
        <row r="1388">
          <cell r="A1388" t="str">
            <v>S0318</v>
          </cell>
          <cell r="B1388" t="str">
            <v>SANTA FE</v>
          </cell>
          <cell r="C1388" t="str">
            <v>ROSARIO</v>
          </cell>
          <cell r="D1388" t="str">
            <v>ROSARIO</v>
          </cell>
          <cell r="E1388" t="str">
            <v>AV OVIDIO LAGOS</v>
          </cell>
          <cell r="F1388">
            <v>5501</v>
          </cell>
          <cell r="H1388" t="str">
            <v>SUCURSAL 18 ROSARIO</v>
          </cell>
          <cell r="I1388" t="str">
            <v>S2004ZAA</v>
          </cell>
        </row>
        <row r="1389">
          <cell r="A1389" t="str">
            <v>S0319</v>
          </cell>
          <cell r="B1389" t="str">
            <v>SANTA FE</v>
          </cell>
          <cell r="C1389" t="str">
            <v>ROSARIO</v>
          </cell>
          <cell r="D1389" t="str">
            <v>ACEBAL</v>
          </cell>
          <cell r="E1389" t="str">
            <v>IGNACIO ASURMENDI</v>
          </cell>
          <cell r="F1389">
            <v>447</v>
          </cell>
          <cell r="H1389" t="str">
            <v>ACEBAL</v>
          </cell>
          <cell r="I1389" t="str">
            <v>S2109ZAA</v>
          </cell>
        </row>
        <row r="1390">
          <cell r="A1390" t="str">
            <v>S0320</v>
          </cell>
          <cell r="B1390" t="str">
            <v>SANTA FE</v>
          </cell>
          <cell r="C1390" t="str">
            <v>CONSTITUCION</v>
          </cell>
          <cell r="D1390" t="str">
            <v>ALCORTA</v>
          </cell>
          <cell r="E1390" t="str">
            <v>25 DE MAYO</v>
          </cell>
          <cell r="F1390">
            <v>963</v>
          </cell>
          <cell r="H1390" t="str">
            <v>ALCORTA</v>
          </cell>
          <cell r="I1390" t="str">
            <v>S2117ZAA</v>
          </cell>
        </row>
        <row r="1391">
          <cell r="A1391" t="str">
            <v>S0321</v>
          </cell>
          <cell r="B1391" t="str">
            <v>SANTA FE</v>
          </cell>
          <cell r="C1391" t="str">
            <v>ROSARIO</v>
          </cell>
          <cell r="D1391" t="str">
            <v>ALVAREZ</v>
          </cell>
          <cell r="E1391" t="str">
            <v>TUCUMAN</v>
          </cell>
          <cell r="F1391">
            <v>421</v>
          </cell>
          <cell r="H1391" t="str">
            <v>ALVAREZ</v>
          </cell>
          <cell r="I1391" t="str">
            <v>S2107ZAA</v>
          </cell>
        </row>
        <row r="1392">
          <cell r="A1392" t="str">
            <v>S0322</v>
          </cell>
          <cell r="B1392" t="str">
            <v>SANTA FE</v>
          </cell>
          <cell r="C1392" t="str">
            <v>GENERAL LOPEZ</v>
          </cell>
          <cell r="D1392" t="str">
            <v>AMENABAR</v>
          </cell>
          <cell r="E1392" t="str">
            <v>QUINTANA</v>
          </cell>
          <cell r="F1392">
            <v>200</v>
          </cell>
          <cell r="H1392" t="str">
            <v>AMENABAR</v>
          </cell>
          <cell r="I1392" t="str">
            <v>S6103ZAA</v>
          </cell>
        </row>
        <row r="1393">
          <cell r="A1393" t="str">
            <v>S0323</v>
          </cell>
          <cell r="B1393" t="str">
            <v>SANTA FE</v>
          </cell>
          <cell r="C1393" t="str">
            <v>CASEROS</v>
          </cell>
          <cell r="D1393" t="str">
            <v>AREQUITO</v>
          </cell>
          <cell r="E1393" t="str">
            <v>B LOPEZ 1240</v>
          </cell>
          <cell r="H1393" t="str">
            <v>AREQUITO</v>
          </cell>
          <cell r="I1393" t="str">
            <v>S2183ZAB</v>
          </cell>
        </row>
        <row r="1394">
          <cell r="A1394" t="str">
            <v>S0324</v>
          </cell>
          <cell r="B1394" t="str">
            <v>SANTA FE</v>
          </cell>
          <cell r="C1394" t="str">
            <v>BELGRANO</v>
          </cell>
          <cell r="D1394" t="str">
            <v>ARMSTRONG</v>
          </cell>
          <cell r="E1394" t="str">
            <v>14 DE DICIEMBRE</v>
          </cell>
          <cell r="F1394">
            <v>1531</v>
          </cell>
          <cell r="H1394" t="str">
            <v>ARMSTRONG</v>
          </cell>
          <cell r="I1394" t="str">
            <v>S2508ZAA</v>
          </cell>
        </row>
        <row r="1395">
          <cell r="A1395" t="str">
            <v>S0325</v>
          </cell>
          <cell r="B1395" t="str">
            <v>SANTA FE</v>
          </cell>
          <cell r="C1395" t="str">
            <v>ROSARIO</v>
          </cell>
          <cell r="D1395" t="str">
            <v>ARROYO SECO</v>
          </cell>
          <cell r="E1395" t="str">
            <v>MANSUETO MAIORANO</v>
          </cell>
          <cell r="F1395">
            <v>530</v>
          </cell>
          <cell r="H1395" t="str">
            <v>ARROYO SECO</v>
          </cell>
          <cell r="I1395" t="str">
            <v>S2128ZAA</v>
          </cell>
        </row>
        <row r="1396">
          <cell r="A1396" t="str">
            <v>S0326</v>
          </cell>
          <cell r="B1396" t="str">
            <v>SANTA FE</v>
          </cell>
          <cell r="C1396" t="str">
            <v>CASEROS</v>
          </cell>
          <cell r="D1396" t="str">
            <v>ARTEAGA</v>
          </cell>
          <cell r="E1396" t="str">
            <v>GRAL SAN MARTIN</v>
          </cell>
          <cell r="F1396">
            <v>47</v>
          </cell>
          <cell r="H1396" t="str">
            <v>ARTEAGA</v>
          </cell>
          <cell r="I1396" t="str">
            <v>S2187ZAA</v>
          </cell>
        </row>
        <row r="1397">
          <cell r="A1397" t="str">
            <v>S0327</v>
          </cell>
          <cell r="B1397" t="str">
            <v>SANTA FE</v>
          </cell>
          <cell r="C1397" t="str">
            <v>CASEROS</v>
          </cell>
          <cell r="D1397" t="str">
            <v>BERABEVU</v>
          </cell>
          <cell r="E1397" t="str">
            <v>SIMON DE IRIONDO</v>
          </cell>
          <cell r="F1397">
            <v>660</v>
          </cell>
          <cell r="H1397" t="str">
            <v>BERABEVU</v>
          </cell>
          <cell r="I1397" t="str">
            <v>S2639ZAA</v>
          </cell>
        </row>
        <row r="1398">
          <cell r="A1398" t="str">
            <v>S0328</v>
          </cell>
          <cell r="B1398" t="str">
            <v>SANTA FE</v>
          </cell>
          <cell r="C1398" t="str">
            <v>CASEROS</v>
          </cell>
          <cell r="D1398" t="str">
            <v>BIGAND</v>
          </cell>
          <cell r="E1398" t="str">
            <v>LIBERTAD</v>
          </cell>
          <cell r="F1398">
            <v>201</v>
          </cell>
          <cell r="H1398" t="str">
            <v>BIGAND</v>
          </cell>
          <cell r="I1398" t="str">
            <v>S2177ZAA</v>
          </cell>
        </row>
        <row r="1399">
          <cell r="A1399" t="str">
            <v>S0329</v>
          </cell>
          <cell r="B1399" t="str">
            <v>SANTA FE</v>
          </cell>
          <cell r="C1399" t="str">
            <v>CONSTITUCION</v>
          </cell>
          <cell r="D1399" t="str">
            <v>BOMBAL</v>
          </cell>
          <cell r="E1399" t="str">
            <v>ANTONIO VERA MUJICA</v>
          </cell>
          <cell r="F1399">
            <v>100</v>
          </cell>
          <cell r="H1399" t="str">
            <v>BOMBAL</v>
          </cell>
          <cell r="I1399" t="str">
            <v>S2179ZAA</v>
          </cell>
        </row>
        <row r="1400">
          <cell r="A1400" t="str">
            <v>S0330</v>
          </cell>
          <cell r="B1400" t="str">
            <v>SANTA FE</v>
          </cell>
          <cell r="C1400" t="str">
            <v>BELGRANO</v>
          </cell>
          <cell r="D1400" t="str">
            <v>BOUQUET</v>
          </cell>
          <cell r="E1400" t="str">
            <v>9 DE JULIO</v>
          </cell>
          <cell r="F1400">
            <v>90</v>
          </cell>
          <cell r="H1400" t="str">
            <v>BOUQUET</v>
          </cell>
          <cell r="I1400" t="str">
            <v>S2523ZAA</v>
          </cell>
        </row>
        <row r="1401">
          <cell r="A1401" t="str">
            <v>S0331</v>
          </cell>
          <cell r="B1401" t="str">
            <v>SANTA FE</v>
          </cell>
          <cell r="C1401" t="str">
            <v>IRIONDO</v>
          </cell>
          <cell r="D1401" t="str">
            <v>CAÃ‘ADA DE GOMEZ</v>
          </cell>
          <cell r="E1401" t="str">
            <v>DOMINGO SARMIENTO</v>
          </cell>
          <cell r="F1401">
            <v>96</v>
          </cell>
          <cell r="H1401" t="str">
            <v>CAÃ‘ADA DE GOMEZ</v>
          </cell>
          <cell r="I1401" t="str">
            <v>S2500ZAA</v>
          </cell>
        </row>
        <row r="1402">
          <cell r="A1402" t="str">
            <v>S0332</v>
          </cell>
          <cell r="B1402" t="str">
            <v>SANTA FE</v>
          </cell>
          <cell r="C1402" t="str">
            <v>GENERAL LOPEZ</v>
          </cell>
          <cell r="D1402" t="str">
            <v>CAÃ‘ADA DEL UCLE</v>
          </cell>
          <cell r="E1402" t="str">
            <v>GRAL SAN MARTIN</v>
          </cell>
          <cell r="F1402">
            <v>558</v>
          </cell>
          <cell r="H1402" t="str">
            <v>CAÃ‘ADA DEL UCLE</v>
          </cell>
          <cell r="I1402" t="str">
            <v>S2635ZAA</v>
          </cell>
        </row>
        <row r="1403">
          <cell r="A1403" t="str">
            <v>S0333</v>
          </cell>
          <cell r="B1403" t="str">
            <v>SANTA FE</v>
          </cell>
          <cell r="C1403" t="str">
            <v>GENERAL LOPEZ</v>
          </cell>
          <cell r="D1403" t="str">
            <v>CAFFERATA</v>
          </cell>
          <cell r="E1403" t="str">
            <v>SAN MARTIN</v>
          </cell>
          <cell r="F1403">
            <v>679</v>
          </cell>
          <cell r="H1403" t="str">
            <v>CAFFERATA</v>
          </cell>
          <cell r="I1403" t="str">
            <v>S2643ZAA</v>
          </cell>
        </row>
        <row r="1404">
          <cell r="A1404" t="str">
            <v>S0334</v>
          </cell>
          <cell r="B1404" t="str">
            <v>SANTA FE</v>
          </cell>
          <cell r="C1404" t="str">
            <v>SAN LORENZO</v>
          </cell>
          <cell r="D1404" t="str">
            <v>CAPITAN BERMUDEZ</v>
          </cell>
          <cell r="E1404" t="str">
            <v>AV SAN LORENZO</v>
          </cell>
          <cell r="F1404">
            <v>855</v>
          </cell>
          <cell r="H1404" t="str">
            <v>CAPITAN BERMUDEZ</v>
          </cell>
          <cell r="I1404" t="str">
            <v>S2154ZAA</v>
          </cell>
        </row>
        <row r="1405">
          <cell r="A1405" t="str">
            <v>S0336</v>
          </cell>
          <cell r="B1405" t="str">
            <v>SANTA FE</v>
          </cell>
          <cell r="C1405" t="str">
            <v>SAN LORENZO</v>
          </cell>
          <cell r="D1405" t="str">
            <v>CARCARAÃ‘A</v>
          </cell>
          <cell r="E1405" t="str">
            <v>1 DE MAYO</v>
          </cell>
          <cell r="F1405">
            <v>413</v>
          </cell>
          <cell r="H1405" t="str">
            <v>CARCARAÃ‘A</v>
          </cell>
          <cell r="I1405" t="str">
            <v>S2138ZAA</v>
          </cell>
        </row>
        <row r="1406">
          <cell r="A1406" t="str">
            <v>S0338</v>
          </cell>
          <cell r="B1406" t="str">
            <v>SANTA FE</v>
          </cell>
          <cell r="C1406" t="str">
            <v>GENERAL LOPEZ</v>
          </cell>
          <cell r="D1406" t="str">
            <v>CARMEN</v>
          </cell>
          <cell r="E1406" t="str">
            <v>MITRE</v>
          </cell>
          <cell r="F1406">
            <v>473</v>
          </cell>
          <cell r="H1406" t="str">
            <v>CARMEN</v>
          </cell>
          <cell r="I1406" t="str">
            <v>S2618ZAA</v>
          </cell>
        </row>
        <row r="1407">
          <cell r="A1407" t="str">
            <v>S0340</v>
          </cell>
          <cell r="B1407" t="str">
            <v>SANTA FE</v>
          </cell>
          <cell r="C1407" t="str">
            <v>GENERAL LOPEZ</v>
          </cell>
          <cell r="D1407" t="str">
            <v>CARRERAS</v>
          </cell>
          <cell r="E1407" t="str">
            <v>GARIBALDI</v>
          </cell>
          <cell r="F1407">
            <v>791</v>
          </cell>
          <cell r="H1407" t="str">
            <v>CARRERAS</v>
          </cell>
          <cell r="I1407" t="str">
            <v>S2729ZAA</v>
          </cell>
        </row>
        <row r="1408">
          <cell r="A1408" t="str">
            <v>S0342</v>
          </cell>
          <cell r="B1408" t="str">
            <v>SANTA FE</v>
          </cell>
          <cell r="C1408" t="str">
            <v>CASEROS</v>
          </cell>
          <cell r="D1408" t="str">
            <v>CASILDA</v>
          </cell>
          <cell r="E1408" t="str">
            <v>DR LISANDRO DE LA TORRE</v>
          </cell>
          <cell r="F1408">
            <v>2371</v>
          </cell>
          <cell r="H1408" t="str">
            <v>CASILDA</v>
          </cell>
          <cell r="I1408" t="str">
            <v>S2170ZAA</v>
          </cell>
        </row>
        <row r="1409">
          <cell r="A1409" t="str">
            <v>S0344</v>
          </cell>
          <cell r="B1409" t="str">
            <v>SANTA FE</v>
          </cell>
          <cell r="C1409" t="str">
            <v>CASEROS</v>
          </cell>
          <cell r="D1409" t="str">
            <v>CHAÃ‘AR LADEADO</v>
          </cell>
          <cell r="E1409" t="str">
            <v>AV SAN MARTIN</v>
          </cell>
          <cell r="F1409">
            <v>735</v>
          </cell>
          <cell r="H1409" t="str">
            <v>CHAÃ‘AR LADEADO</v>
          </cell>
          <cell r="I1409" t="str">
            <v>S2139ZAA</v>
          </cell>
        </row>
        <row r="1410">
          <cell r="A1410" t="str">
            <v>S0346</v>
          </cell>
          <cell r="B1410" t="str">
            <v>SANTA FE</v>
          </cell>
          <cell r="C1410" t="str">
            <v>CASEROS</v>
          </cell>
          <cell r="D1410" t="str">
            <v>CHABAS</v>
          </cell>
          <cell r="E1410" t="str">
            <v>ROSARIO</v>
          </cell>
          <cell r="F1410">
            <v>1743</v>
          </cell>
          <cell r="H1410" t="str">
            <v>CHABAS</v>
          </cell>
          <cell r="I1410" t="str">
            <v>S2173ZAA</v>
          </cell>
        </row>
        <row r="1411">
          <cell r="A1411" t="str">
            <v>S0348</v>
          </cell>
          <cell r="B1411" t="str">
            <v>SANTA FE</v>
          </cell>
          <cell r="C1411" t="str">
            <v>GENERAL LOPEZ</v>
          </cell>
          <cell r="D1411" t="str">
            <v>CHOVET</v>
          </cell>
          <cell r="E1411" t="str">
            <v>SAN MARTIN</v>
          </cell>
          <cell r="F1411">
            <v>570</v>
          </cell>
          <cell r="H1411" t="str">
            <v>CHOVET</v>
          </cell>
          <cell r="I1411" t="str">
            <v>S2633ZAA</v>
          </cell>
        </row>
        <row r="1412">
          <cell r="A1412" t="str">
            <v>S0352</v>
          </cell>
          <cell r="B1412" t="str">
            <v>SANTA FE</v>
          </cell>
          <cell r="C1412" t="str">
            <v>ROSARIO</v>
          </cell>
          <cell r="D1412" t="str">
            <v>CORONEL BOGADO</v>
          </cell>
          <cell r="E1412" t="str">
            <v>9 DE JULIO</v>
          </cell>
          <cell r="F1412">
            <v>253</v>
          </cell>
          <cell r="H1412" t="str">
            <v>CORONEL BOGADO</v>
          </cell>
          <cell r="I1412" t="str">
            <v>S2103ZAA</v>
          </cell>
        </row>
        <row r="1413">
          <cell r="A1413" t="str">
            <v>S0354</v>
          </cell>
          <cell r="B1413" t="str">
            <v>SANTA FE</v>
          </cell>
          <cell r="C1413" t="str">
            <v>IRIONDO</v>
          </cell>
          <cell r="D1413" t="str">
            <v>CORREA</v>
          </cell>
          <cell r="E1413" t="str">
            <v>25 DE MAYO</v>
          </cell>
          <cell r="F1413">
            <v>765</v>
          </cell>
          <cell r="H1413" t="str">
            <v>CORREA</v>
          </cell>
          <cell r="I1413" t="str">
            <v>S2506ZAA</v>
          </cell>
        </row>
        <row r="1414">
          <cell r="A1414" t="str">
            <v>S0356</v>
          </cell>
          <cell r="B1414" t="str">
            <v>SANTA FE</v>
          </cell>
          <cell r="C1414" t="str">
            <v>GENERAL LOPEZ</v>
          </cell>
          <cell r="D1414" t="str">
            <v>DIEGO DE ALVEAR</v>
          </cell>
          <cell r="E1414" t="str">
            <v>AV CHRISTOPHERSEN</v>
          </cell>
          <cell r="F1414">
            <v>100</v>
          </cell>
          <cell r="H1414" t="str">
            <v>DIEGO DE ALVEAR</v>
          </cell>
          <cell r="I1414" t="str">
            <v>S6036ZAA</v>
          </cell>
        </row>
        <row r="1415">
          <cell r="A1415" t="str">
            <v>S0358</v>
          </cell>
          <cell r="B1415" t="str">
            <v>SANTA FE</v>
          </cell>
          <cell r="C1415" t="str">
            <v>GENERAL LOPEZ</v>
          </cell>
          <cell r="D1415" t="str">
            <v>ELORTONDO</v>
          </cell>
          <cell r="E1415" t="str">
            <v>ITALIA</v>
          </cell>
          <cell r="F1415">
            <v>688</v>
          </cell>
          <cell r="H1415" t="str">
            <v>ELORTONDO</v>
          </cell>
          <cell r="I1415" t="str">
            <v>S2732ZAA</v>
          </cell>
        </row>
        <row r="1416">
          <cell r="A1416" t="str">
            <v>S0360</v>
          </cell>
          <cell r="B1416" t="str">
            <v>SANTA FE</v>
          </cell>
          <cell r="C1416" t="str">
            <v>CONSTITUCION</v>
          </cell>
          <cell r="D1416" t="str">
            <v>EMPALME VILLA CONSTITUCION</v>
          </cell>
          <cell r="E1416" t="str">
            <v>RIVADAVIA</v>
          </cell>
          <cell r="F1416">
            <v>195</v>
          </cell>
          <cell r="H1416" t="str">
            <v>EMP. V. CONSTITUCION</v>
          </cell>
          <cell r="I1416" t="str">
            <v>S2918ZAB</v>
          </cell>
        </row>
        <row r="1417">
          <cell r="A1417" t="str">
            <v>S0362</v>
          </cell>
          <cell r="B1417" t="str">
            <v>SANTA FE</v>
          </cell>
          <cell r="C1417" t="str">
            <v>ROSARIO</v>
          </cell>
          <cell r="D1417" t="str">
            <v>FIGHIERA</v>
          </cell>
          <cell r="E1417" t="str">
            <v>COLON</v>
          </cell>
          <cell r="F1417">
            <v>642</v>
          </cell>
          <cell r="H1417" t="str">
            <v>FIGHIERA</v>
          </cell>
          <cell r="I1417" t="str">
            <v>S2126ZAA</v>
          </cell>
        </row>
        <row r="1418">
          <cell r="A1418" t="str">
            <v>S0364</v>
          </cell>
          <cell r="B1418" t="str">
            <v>SANTA FE</v>
          </cell>
          <cell r="C1418" t="str">
            <v>GENERAL LOPEZ</v>
          </cell>
          <cell r="D1418" t="str">
            <v>FIRMAT</v>
          </cell>
          <cell r="E1418" t="str">
            <v>AV B RIVADAVIA</v>
          </cell>
          <cell r="F1418">
            <v>1235</v>
          </cell>
          <cell r="H1418" t="str">
            <v>FIRMAT</v>
          </cell>
          <cell r="I1418" t="str">
            <v>S2630ZAA</v>
          </cell>
        </row>
        <row r="1419">
          <cell r="A1419" t="str">
            <v>S0366</v>
          </cell>
          <cell r="B1419" t="str">
            <v>SANTA FE</v>
          </cell>
          <cell r="C1419" t="str">
            <v>SAN LORENZO</v>
          </cell>
          <cell r="D1419" t="str">
            <v>FRAY LUIS BELTRAN</v>
          </cell>
          <cell r="E1419" t="str">
            <v>SANTA FE</v>
          </cell>
          <cell r="F1419">
            <v>145</v>
          </cell>
          <cell r="H1419" t="str">
            <v>FRAY L. BELTRAN</v>
          </cell>
          <cell r="I1419" t="str">
            <v>S2156ZAA</v>
          </cell>
        </row>
        <row r="1420">
          <cell r="A1420" t="str">
            <v>S0368</v>
          </cell>
          <cell r="B1420" t="str">
            <v>SANTA FE</v>
          </cell>
          <cell r="C1420" t="str">
            <v>SAN LORENZO</v>
          </cell>
          <cell r="D1420" t="str">
            <v>FUENTES</v>
          </cell>
          <cell r="E1420" t="str">
            <v>RECONQUISTA</v>
          </cell>
          <cell r="F1420">
            <v>645</v>
          </cell>
          <cell r="H1420" t="str">
            <v>FUENTES</v>
          </cell>
          <cell r="I1420" t="str">
            <v>S2123ZAA</v>
          </cell>
        </row>
        <row r="1421">
          <cell r="A1421" t="str">
            <v>S0370</v>
          </cell>
          <cell r="B1421" t="str">
            <v>SANTA FE</v>
          </cell>
          <cell r="C1421" t="str">
            <v>ROSARIO</v>
          </cell>
          <cell r="D1421" t="str">
            <v>FUNES</v>
          </cell>
          <cell r="E1421" t="str">
            <v>MORENO</v>
          </cell>
          <cell r="F1421">
            <v>1454</v>
          </cell>
          <cell r="H1421" t="str">
            <v>FUNES</v>
          </cell>
          <cell r="I1421" t="str">
            <v>S2132ZAA</v>
          </cell>
        </row>
        <row r="1422">
          <cell r="A1422" t="str">
            <v>S0372</v>
          </cell>
          <cell r="B1422" t="str">
            <v>SANTA FE</v>
          </cell>
          <cell r="C1422" t="str">
            <v>CASEROS</v>
          </cell>
          <cell r="D1422" t="str">
            <v>GODEKEN</v>
          </cell>
          <cell r="E1422" t="str">
            <v>CALLE 14</v>
          </cell>
          <cell r="F1422">
            <v>705</v>
          </cell>
          <cell r="H1422" t="str">
            <v>GODEKEN</v>
          </cell>
          <cell r="I1422" t="str">
            <v>S2640ZAA</v>
          </cell>
        </row>
        <row r="1423">
          <cell r="A1423" t="str">
            <v>S0374</v>
          </cell>
          <cell r="B1423" t="str">
            <v>SANTA FE</v>
          </cell>
          <cell r="C1423" t="str">
            <v>CONSTITUCION</v>
          </cell>
          <cell r="D1423" t="str">
            <v>GODOY</v>
          </cell>
          <cell r="E1423" t="str">
            <v>ITALIA</v>
          </cell>
          <cell r="F1423">
            <v>159</v>
          </cell>
          <cell r="H1423" t="str">
            <v>GODOY</v>
          </cell>
          <cell r="I1423" t="str">
            <v>S2921ZAA</v>
          </cell>
        </row>
        <row r="1424">
          <cell r="A1424" t="str">
            <v>S0376</v>
          </cell>
          <cell r="B1424" t="str">
            <v>SANTA FE</v>
          </cell>
          <cell r="C1424" t="str">
            <v>ROSARIO</v>
          </cell>
          <cell r="D1424" t="str">
            <v>GRANADERO BAIGORRIA</v>
          </cell>
          <cell r="E1424" t="str">
            <v>CORRIENTES</v>
          </cell>
          <cell r="F1424">
            <v>1096</v>
          </cell>
          <cell r="H1424" t="str">
            <v>GRANADERO BAIGORRIA</v>
          </cell>
          <cell r="I1424" t="str">
            <v>S2152ZAA</v>
          </cell>
        </row>
        <row r="1425">
          <cell r="A1425" t="str">
            <v>S0378</v>
          </cell>
          <cell r="B1425" t="str">
            <v>SANTA FE</v>
          </cell>
          <cell r="C1425" t="str">
            <v>GENERAL LOPEZ</v>
          </cell>
          <cell r="D1425" t="str">
            <v>HUGHES</v>
          </cell>
          <cell r="E1425" t="str">
            <v>15 DE ABRIL</v>
          </cell>
          <cell r="F1425">
            <v>234</v>
          </cell>
          <cell r="H1425" t="str">
            <v>HUGHES</v>
          </cell>
          <cell r="I1425" t="str">
            <v>S2725ZAA</v>
          </cell>
        </row>
        <row r="1426">
          <cell r="A1426" t="str">
            <v>S0380</v>
          </cell>
          <cell r="B1426" t="str">
            <v>SANTA FE</v>
          </cell>
          <cell r="C1426" t="str">
            <v>CONSTITUCION</v>
          </cell>
          <cell r="D1426" t="str">
            <v>JUAN B MOLINA</v>
          </cell>
          <cell r="E1426" t="str">
            <v>MITRE</v>
          </cell>
          <cell r="F1426">
            <v>302</v>
          </cell>
          <cell r="H1426" t="str">
            <v>J. B. MOLINA</v>
          </cell>
          <cell r="I1426" t="str">
            <v>S2104ZAA</v>
          </cell>
        </row>
        <row r="1427">
          <cell r="A1427" t="str">
            <v>S0382</v>
          </cell>
          <cell r="B1427" t="str">
            <v>SANTA FE</v>
          </cell>
          <cell r="C1427" t="str">
            <v>CONSTITUCION</v>
          </cell>
          <cell r="D1427" t="str">
            <v>JUNCAL</v>
          </cell>
          <cell r="E1427" t="str">
            <v>AV CLODOMIRO LEDESMA</v>
          </cell>
          <cell r="F1427">
            <v>254</v>
          </cell>
          <cell r="H1427" t="str">
            <v>JUNCAL</v>
          </cell>
          <cell r="I1427" t="str">
            <v>S2723ZAA</v>
          </cell>
        </row>
        <row r="1428">
          <cell r="A1428" t="str">
            <v>S0384</v>
          </cell>
          <cell r="B1428" t="str">
            <v>SANTA FE</v>
          </cell>
          <cell r="C1428" t="str">
            <v>GENERAL LOPEZ</v>
          </cell>
          <cell r="D1428" t="str">
            <v>LABORDEBOY</v>
          </cell>
          <cell r="E1428" t="str">
            <v>INDEPENDENCIA</v>
          </cell>
          <cell r="F1428">
            <v>485</v>
          </cell>
          <cell r="H1428" t="str">
            <v>LABORDEBOY</v>
          </cell>
          <cell r="I1428" t="str">
            <v>S2726ZAA</v>
          </cell>
        </row>
        <row r="1429">
          <cell r="A1429" t="str">
            <v>S0386</v>
          </cell>
          <cell r="B1429" t="str">
            <v>SANTA FE</v>
          </cell>
          <cell r="C1429" t="str">
            <v>BELGRANO</v>
          </cell>
          <cell r="D1429" t="str">
            <v>LAS PAREJAS</v>
          </cell>
          <cell r="E1429" t="str">
            <v>CALLE 16</v>
          </cell>
          <cell r="F1429">
            <v>856</v>
          </cell>
          <cell r="H1429" t="str">
            <v>LAS PAREJAS</v>
          </cell>
          <cell r="I1429" t="str">
            <v>S2505ZAA</v>
          </cell>
        </row>
        <row r="1430">
          <cell r="A1430" t="str">
            <v>S0388</v>
          </cell>
          <cell r="B1430" t="str">
            <v>SANTA FE</v>
          </cell>
          <cell r="C1430" t="str">
            <v>BELGRANO</v>
          </cell>
          <cell r="D1430" t="str">
            <v>LAS ROSAS</v>
          </cell>
          <cell r="E1430" t="str">
            <v>SAN MARTIN</v>
          </cell>
          <cell r="F1430">
            <v>459</v>
          </cell>
          <cell r="H1430" t="str">
            <v>LAS ROSAS</v>
          </cell>
          <cell r="I1430" t="str">
            <v>S2520ZAA</v>
          </cell>
        </row>
        <row r="1431">
          <cell r="A1431" t="str">
            <v>S0390</v>
          </cell>
          <cell r="B1431" t="str">
            <v>SANTA FE</v>
          </cell>
          <cell r="C1431" t="str">
            <v>CASEROS</v>
          </cell>
          <cell r="D1431" t="str">
            <v>LOS MOLINOS</v>
          </cell>
          <cell r="E1431" t="str">
            <v>BDIER ESTANISLAO LOPEZ</v>
          </cell>
          <cell r="F1431">
            <v>626</v>
          </cell>
          <cell r="H1431" t="str">
            <v>LOS MOLINOS</v>
          </cell>
          <cell r="I1431" t="str">
            <v>S2181ZAA</v>
          </cell>
        </row>
        <row r="1432">
          <cell r="A1432" t="str">
            <v>S0392</v>
          </cell>
          <cell r="B1432" t="str">
            <v>SANTA FE</v>
          </cell>
          <cell r="C1432" t="str">
            <v>CASEROS</v>
          </cell>
          <cell r="D1432" t="str">
            <v>LOS QUIRQUINCHOS</v>
          </cell>
          <cell r="E1432" t="str">
            <v>25 DE MAYO</v>
          </cell>
          <cell r="F1432">
            <v>554</v>
          </cell>
          <cell r="H1432" t="str">
            <v>LOS QUIRQUINCHOS</v>
          </cell>
          <cell r="I1432" t="str">
            <v>S2637ZAA</v>
          </cell>
        </row>
        <row r="1433">
          <cell r="A1433" t="str">
            <v>S0394</v>
          </cell>
          <cell r="B1433" t="str">
            <v>SANTA FE</v>
          </cell>
          <cell r="C1433" t="str">
            <v>GENERAL LOPEZ</v>
          </cell>
          <cell r="D1433" t="str">
            <v>MAGGIOLO</v>
          </cell>
          <cell r="E1433" t="str">
            <v>PADRE BADIA</v>
          </cell>
          <cell r="F1433">
            <v>498</v>
          </cell>
          <cell r="H1433" t="str">
            <v>MAGGIOLO</v>
          </cell>
          <cell r="I1433" t="str">
            <v>S2622ZAA</v>
          </cell>
        </row>
        <row r="1434">
          <cell r="A1434" t="str">
            <v>S0396</v>
          </cell>
          <cell r="B1434" t="str">
            <v>SANTA FE</v>
          </cell>
          <cell r="C1434" t="str">
            <v>GENERAL LOPEZ</v>
          </cell>
          <cell r="D1434" t="str">
            <v>MARIA TERESA</v>
          </cell>
          <cell r="E1434" t="str">
            <v>MANUEL BELGRANO</v>
          </cell>
          <cell r="F1434">
            <v>136</v>
          </cell>
          <cell r="H1434" t="str">
            <v>MARIA TERESA</v>
          </cell>
          <cell r="I1434" t="str">
            <v>S2609ZAA</v>
          </cell>
        </row>
        <row r="1435">
          <cell r="A1435" t="str">
            <v>S0398</v>
          </cell>
          <cell r="B1435" t="str">
            <v>SANTA FE</v>
          </cell>
          <cell r="C1435" t="str">
            <v>GENERAL LOPEZ</v>
          </cell>
          <cell r="D1435" t="str">
            <v>MELINCUE</v>
          </cell>
          <cell r="E1435" t="str">
            <v>25 DE MAYO</v>
          </cell>
          <cell r="F1435">
            <v>385</v>
          </cell>
          <cell r="H1435" t="str">
            <v>MELINCUE</v>
          </cell>
          <cell r="I1435" t="str">
            <v>S2728ZAA</v>
          </cell>
        </row>
        <row r="1436">
          <cell r="A1436" t="str">
            <v>S0400</v>
          </cell>
          <cell r="B1436" t="str">
            <v>SANTA FE</v>
          </cell>
          <cell r="C1436" t="str">
            <v>BELGRANO</v>
          </cell>
          <cell r="D1436" t="str">
            <v>MONTES DE OCA</v>
          </cell>
          <cell r="E1436" t="str">
            <v>GRAL SAN MARTIN</v>
          </cell>
          <cell r="F1436">
            <v>698</v>
          </cell>
          <cell r="H1436" t="str">
            <v>MONTES DE OCA</v>
          </cell>
          <cell r="I1436" t="str">
            <v>S2521ZAA</v>
          </cell>
        </row>
        <row r="1437">
          <cell r="A1437" t="str">
            <v>S0402</v>
          </cell>
          <cell r="B1437" t="str">
            <v>SANTA FE</v>
          </cell>
          <cell r="C1437" t="str">
            <v>GENERAL LOPEZ</v>
          </cell>
          <cell r="D1437" t="str">
            <v>MURPHY</v>
          </cell>
          <cell r="E1437" t="str">
            <v>AV DOMINGO SARMIENTO</v>
          </cell>
          <cell r="F1437">
            <v>397</v>
          </cell>
          <cell r="H1437" t="str">
            <v>MURPHY</v>
          </cell>
          <cell r="I1437" t="str">
            <v>S2601ZAA</v>
          </cell>
        </row>
        <row r="1438">
          <cell r="A1438" t="str">
            <v>S0404</v>
          </cell>
          <cell r="B1438" t="str">
            <v>SANTA FE</v>
          </cell>
          <cell r="C1438" t="str">
            <v>IRIONDO</v>
          </cell>
          <cell r="D1438" t="str">
            <v>OLIVEROS</v>
          </cell>
          <cell r="E1438" t="str">
            <v>AV BUENOS AIRES</v>
          </cell>
          <cell r="F1438">
            <v>217</v>
          </cell>
          <cell r="H1438" t="str">
            <v>OLIVEROS</v>
          </cell>
          <cell r="I1438" t="str">
            <v>S2206ZAA</v>
          </cell>
        </row>
        <row r="1439">
          <cell r="A1439" t="str">
            <v>S0406</v>
          </cell>
          <cell r="B1439" t="str">
            <v>SANTA FE</v>
          </cell>
          <cell r="C1439" t="str">
            <v>CONSTITUCION</v>
          </cell>
          <cell r="D1439" t="str">
            <v>PAVON ARRIBA</v>
          </cell>
          <cell r="E1439" t="str">
            <v>BUENOS AIRES</v>
          </cell>
          <cell r="F1439">
            <v>1178</v>
          </cell>
          <cell r="H1439" t="str">
            <v>PAVON ARRIBA</v>
          </cell>
          <cell r="I1439" t="str">
            <v>S2110ZAA</v>
          </cell>
        </row>
        <row r="1440">
          <cell r="A1440" t="str">
            <v>S0408</v>
          </cell>
          <cell r="B1440" t="str">
            <v>SANTA FE</v>
          </cell>
          <cell r="C1440" t="str">
            <v>CONSTITUCION</v>
          </cell>
          <cell r="D1440" t="str">
            <v>MAXIMO PAZ</v>
          </cell>
          <cell r="E1440" t="str">
            <v>25 DE MAYO</v>
          </cell>
          <cell r="F1440">
            <v>963</v>
          </cell>
          <cell r="H1440" t="str">
            <v>PAZ</v>
          </cell>
          <cell r="I1440" t="str">
            <v>S2115ZAA</v>
          </cell>
        </row>
        <row r="1441">
          <cell r="A1441" t="str">
            <v>S0410</v>
          </cell>
          <cell r="B1441" t="str">
            <v>SANTA FE</v>
          </cell>
          <cell r="C1441" t="str">
            <v>ROSARIO</v>
          </cell>
          <cell r="D1441" t="str">
            <v>PEREZ</v>
          </cell>
          <cell r="E1441" t="str">
            <v>DR ALBERTO CHIAVARINI</v>
          </cell>
          <cell r="F1441">
            <v>1199</v>
          </cell>
          <cell r="H1441" t="str">
            <v>PEREZ</v>
          </cell>
          <cell r="I1441" t="str">
            <v>S2121ZAA</v>
          </cell>
        </row>
        <row r="1442">
          <cell r="A1442" t="str">
            <v>S0412</v>
          </cell>
          <cell r="B1442" t="str">
            <v>SANTA FE</v>
          </cell>
          <cell r="C1442" t="str">
            <v>CONSTITUCION</v>
          </cell>
          <cell r="D1442" t="str">
            <v>PEYRANO</v>
          </cell>
          <cell r="E1442" t="str">
            <v>AV CENTENARIO</v>
          </cell>
          <cell r="F1442">
            <v>821</v>
          </cell>
          <cell r="H1442" t="str">
            <v>PEYRANO</v>
          </cell>
          <cell r="I1442" t="str">
            <v>S2113ZAA</v>
          </cell>
        </row>
        <row r="1443">
          <cell r="A1443" t="str">
            <v>S0414</v>
          </cell>
          <cell r="B1443" t="str">
            <v>SANTA FE</v>
          </cell>
          <cell r="C1443" t="str">
            <v>SAN LORENZO</v>
          </cell>
          <cell r="D1443" t="str">
            <v>PUERTO GRAL SAN MARTIN</v>
          </cell>
          <cell r="E1443" t="str">
            <v>CORDOBA</v>
          </cell>
          <cell r="F1443">
            <v>884</v>
          </cell>
          <cell r="H1443" t="str">
            <v>PUERTO GRAL. SAN MARTIN</v>
          </cell>
          <cell r="I1443" t="str">
            <v>S2202ZAA</v>
          </cell>
        </row>
        <row r="1444">
          <cell r="A1444" t="str">
            <v>S0416</v>
          </cell>
          <cell r="B1444" t="str">
            <v>SANTA FE</v>
          </cell>
          <cell r="C1444" t="str">
            <v>SAN LORENZO</v>
          </cell>
          <cell r="D1444" t="str">
            <v>PUJATO</v>
          </cell>
          <cell r="E1444" t="str">
            <v>DR LISANDRO DE LA TORRE</v>
          </cell>
          <cell r="F1444">
            <v>345</v>
          </cell>
          <cell r="H1444" t="str">
            <v>PUJATO</v>
          </cell>
          <cell r="I1444" t="str">
            <v>S2122ZAA</v>
          </cell>
        </row>
        <row r="1445">
          <cell r="A1445" t="str">
            <v>S0418</v>
          </cell>
          <cell r="B1445" t="str">
            <v>SANTA FE</v>
          </cell>
          <cell r="C1445" t="str">
            <v>SAN LORENZO</v>
          </cell>
          <cell r="D1445" t="str">
            <v>ROLDAN</v>
          </cell>
          <cell r="E1445" t="str">
            <v>FRAY L BELTRAN</v>
          </cell>
          <cell r="F1445">
            <v>161</v>
          </cell>
          <cell r="H1445" t="str">
            <v>ROLDAN</v>
          </cell>
          <cell r="I1445" t="str">
            <v>S2134ZAA</v>
          </cell>
        </row>
        <row r="1446">
          <cell r="A1446" t="str">
            <v>S0452</v>
          </cell>
          <cell r="B1446" t="str">
            <v>SANTA FE</v>
          </cell>
          <cell r="C1446" t="str">
            <v>CONSTITUCION</v>
          </cell>
          <cell r="D1446" t="str">
            <v>RUEDA</v>
          </cell>
          <cell r="E1446" t="str">
            <v>DR PEDRO RUEDA</v>
          </cell>
          <cell r="F1446">
            <v>530</v>
          </cell>
          <cell r="H1446" t="str">
            <v>RUEDA</v>
          </cell>
          <cell r="I1446" t="str">
            <v>S2923ZAA</v>
          </cell>
        </row>
        <row r="1447">
          <cell r="A1447" t="str">
            <v>S0454</v>
          </cell>
          <cell r="B1447" t="str">
            <v>SANTA FE</v>
          </cell>
          <cell r="C1447" t="str">
            <v>GENERAL LOPEZ</v>
          </cell>
          <cell r="D1447" t="str">
            <v>RUFINO</v>
          </cell>
          <cell r="E1447" t="str">
            <v>CENTENARIO</v>
          </cell>
          <cell r="F1447">
            <v>298</v>
          </cell>
          <cell r="H1447" t="str">
            <v>RUFINO</v>
          </cell>
          <cell r="I1447" t="str">
            <v>S6100ZAA</v>
          </cell>
        </row>
        <row r="1448">
          <cell r="A1448" t="str">
            <v>S0456</v>
          </cell>
          <cell r="B1448" t="str">
            <v>SANTA FE</v>
          </cell>
          <cell r="C1448" t="str">
            <v>IRIONDO</v>
          </cell>
          <cell r="D1448" t="str">
            <v>SALTO GRANDE</v>
          </cell>
          <cell r="E1448" t="str">
            <v>ARGENTINA</v>
          </cell>
          <cell r="F1448">
            <v>117</v>
          </cell>
          <cell r="H1448" t="str">
            <v>SALTO GRANDE</v>
          </cell>
          <cell r="I1448" t="str">
            <v>S2142ZAA</v>
          </cell>
        </row>
        <row r="1449">
          <cell r="A1449" t="str">
            <v>S0458</v>
          </cell>
          <cell r="B1449" t="str">
            <v>SANTA FE</v>
          </cell>
          <cell r="C1449" t="str">
            <v>GENERAL LOPEZ</v>
          </cell>
          <cell r="D1449" t="str">
            <v>SAN EDUARDO</v>
          </cell>
          <cell r="E1449" t="str">
            <v>SARMIENTO</v>
          </cell>
          <cell r="F1449">
            <v>344</v>
          </cell>
          <cell r="H1449" t="str">
            <v>SAN EDUARDO</v>
          </cell>
          <cell r="I1449" t="str">
            <v>S2615ZAA</v>
          </cell>
        </row>
        <row r="1450">
          <cell r="A1450" t="str">
            <v>S0460</v>
          </cell>
          <cell r="B1450" t="str">
            <v>SANTA FE</v>
          </cell>
          <cell r="C1450" t="str">
            <v>CASEROS</v>
          </cell>
          <cell r="D1450" t="str">
            <v>SANFORD</v>
          </cell>
          <cell r="E1450" t="str">
            <v>AV LAS HERAS</v>
          </cell>
          <cell r="F1450">
            <v>575</v>
          </cell>
          <cell r="H1450" t="str">
            <v>SANFORD</v>
          </cell>
          <cell r="I1450" t="str">
            <v>S2174ZAA</v>
          </cell>
        </row>
        <row r="1451">
          <cell r="A1451" t="str">
            <v>S0462</v>
          </cell>
          <cell r="B1451" t="str">
            <v>SANTA FE</v>
          </cell>
          <cell r="C1451" t="str">
            <v>GENERAL LOPEZ</v>
          </cell>
          <cell r="D1451" t="str">
            <v>SAN GREGORIO</v>
          </cell>
          <cell r="E1451" t="str">
            <v>JOSEFINA DE ALVEAR</v>
          </cell>
          <cell r="F1451">
            <v>99</v>
          </cell>
          <cell r="H1451" t="str">
            <v>SAN GREGORIO</v>
          </cell>
          <cell r="I1451" t="str">
            <v>S2613ZAA</v>
          </cell>
        </row>
        <row r="1452">
          <cell r="A1452" t="str">
            <v>S0464</v>
          </cell>
          <cell r="B1452" t="str">
            <v>SANTA FE</v>
          </cell>
          <cell r="C1452" t="str">
            <v>SAN LORENZO</v>
          </cell>
          <cell r="D1452" t="str">
            <v>SAN JERONIMO SUD</v>
          </cell>
          <cell r="E1452" t="str">
            <v>SAN MARTIN</v>
          </cell>
          <cell r="F1452">
            <v>416</v>
          </cell>
          <cell r="H1452" t="str">
            <v>SAN JERONIMO SUD</v>
          </cell>
          <cell r="I1452" t="str">
            <v>S2136ZAA</v>
          </cell>
        </row>
        <row r="1453">
          <cell r="A1453" t="str">
            <v>S0466</v>
          </cell>
          <cell r="B1453" t="str">
            <v>SANTA FE</v>
          </cell>
          <cell r="C1453" t="str">
            <v>CASEROS</v>
          </cell>
          <cell r="D1453" t="str">
            <v>SAN JOSE DE LA ESQUINA</v>
          </cell>
          <cell r="E1453" t="str">
            <v>AV PELLEGRINI</v>
          </cell>
          <cell r="F1453">
            <v>1081</v>
          </cell>
          <cell r="H1453" t="str">
            <v>SAN JOSE DE LA ESQUINA</v>
          </cell>
          <cell r="I1453" t="str">
            <v>S2185ZAA</v>
          </cell>
        </row>
        <row r="1454">
          <cell r="A1454" t="str">
            <v>S0468</v>
          </cell>
          <cell r="B1454" t="str">
            <v>SANTA FE</v>
          </cell>
          <cell r="C1454" t="str">
            <v>SAN LORENZO</v>
          </cell>
          <cell r="D1454" t="str">
            <v>SAN LORENZO</v>
          </cell>
          <cell r="E1454" t="str">
            <v>AV GRAL SAN MARTIN</v>
          </cell>
          <cell r="F1454">
            <v>1202</v>
          </cell>
          <cell r="H1454" t="str">
            <v>SAN LORENZO</v>
          </cell>
          <cell r="I1454" t="str">
            <v>S2200ZAA</v>
          </cell>
        </row>
        <row r="1455">
          <cell r="A1455" t="str">
            <v>S0470</v>
          </cell>
          <cell r="B1455" t="str">
            <v>SANTA FE</v>
          </cell>
          <cell r="C1455" t="str">
            <v>GENERAL LOPEZ</v>
          </cell>
          <cell r="D1455" t="str">
            <v>SANCTI SPIRITU</v>
          </cell>
          <cell r="E1455" t="str">
            <v>DR LISANDRO DE LA TORRE</v>
          </cell>
          <cell r="F1455">
            <v>394</v>
          </cell>
          <cell r="H1455" t="str">
            <v>SANCTI SPIRITU</v>
          </cell>
          <cell r="I1455" t="str">
            <v>S2617ZAA</v>
          </cell>
        </row>
        <row r="1456">
          <cell r="A1456" t="str">
            <v>S0472</v>
          </cell>
          <cell r="B1456" t="str">
            <v>SANTA FE</v>
          </cell>
          <cell r="C1456" t="str">
            <v>GENERAL LOPEZ</v>
          </cell>
          <cell r="D1456" t="str">
            <v>SANTA ISABEL</v>
          </cell>
          <cell r="E1456" t="str">
            <v>RIVADAVIA</v>
          </cell>
          <cell r="F1456">
            <v>1071</v>
          </cell>
          <cell r="H1456" t="str">
            <v>SANTA ISABEL</v>
          </cell>
          <cell r="I1456" t="str">
            <v>S2605ZAA</v>
          </cell>
        </row>
        <row r="1457">
          <cell r="A1457" t="str">
            <v>S0474</v>
          </cell>
          <cell r="B1457" t="str">
            <v>SANTA FE</v>
          </cell>
          <cell r="C1457" t="str">
            <v>CONSTITUCION</v>
          </cell>
          <cell r="D1457" t="str">
            <v>SANTA TERESA</v>
          </cell>
          <cell r="E1457" t="str">
            <v>PRIMERA JUNTA</v>
          </cell>
          <cell r="F1457">
            <v>468</v>
          </cell>
          <cell r="H1457" t="str">
            <v>SANTA TERESA</v>
          </cell>
          <cell r="I1457" t="str">
            <v>S2111ZAA</v>
          </cell>
        </row>
        <row r="1458">
          <cell r="A1458" t="str">
            <v>S0476</v>
          </cell>
          <cell r="B1458" t="str">
            <v>SANTA FE</v>
          </cell>
          <cell r="C1458" t="str">
            <v>IRIONDO</v>
          </cell>
          <cell r="D1458" t="str">
            <v>SERODINO</v>
          </cell>
          <cell r="E1458" t="str">
            <v>SAN MARTIN</v>
          </cell>
          <cell r="F1458">
            <v>560</v>
          </cell>
          <cell r="H1458" t="str">
            <v>SERODINO</v>
          </cell>
          <cell r="I1458" t="str">
            <v>S2216ZAA</v>
          </cell>
        </row>
        <row r="1459">
          <cell r="A1459" t="str">
            <v>S0478</v>
          </cell>
          <cell r="B1459" t="str">
            <v>SANTA FE</v>
          </cell>
          <cell r="C1459" t="str">
            <v>GENERAL LOPEZ</v>
          </cell>
          <cell r="D1459" t="str">
            <v>TEODELINA</v>
          </cell>
          <cell r="E1459" t="str">
            <v>9 DE JULIO</v>
          </cell>
          <cell r="F1459">
            <v>344</v>
          </cell>
          <cell r="H1459" t="str">
            <v>TEODELINA</v>
          </cell>
          <cell r="I1459" t="str">
            <v>S6009ZAA</v>
          </cell>
        </row>
        <row r="1460">
          <cell r="A1460" t="str">
            <v>S0480</v>
          </cell>
          <cell r="B1460" t="str">
            <v>SANTA FE</v>
          </cell>
          <cell r="C1460" t="str">
            <v>SAN LORENZO</v>
          </cell>
          <cell r="D1460" t="str">
            <v>TIMBUES</v>
          </cell>
          <cell r="E1460" t="str">
            <v>GABOTO</v>
          </cell>
          <cell r="F1460">
            <v>573</v>
          </cell>
          <cell r="H1460" t="str">
            <v>TIMBUES</v>
          </cell>
          <cell r="I1460" t="str">
            <v>S2204ZAA</v>
          </cell>
        </row>
        <row r="1461">
          <cell r="A1461" t="str">
            <v>S0482</v>
          </cell>
          <cell r="B1461" t="str">
            <v>SANTA FE</v>
          </cell>
          <cell r="C1461" t="str">
            <v>BELGRANO</v>
          </cell>
          <cell r="D1461" t="str">
            <v>TORTUGAS</v>
          </cell>
          <cell r="E1461" t="str">
            <v>SAN MARTIN</v>
          </cell>
          <cell r="F1461">
            <v>180</v>
          </cell>
          <cell r="H1461" t="str">
            <v>TORTUGAS</v>
          </cell>
          <cell r="I1461" t="str">
            <v>S2512ZAA</v>
          </cell>
        </row>
        <row r="1462">
          <cell r="A1462" t="str">
            <v>S0484</v>
          </cell>
          <cell r="B1462" t="str">
            <v>SANTA FE</v>
          </cell>
          <cell r="C1462" t="str">
            <v>IRIONDO</v>
          </cell>
          <cell r="D1462" t="str">
            <v>TOTORAS</v>
          </cell>
          <cell r="E1462" t="str">
            <v>MITRE</v>
          </cell>
          <cell r="F1462">
            <v>1096</v>
          </cell>
          <cell r="H1462" t="str">
            <v>TOTORAS</v>
          </cell>
          <cell r="I1462" t="str">
            <v>S2144ZAA</v>
          </cell>
        </row>
        <row r="1463">
          <cell r="A1463" t="str">
            <v>S0486</v>
          </cell>
          <cell r="B1463" t="str">
            <v>SANTA FE</v>
          </cell>
          <cell r="C1463" t="str">
            <v>GENERAL LOPEZ</v>
          </cell>
          <cell r="D1463" t="str">
            <v>VENADO TUERTO</v>
          </cell>
          <cell r="E1463" t="str">
            <v>SAAVEDRA</v>
          </cell>
          <cell r="F1463">
            <v>497</v>
          </cell>
          <cell r="H1463" t="str">
            <v>VENADO TUERTO</v>
          </cell>
          <cell r="I1463" t="str">
            <v>S2600ZAA</v>
          </cell>
        </row>
        <row r="1464">
          <cell r="A1464" t="str">
            <v>S0488</v>
          </cell>
          <cell r="B1464" t="str">
            <v>SANTA FE</v>
          </cell>
          <cell r="C1464" t="str">
            <v>GENERAL LOPEZ</v>
          </cell>
          <cell r="D1464" t="str">
            <v>VILLA CAÃ‘AS</v>
          </cell>
          <cell r="E1464" t="str">
            <v>CALLE 59</v>
          </cell>
          <cell r="F1464">
            <v>446</v>
          </cell>
          <cell r="H1464" t="str">
            <v>VILLA CAÃ‘AS</v>
          </cell>
          <cell r="I1464" t="str">
            <v>S2607ZAA</v>
          </cell>
        </row>
        <row r="1465">
          <cell r="A1465" t="str">
            <v>S0490</v>
          </cell>
          <cell r="B1465" t="str">
            <v>SANTA FE</v>
          </cell>
          <cell r="C1465" t="str">
            <v>CONSTITUCION</v>
          </cell>
          <cell r="D1465" t="str">
            <v>VILLA CONSTITUCION</v>
          </cell>
          <cell r="E1465" t="str">
            <v>GRAL SAN MARTIN</v>
          </cell>
          <cell r="F1465">
            <v>802</v>
          </cell>
          <cell r="H1465" t="str">
            <v>VILLA CONSTITUCION</v>
          </cell>
          <cell r="I1465" t="str">
            <v>S2919ZAA</v>
          </cell>
        </row>
        <row r="1466">
          <cell r="A1466" t="str">
            <v>S0492</v>
          </cell>
          <cell r="B1466" t="str">
            <v>SANTA FE</v>
          </cell>
          <cell r="C1466" t="str">
            <v>IRIONDO</v>
          </cell>
          <cell r="D1466" t="str">
            <v>VILLA ELOISA</v>
          </cell>
          <cell r="E1466" t="str">
            <v>PTE D F SARMIENTO</v>
          </cell>
          <cell r="F1466">
            <v>401</v>
          </cell>
          <cell r="H1466" t="str">
            <v>VILLA ELOISA</v>
          </cell>
          <cell r="I1466" t="str">
            <v>S2503ZAA</v>
          </cell>
        </row>
        <row r="1467">
          <cell r="A1467" t="str">
            <v>S0494</v>
          </cell>
          <cell r="B1467" t="str">
            <v>SANTA FE</v>
          </cell>
          <cell r="C1467" t="str">
            <v>ROSARIO</v>
          </cell>
          <cell r="D1467" t="str">
            <v>VILLA GOBERNADOR GALVEZ</v>
          </cell>
          <cell r="E1467" t="str">
            <v>AV FILIPPINI</v>
          </cell>
          <cell r="F1467">
            <v>1972</v>
          </cell>
          <cell r="H1467" t="str">
            <v>VILLA G. GALVEZ</v>
          </cell>
          <cell r="I1467" t="str">
            <v>S2124ZAA</v>
          </cell>
        </row>
        <row r="1468">
          <cell r="A1468" t="str">
            <v>S0496</v>
          </cell>
          <cell r="B1468" t="str">
            <v>SANTA FE</v>
          </cell>
          <cell r="C1468" t="str">
            <v>SAN LORENZO</v>
          </cell>
          <cell r="D1468" t="str">
            <v>VILLA MUGUETA</v>
          </cell>
          <cell r="E1468" t="str">
            <v>B RIVADAVIA</v>
          </cell>
          <cell r="F1468">
            <v>799</v>
          </cell>
          <cell r="H1468" t="str">
            <v>VILLA MUGUETA</v>
          </cell>
          <cell r="I1468" t="str">
            <v>S2175ZAA</v>
          </cell>
        </row>
        <row r="1469">
          <cell r="A1469" t="str">
            <v>S0498</v>
          </cell>
          <cell r="B1469" t="str">
            <v>SANTA FE</v>
          </cell>
          <cell r="C1469" t="str">
            <v>GENERAL LOPEZ</v>
          </cell>
          <cell r="D1469" t="str">
            <v>WHEELWRIGHT</v>
          </cell>
          <cell r="E1469" t="str">
            <v>DR MARIANO MORENO</v>
          </cell>
          <cell r="F1469">
            <v>680</v>
          </cell>
          <cell r="H1469" t="str">
            <v>WHEELWRIGHT</v>
          </cell>
          <cell r="I1469" t="str">
            <v>S2722ZAA</v>
          </cell>
        </row>
        <row r="1470">
          <cell r="A1470" t="str">
            <v>S0500</v>
          </cell>
          <cell r="B1470" t="str">
            <v>SANTA FE</v>
          </cell>
          <cell r="C1470" t="str">
            <v>ROSARIO</v>
          </cell>
          <cell r="D1470" t="str">
            <v>ZAVALLA</v>
          </cell>
          <cell r="E1470" t="str">
            <v>25 DE MAYO</v>
          </cell>
          <cell r="F1470">
            <v>2124</v>
          </cell>
          <cell r="H1470" t="str">
            <v>ZAVALLA</v>
          </cell>
          <cell r="I1470" t="str">
            <v>S2125ZAA</v>
          </cell>
        </row>
        <row r="1471">
          <cell r="A1471" t="str">
            <v>S1028</v>
          </cell>
          <cell r="B1471" t="str">
            <v>SANTA FE</v>
          </cell>
          <cell r="C1471" t="str">
            <v>SAN JUSTO</v>
          </cell>
          <cell r="D1471" t="str">
            <v>COLONIA DOLORES</v>
          </cell>
          <cell r="E1471" t="str">
            <v>ZONA URBANA</v>
          </cell>
          <cell r="H1471" t="str">
            <v>COLONIA DOLORES</v>
          </cell>
          <cell r="I1471" t="str">
            <v>S3045ZAA</v>
          </cell>
        </row>
        <row r="1472">
          <cell r="A1472" t="str">
            <v>S1034</v>
          </cell>
          <cell r="B1472" t="str">
            <v>SANTA FE</v>
          </cell>
          <cell r="C1472" t="str">
            <v>SAN JUSTO</v>
          </cell>
          <cell r="D1472" t="str">
            <v>COLONIA LA PENCA</v>
          </cell>
          <cell r="E1472" t="str">
            <v>ZONA URBANA</v>
          </cell>
          <cell r="H1472" t="str">
            <v>COLONIA LA PENCA</v>
          </cell>
          <cell r="I1472" t="str">
            <v>S3045ZAB</v>
          </cell>
        </row>
        <row r="1473">
          <cell r="A1473" t="str">
            <v>S1056</v>
          </cell>
          <cell r="B1473" t="str">
            <v>SANTA FE</v>
          </cell>
          <cell r="C1473" t="str">
            <v>LAS COLONIAS</v>
          </cell>
          <cell r="D1473" t="str">
            <v>EMPALME SAN CARLOS</v>
          </cell>
          <cell r="E1473" t="str">
            <v>ZONA URBANA</v>
          </cell>
          <cell r="H1473" t="str">
            <v>EMPALME SAN CARLOS</v>
          </cell>
          <cell r="I1473" t="str">
            <v>S3007ZAA</v>
          </cell>
        </row>
        <row r="1474">
          <cell r="A1474" t="str">
            <v>S1094</v>
          </cell>
          <cell r="B1474" t="str">
            <v>SANTA FE</v>
          </cell>
          <cell r="C1474" t="str">
            <v>GENERAL OBLIGADO</v>
          </cell>
          <cell r="D1474" t="str">
            <v>LANTERI</v>
          </cell>
          <cell r="E1474" t="str">
            <v>16 DE SEPTIEMBRE</v>
          </cell>
          <cell r="F1474">
            <v>0</v>
          </cell>
          <cell r="H1474" t="str">
            <v>LANTERI</v>
          </cell>
          <cell r="I1474" t="str">
            <v>S3576ZAA</v>
          </cell>
        </row>
        <row r="1475">
          <cell r="A1475" t="str">
            <v>S1114</v>
          </cell>
          <cell r="B1475" t="str">
            <v>SANTA FE</v>
          </cell>
          <cell r="C1475" t="str">
            <v>CASTELLANOS</v>
          </cell>
          <cell r="D1475" t="str">
            <v>SAGUIER</v>
          </cell>
          <cell r="E1475" t="str">
            <v>9 DE JULIO</v>
          </cell>
          <cell r="F1475">
            <v>0</v>
          </cell>
          <cell r="H1475" t="str">
            <v>SAGUIER</v>
          </cell>
          <cell r="I1475" t="str">
            <v>S2321ZAA</v>
          </cell>
        </row>
        <row r="1476">
          <cell r="A1476" t="str">
            <v>S1134</v>
          </cell>
          <cell r="B1476" t="str">
            <v>SANTA FE</v>
          </cell>
          <cell r="C1476" t="str">
            <v>LA CAPITAL</v>
          </cell>
          <cell r="D1476" t="str">
            <v>SAUCE VIEJO</v>
          </cell>
          <cell r="E1476" t="str">
            <v>RIVADAVIA</v>
          </cell>
          <cell r="F1476">
            <v>1158</v>
          </cell>
          <cell r="H1476" t="str">
            <v>SAUCE VIEJO</v>
          </cell>
          <cell r="I1476" t="str">
            <v>S3034ZAB</v>
          </cell>
        </row>
        <row r="1477">
          <cell r="A1477" t="str">
            <v>S1608</v>
          </cell>
          <cell r="B1477" t="str">
            <v>SANTA FE</v>
          </cell>
          <cell r="C1477" t="str">
            <v>IRIONDO</v>
          </cell>
          <cell r="D1477" t="str">
            <v>ANDINO</v>
          </cell>
          <cell r="E1477" t="str">
            <v>L N ALEM</v>
          </cell>
          <cell r="F1477">
            <v>829</v>
          </cell>
          <cell r="H1477" t="str">
            <v>ANDINO</v>
          </cell>
          <cell r="I1477" t="str">
            <v>S2215ZAA</v>
          </cell>
        </row>
        <row r="1478">
          <cell r="A1478" t="str">
            <v>S3496</v>
          </cell>
          <cell r="B1478" t="str">
            <v>SANTA FE</v>
          </cell>
          <cell r="C1478" t="str">
            <v>LA CAPITAL</v>
          </cell>
          <cell r="D1478" t="str">
            <v>SANTA FE</v>
          </cell>
          <cell r="E1478" t="str">
            <v>PRES BERNARDINO RIVADAVIA</v>
          </cell>
          <cell r="F1478">
            <v>2622</v>
          </cell>
          <cell r="H1478" t="str">
            <v>AGENCIA ADUANA</v>
          </cell>
          <cell r="I1478" t="str">
            <v>S3000ZAA</v>
          </cell>
        </row>
        <row r="1479">
          <cell r="A1479" t="str">
            <v>S3497</v>
          </cell>
          <cell r="B1479" t="str">
            <v>SANTA FE</v>
          </cell>
          <cell r="C1479" t="str">
            <v>LA CAPITAL</v>
          </cell>
          <cell r="D1479" t="str">
            <v>SANTA FE</v>
          </cell>
          <cell r="E1479" t="str">
            <v>MENDOZA</v>
          </cell>
          <cell r="F1479">
            <v>3320</v>
          </cell>
          <cell r="H1479" t="str">
            <v>AGENCIA NÂº 1</v>
          </cell>
          <cell r="I1479" t="str">
            <v>S3000ZAB</v>
          </cell>
        </row>
        <row r="1480">
          <cell r="A1480" t="str">
            <v>S3673</v>
          </cell>
          <cell r="B1480" t="str">
            <v>SANTA FE</v>
          </cell>
          <cell r="C1480" t="str">
            <v>LA CAPITAL</v>
          </cell>
          <cell r="D1480" t="str">
            <v>SANTA FE</v>
          </cell>
          <cell r="E1480" t="str">
            <v>3 DE FEBRERO</v>
          </cell>
          <cell r="F1480">
            <v>2761</v>
          </cell>
          <cell r="H1480" t="str">
            <v>MINIPOST TRIBUNALES</v>
          </cell>
          <cell r="I1480" t="str">
            <v>S3000ZCH</v>
          </cell>
        </row>
        <row r="1481">
          <cell r="A1481" t="str">
            <v>G0000</v>
          </cell>
          <cell r="B1481" t="str">
            <v>SANTIAGO DEL ESTERO</v>
          </cell>
          <cell r="C1481" t="str">
            <v>CAPITAL</v>
          </cell>
          <cell r="D1481" t="str">
            <v>SANTIAGO DEL ESTERO</v>
          </cell>
          <cell r="E1481" t="str">
            <v>BUENOS AIRES</v>
          </cell>
          <cell r="F1481">
            <v>252</v>
          </cell>
          <cell r="H1481" t="str">
            <v>SGO. DEL ESTERO</v>
          </cell>
          <cell r="I1481" t="str">
            <v>G4200ZAA</v>
          </cell>
        </row>
        <row r="1482">
          <cell r="A1482" t="str">
            <v>G0001</v>
          </cell>
          <cell r="B1482" t="str">
            <v>SANTIAGO DEL ESTERO</v>
          </cell>
          <cell r="C1482" t="str">
            <v>TABOADA</v>
          </cell>
          <cell r="D1482" t="str">
            <v>AÃ‘ATUYA</v>
          </cell>
          <cell r="E1482" t="str">
            <v>AV GRAL M BELGRANO</v>
          </cell>
          <cell r="F1482">
            <v>19</v>
          </cell>
          <cell r="H1482" t="str">
            <v>AÃ‘ATUYA</v>
          </cell>
          <cell r="I1482" t="str">
            <v>G3760ZAA</v>
          </cell>
        </row>
        <row r="1483">
          <cell r="A1483" t="str">
            <v>G0003</v>
          </cell>
          <cell r="B1483" t="str">
            <v>SANTIAGO DEL ESTERO</v>
          </cell>
          <cell r="C1483" t="str">
            <v>CAPITAL</v>
          </cell>
          <cell r="D1483" t="str">
            <v>SANTIAGO DEL ESTERO</v>
          </cell>
          <cell r="E1483" t="str">
            <v>PEDRO LEON GALLO</v>
          </cell>
          <cell r="F1483">
            <v>486</v>
          </cell>
          <cell r="H1483" t="str">
            <v>SANTIAGO DEL ESRERO 3</v>
          </cell>
          <cell r="I1483" t="str">
            <v>G4204ZAA</v>
          </cell>
        </row>
        <row r="1484">
          <cell r="A1484" t="str">
            <v>G0004</v>
          </cell>
          <cell r="B1484" t="str">
            <v>SANTIAGO DEL ESTERO</v>
          </cell>
          <cell r="C1484" t="str">
            <v>BELGRANO</v>
          </cell>
          <cell r="D1484" t="str">
            <v>BANDERA</v>
          </cell>
          <cell r="E1484" t="str">
            <v>MANUEL BELGRANO</v>
          </cell>
          <cell r="F1484">
            <v>20</v>
          </cell>
          <cell r="H1484" t="str">
            <v>BANDERA</v>
          </cell>
          <cell r="I1484" t="str">
            <v>G3064ZAA</v>
          </cell>
        </row>
        <row r="1485">
          <cell r="A1485" t="str">
            <v>G0006</v>
          </cell>
          <cell r="B1485" t="str">
            <v>SANTIAGO DEL ESTERO</v>
          </cell>
          <cell r="C1485" t="str">
            <v>ROBLES</v>
          </cell>
          <cell r="D1485" t="str">
            <v>BELTRAN</v>
          </cell>
          <cell r="E1485" t="str">
            <v>ESPAÃ‘A</v>
          </cell>
          <cell r="F1485">
            <v>60</v>
          </cell>
          <cell r="H1485" t="str">
            <v>BELTRAN</v>
          </cell>
          <cell r="I1485" t="str">
            <v>G4308ZAA</v>
          </cell>
        </row>
        <row r="1486">
          <cell r="A1486" t="str">
            <v>G0008</v>
          </cell>
          <cell r="B1486" t="str">
            <v>SANTIAGO DEL ESTERO</v>
          </cell>
          <cell r="C1486" t="str">
            <v>SAN MARTIN</v>
          </cell>
          <cell r="D1486" t="str">
            <v>BREA POZO</v>
          </cell>
          <cell r="E1486" t="str">
            <v>AV TTE CNEL GARCIA</v>
          </cell>
          <cell r="F1486">
            <v>100</v>
          </cell>
          <cell r="H1486" t="str">
            <v>BREA POZO</v>
          </cell>
          <cell r="I1486" t="str">
            <v>G4313ZAA</v>
          </cell>
        </row>
        <row r="1487">
          <cell r="A1487" t="str">
            <v>G0010</v>
          </cell>
          <cell r="B1487" t="str">
            <v>SANTIAGO DEL ESTERO</v>
          </cell>
          <cell r="C1487" t="str">
            <v>ALBERDI</v>
          </cell>
          <cell r="D1487" t="str">
            <v>CAMPO GALLO</v>
          </cell>
          <cell r="E1487" t="str">
            <v>GRAL M BELGRANO</v>
          </cell>
          <cell r="F1487">
            <v>54</v>
          </cell>
          <cell r="H1487" t="str">
            <v>CAMPO GALLO</v>
          </cell>
          <cell r="I1487" t="str">
            <v>G3747ZAA</v>
          </cell>
        </row>
        <row r="1488">
          <cell r="A1488" t="str">
            <v>G0012</v>
          </cell>
          <cell r="B1488" t="str">
            <v>SANTIAGO DEL ESTERO</v>
          </cell>
          <cell r="C1488" t="str">
            <v>CHOYA</v>
          </cell>
          <cell r="D1488" t="str">
            <v>CHOYA</v>
          </cell>
          <cell r="E1488" t="str">
            <v>CALLE PUBLICA</v>
          </cell>
          <cell r="H1488" t="str">
            <v>CHOYA</v>
          </cell>
          <cell r="I1488" t="str">
            <v>G4233ZAA</v>
          </cell>
        </row>
        <row r="1489">
          <cell r="A1489" t="str">
            <v>G0014</v>
          </cell>
          <cell r="B1489" t="str">
            <v>SANTIAGO DEL ESTERO</v>
          </cell>
          <cell r="C1489" t="str">
            <v>BANDA</v>
          </cell>
          <cell r="D1489" t="str">
            <v>CLODOMIRA</v>
          </cell>
          <cell r="E1489" t="str">
            <v>EUROPA</v>
          </cell>
          <cell r="F1489">
            <v>0</v>
          </cell>
          <cell r="H1489" t="str">
            <v>CLODOMIRA</v>
          </cell>
          <cell r="I1489" t="str">
            <v>G4338ZAA</v>
          </cell>
        </row>
        <row r="1490">
          <cell r="A1490" t="str">
            <v>G0016</v>
          </cell>
          <cell r="B1490" t="str">
            <v>SANTIAGO DEL ESTERO</v>
          </cell>
          <cell r="C1490" t="str">
            <v>AVELLANEDA</v>
          </cell>
          <cell r="D1490" t="str">
            <v>COLONIA DORA</v>
          </cell>
          <cell r="E1490" t="str">
            <v>MAIPU</v>
          </cell>
          <cell r="F1490">
            <v>0</v>
          </cell>
          <cell r="H1490" t="str">
            <v>COLONIA DORA</v>
          </cell>
          <cell r="I1490" t="str">
            <v>G4332ZAA</v>
          </cell>
        </row>
        <row r="1491">
          <cell r="A1491" t="str">
            <v>G0018</v>
          </cell>
          <cell r="B1491" t="str">
            <v>SANTIAGO DEL ESTERO</v>
          </cell>
          <cell r="C1491" t="str">
            <v>JIMENEZ</v>
          </cell>
          <cell r="D1491" t="str">
            <v>EL CHARCO</v>
          </cell>
          <cell r="E1491" t="str">
            <v>CALLE 6</v>
          </cell>
          <cell r="F1491">
            <v>1</v>
          </cell>
          <cell r="H1491" t="str">
            <v>EL CHARCO</v>
          </cell>
          <cell r="I1491" t="str">
            <v>G4306ZAA</v>
          </cell>
        </row>
        <row r="1492">
          <cell r="A1492" t="str">
            <v>G0020</v>
          </cell>
          <cell r="B1492" t="str">
            <v>SANTIAGO DEL ESTERO</v>
          </cell>
          <cell r="C1492" t="str">
            <v>ROBLES</v>
          </cell>
          <cell r="D1492" t="str">
            <v>FERNANDEZ</v>
          </cell>
          <cell r="E1492" t="str">
            <v>LIBERTAD</v>
          </cell>
          <cell r="F1492">
            <v>195</v>
          </cell>
          <cell r="H1492" t="str">
            <v>FERNANDEZ</v>
          </cell>
          <cell r="I1492" t="str">
            <v>G4322ZAA</v>
          </cell>
        </row>
        <row r="1493">
          <cell r="A1493" t="str">
            <v>G0022</v>
          </cell>
          <cell r="B1493" t="str">
            <v>SANTIAGO DEL ESTERO</v>
          </cell>
          <cell r="C1493" t="str">
            <v>CHOYA</v>
          </cell>
          <cell r="D1493" t="str">
            <v>FRIAS</v>
          </cell>
          <cell r="E1493" t="str">
            <v>CARLOS MONTI</v>
          </cell>
          <cell r="F1493">
            <v>50</v>
          </cell>
          <cell r="H1493" t="str">
            <v>FRIAS</v>
          </cell>
          <cell r="I1493" t="str">
            <v>G4230ZAA</v>
          </cell>
        </row>
        <row r="1494">
          <cell r="A1494" t="str">
            <v>G0024</v>
          </cell>
          <cell r="B1494" t="str">
            <v>SANTIAGO DEL ESTERO</v>
          </cell>
          <cell r="C1494" t="str">
            <v>ROBLES</v>
          </cell>
          <cell r="D1494" t="str">
            <v>INGENIERO FORRES</v>
          </cell>
          <cell r="E1494" t="str">
            <v>AV MANUEL BELGRANO</v>
          </cell>
          <cell r="F1494">
            <v>0</v>
          </cell>
          <cell r="H1494" t="str">
            <v>FORRES</v>
          </cell>
          <cell r="I1494" t="str">
            <v>G4312ZAA</v>
          </cell>
        </row>
        <row r="1495">
          <cell r="A1495" t="str">
            <v>G0026</v>
          </cell>
          <cell r="B1495" t="str">
            <v>SANTIAGO DEL ESTERO</v>
          </cell>
          <cell r="C1495" t="str">
            <v>SARMIENTO</v>
          </cell>
          <cell r="D1495" t="str">
            <v>GARZA</v>
          </cell>
          <cell r="E1495" t="str">
            <v>AV GRAL M BELGRANO</v>
          </cell>
          <cell r="F1495">
            <v>4</v>
          </cell>
          <cell r="H1495" t="str">
            <v>GARZA</v>
          </cell>
          <cell r="I1495" t="str">
            <v>G4324ZAA</v>
          </cell>
        </row>
        <row r="1496">
          <cell r="A1496" t="str">
            <v>G0028</v>
          </cell>
          <cell r="B1496" t="str">
            <v>SANTIAGO DEL ESTERO</v>
          </cell>
          <cell r="C1496" t="str">
            <v>BELGRANO</v>
          </cell>
          <cell r="D1496" t="str">
            <v>GUARDIA ESCOLTA</v>
          </cell>
          <cell r="E1496" t="str">
            <v>CALLE 14</v>
          </cell>
          <cell r="F1496">
            <v>100</v>
          </cell>
          <cell r="H1496" t="str">
            <v>GUARDIA ESCOLTA</v>
          </cell>
          <cell r="I1496" t="str">
            <v>G3062ZAA</v>
          </cell>
        </row>
        <row r="1497">
          <cell r="A1497" t="str">
            <v>G0030</v>
          </cell>
          <cell r="B1497" t="str">
            <v>SANTIAGO DEL ESTERO</v>
          </cell>
          <cell r="C1497" t="str">
            <v>AVELLANEDA</v>
          </cell>
          <cell r="D1497" t="str">
            <v>HERRERA</v>
          </cell>
          <cell r="E1497" t="str">
            <v>AV SAN MARTIN</v>
          </cell>
          <cell r="F1497">
            <v>224</v>
          </cell>
          <cell r="H1497" t="str">
            <v>HERRERA</v>
          </cell>
          <cell r="I1497" t="str">
            <v>G4328ZAA</v>
          </cell>
        </row>
        <row r="1498">
          <cell r="A1498" t="str">
            <v>G0032</v>
          </cell>
          <cell r="B1498" t="str">
            <v>SANTIAGO DEL ESTERO</v>
          </cell>
          <cell r="C1498" t="str">
            <v>AVELLANEDA</v>
          </cell>
          <cell r="D1498" t="str">
            <v>ICAÃ‘O</v>
          </cell>
          <cell r="E1498" t="str">
            <v>CORRIENTES</v>
          </cell>
          <cell r="F1498">
            <v>0</v>
          </cell>
          <cell r="H1498" t="str">
            <v>ICAÃ‘O</v>
          </cell>
          <cell r="I1498" t="str">
            <v>G4334ZAA</v>
          </cell>
        </row>
        <row r="1499">
          <cell r="A1499" t="str">
            <v>G0034</v>
          </cell>
          <cell r="B1499" t="str">
            <v>SANTIAGO DEL ESTERO</v>
          </cell>
          <cell r="C1499" t="str">
            <v>BANDA</v>
          </cell>
          <cell r="D1499" t="str">
            <v>LA BANDA</v>
          </cell>
          <cell r="E1499" t="str">
            <v>AV MANUEL BELGRANO</v>
          </cell>
          <cell r="F1499">
            <v>261</v>
          </cell>
          <cell r="H1499" t="str">
            <v>LA BANDA</v>
          </cell>
          <cell r="I1499" t="str">
            <v>G4300ZAA</v>
          </cell>
        </row>
        <row r="1500">
          <cell r="A1500" t="str">
            <v>G0036</v>
          </cell>
          <cell r="B1500" t="str">
            <v>SANTIAGO DEL ESTERO</v>
          </cell>
          <cell r="C1500" t="str">
            <v>CHOYA</v>
          </cell>
          <cell r="D1500" t="str">
            <v>LAPRIDA</v>
          </cell>
          <cell r="E1500" t="str">
            <v>CALLE 1</v>
          </cell>
          <cell r="F1500">
            <v>1</v>
          </cell>
          <cell r="H1500" t="str">
            <v>LAPRIDA</v>
          </cell>
          <cell r="I1500" t="str">
            <v>G4205ZAA</v>
          </cell>
        </row>
        <row r="1501">
          <cell r="A1501" t="str">
            <v>G0038</v>
          </cell>
          <cell r="B1501" t="str">
            <v>SANTIAGO DEL ESTERO</v>
          </cell>
          <cell r="C1501" t="str">
            <v>LORETO</v>
          </cell>
          <cell r="D1501" t="str">
            <v>LORETO</v>
          </cell>
          <cell r="E1501" t="str">
            <v>PTE J D PERON</v>
          </cell>
          <cell r="F1501">
            <v>0</v>
          </cell>
          <cell r="H1501" t="str">
            <v>LORETO</v>
          </cell>
          <cell r="I1501" t="str">
            <v>G4208ZAA</v>
          </cell>
        </row>
        <row r="1502">
          <cell r="A1502" t="str">
            <v>G0040</v>
          </cell>
          <cell r="B1502" t="str">
            <v>SANTIAGO DEL ESTERO</v>
          </cell>
          <cell r="C1502" t="str">
            <v>TABOADA</v>
          </cell>
          <cell r="D1502" t="str">
            <v>LOS JURIES</v>
          </cell>
          <cell r="E1502" t="str">
            <v>SARMIENTO S/N</v>
          </cell>
          <cell r="H1502" t="str">
            <v>LOS JURIES</v>
          </cell>
          <cell r="I1502" t="str">
            <v>G3763ZAA</v>
          </cell>
        </row>
        <row r="1503">
          <cell r="A1503" t="str">
            <v>G0042</v>
          </cell>
          <cell r="B1503" t="str">
            <v>SANTIAGO DEL ESTERO</v>
          </cell>
          <cell r="C1503" t="str">
            <v>SALAVINA</v>
          </cell>
          <cell r="D1503" t="str">
            <v>LOS TELARES</v>
          </cell>
          <cell r="E1503" t="str">
            <v>AV 24 DE SEPTIEMBRE</v>
          </cell>
          <cell r="F1503">
            <v>0</v>
          </cell>
          <cell r="H1503" t="str">
            <v>LOS TELARES</v>
          </cell>
          <cell r="I1503" t="str">
            <v>G4321ZAA</v>
          </cell>
        </row>
        <row r="1504">
          <cell r="A1504" t="str">
            <v>G0044</v>
          </cell>
          <cell r="B1504" t="str">
            <v>SANTIAGO DEL ESTERO</v>
          </cell>
          <cell r="C1504" t="str">
            <v>COPO</v>
          </cell>
          <cell r="D1504" t="str">
            <v>MONTE QUEMADO</v>
          </cell>
          <cell r="E1504" t="str">
            <v>CABILDO</v>
          </cell>
          <cell r="F1504">
            <v>1</v>
          </cell>
          <cell r="H1504" t="str">
            <v>MONTE QUEMADO</v>
          </cell>
          <cell r="I1504" t="str">
            <v>G3714ZAA</v>
          </cell>
        </row>
        <row r="1505">
          <cell r="A1505" t="str">
            <v>G0046</v>
          </cell>
          <cell r="B1505" t="str">
            <v>SANTIAGO DEL ESTERO</v>
          </cell>
          <cell r="C1505" t="str">
            <v>PELLEGRINI</v>
          </cell>
          <cell r="D1505" t="str">
            <v>NUEVA ESPERANZA</v>
          </cell>
          <cell r="E1505" t="str">
            <v>FRANCISCO DE URIARTE</v>
          </cell>
          <cell r="F1505">
            <v>1</v>
          </cell>
          <cell r="H1505" t="str">
            <v>NUEVA ESPERANZA</v>
          </cell>
          <cell r="I1505" t="str">
            <v>G4197ZAA</v>
          </cell>
        </row>
        <row r="1506">
          <cell r="A1506" t="str">
            <v>G0048</v>
          </cell>
          <cell r="B1506" t="str">
            <v>SANTIAGO DEL ESTERO</v>
          </cell>
          <cell r="C1506" t="str">
            <v>OJO DE AGUA</v>
          </cell>
          <cell r="D1506" t="str">
            <v>OJO DE AGUA</v>
          </cell>
          <cell r="E1506" t="str">
            <v>BELGRANO S/N</v>
          </cell>
          <cell r="H1506" t="str">
            <v>OJO DE AGUA</v>
          </cell>
          <cell r="I1506" t="str">
            <v>G5255ZAA</v>
          </cell>
        </row>
        <row r="1507">
          <cell r="A1507" t="str">
            <v>G0050</v>
          </cell>
          <cell r="B1507" t="str">
            <v>SANTIAGO DEL ESTERO</v>
          </cell>
          <cell r="C1507" t="str">
            <v>COPO</v>
          </cell>
          <cell r="D1507" t="str">
            <v>PAMPA DE LOS GUANACOS</v>
          </cell>
          <cell r="E1507" t="str">
            <v>SANTIAGO DEL ESTERO</v>
          </cell>
          <cell r="F1507">
            <v>350</v>
          </cell>
          <cell r="H1507" t="str">
            <v>PAMPA DE LOS GUANACOS</v>
          </cell>
          <cell r="I1507" t="str">
            <v>G3712ZAA</v>
          </cell>
        </row>
        <row r="1508">
          <cell r="A1508" t="str">
            <v>G0052</v>
          </cell>
          <cell r="B1508" t="str">
            <v>SANTIAGO DEL ESTERO</v>
          </cell>
          <cell r="C1508" t="str">
            <v>AGUIRRE</v>
          </cell>
          <cell r="D1508" t="str">
            <v>PINTO  VILLA GENERAL MITRE</v>
          </cell>
          <cell r="E1508" t="str">
            <v>DR MANUEL BELGRANO</v>
          </cell>
          <cell r="F1508">
            <v>99</v>
          </cell>
          <cell r="H1508" t="str">
            <v>PINTO</v>
          </cell>
          <cell r="I1508" t="str">
            <v>G2356ZAA</v>
          </cell>
        </row>
        <row r="1509">
          <cell r="A1509" t="str">
            <v>G0054</v>
          </cell>
          <cell r="B1509" t="str">
            <v>SANTIAGO DEL ESTERO</v>
          </cell>
          <cell r="C1509" t="str">
            <v>JIMENEZ</v>
          </cell>
          <cell r="D1509" t="str">
            <v>POZO HONDO</v>
          </cell>
          <cell r="E1509" t="str">
            <v>AV 24 DE SEPTIEMBRE</v>
          </cell>
          <cell r="F1509">
            <v>100</v>
          </cell>
          <cell r="H1509" t="str">
            <v>POZO HONDO</v>
          </cell>
          <cell r="I1509" t="str">
            <v>G4184ZAA</v>
          </cell>
        </row>
        <row r="1510">
          <cell r="A1510" t="str">
            <v>G0056</v>
          </cell>
          <cell r="B1510" t="str">
            <v>SANTIAGO DEL ESTERO</v>
          </cell>
          <cell r="C1510" t="str">
            <v>MORENO</v>
          </cell>
          <cell r="D1510" t="str">
            <v>QUIMILI</v>
          </cell>
          <cell r="E1510" t="str">
            <v>25 DE MAYO</v>
          </cell>
          <cell r="F1510">
            <v>1</v>
          </cell>
          <cell r="H1510" t="str">
            <v>QUIMILÃ</v>
          </cell>
          <cell r="I1510" t="str">
            <v>G3740ZAA</v>
          </cell>
        </row>
        <row r="1511">
          <cell r="A1511" t="str">
            <v>G0058</v>
          </cell>
          <cell r="B1511" t="str">
            <v>SANTIAGO DEL ESTERO</v>
          </cell>
          <cell r="C1511" t="str">
            <v>AVELLANEDA</v>
          </cell>
          <cell r="D1511" t="str">
            <v>SAN PEDRO</v>
          </cell>
          <cell r="E1511" t="str">
            <v>9 DE JULIO S/N</v>
          </cell>
          <cell r="H1511" t="str">
            <v>SAN PEDRO</v>
          </cell>
          <cell r="I1511" t="str">
            <v>G4238ZAA</v>
          </cell>
        </row>
        <row r="1512">
          <cell r="A1512" t="str">
            <v>G0064</v>
          </cell>
          <cell r="B1512" t="str">
            <v>SANTIAGO DEL ESTERO</v>
          </cell>
          <cell r="C1512" t="str">
            <v>RIVADAVIA</v>
          </cell>
          <cell r="D1512" t="str">
            <v>SELVA</v>
          </cell>
          <cell r="E1512" t="str">
            <v>27 DE ABRIL</v>
          </cell>
          <cell r="F1512">
            <v>105</v>
          </cell>
          <cell r="H1512" t="str">
            <v>SELVA</v>
          </cell>
          <cell r="I1512" t="str">
            <v>G2354ZAA</v>
          </cell>
        </row>
        <row r="1513">
          <cell r="A1513" t="str">
            <v>G0066</v>
          </cell>
          <cell r="B1513" t="str">
            <v>SANTIAGO DEL ESTERO</v>
          </cell>
          <cell r="C1513" t="str">
            <v>OJO DE AGUA</v>
          </cell>
          <cell r="D1513" t="str">
            <v>SOL DE JULIO</v>
          </cell>
          <cell r="E1513" t="str">
            <v>SAN MARTIN S/N   29 PARCELA 10</v>
          </cell>
          <cell r="H1513" t="str">
            <v>SOL DE JULIO</v>
          </cell>
          <cell r="I1513" t="str">
            <v>G5255ZAB</v>
          </cell>
        </row>
        <row r="1514">
          <cell r="A1514" t="str">
            <v>G0068</v>
          </cell>
          <cell r="B1514" t="str">
            <v>SANTIAGO DEL ESTERO</v>
          </cell>
          <cell r="C1514" t="str">
            <v>QUEBRACHOS</v>
          </cell>
          <cell r="D1514" t="str">
            <v>SUMAMPA</v>
          </cell>
          <cell r="E1514" t="str">
            <v>AV EVA PERON</v>
          </cell>
          <cell r="F1514">
            <v>164</v>
          </cell>
          <cell r="H1514" t="str">
            <v>SUMAMPA</v>
          </cell>
          <cell r="I1514" t="str">
            <v>G5253ZAA</v>
          </cell>
        </row>
        <row r="1515">
          <cell r="A1515" t="str">
            <v>G0070</v>
          </cell>
          <cell r="B1515" t="str">
            <v>SANTIAGO DEL ESTERO</v>
          </cell>
          <cell r="C1515" t="str">
            <v>JUAN F IBARRA</v>
          </cell>
          <cell r="D1515" t="str">
            <v>SUNCHO CORRAL</v>
          </cell>
          <cell r="E1515" t="str">
            <v>BME MITRE</v>
          </cell>
          <cell r="F1515">
            <v>0</v>
          </cell>
          <cell r="H1515" t="str">
            <v>SUNCHO CORRAL</v>
          </cell>
          <cell r="I1515" t="str">
            <v>G4350ZAA</v>
          </cell>
        </row>
        <row r="1516">
          <cell r="A1516" t="str">
            <v>G0074</v>
          </cell>
          <cell r="B1516" t="str">
            <v>SANTIAGO DEL ESTERO</v>
          </cell>
          <cell r="C1516" t="str">
            <v>RIO HONDO</v>
          </cell>
          <cell r="D1516" t="str">
            <v>TERMAS DE RIO HONDO</v>
          </cell>
          <cell r="E1516" t="str">
            <v>AV JUAN B ALBERDI</v>
          </cell>
          <cell r="F1516">
            <v>766</v>
          </cell>
          <cell r="H1516" t="str">
            <v>TERMAS DE RIO HONDO</v>
          </cell>
          <cell r="I1516" t="str">
            <v>G4220ZAA</v>
          </cell>
        </row>
        <row r="1517">
          <cell r="A1517" t="str">
            <v>G0076</v>
          </cell>
          <cell r="B1517" t="str">
            <v>SANTIAGO DEL ESTERO</v>
          </cell>
          <cell r="C1517" t="str">
            <v>MORENO</v>
          </cell>
          <cell r="D1517" t="str">
            <v>TINTINA</v>
          </cell>
          <cell r="E1517" t="str">
            <v>GRAL J J DE URQUIZA</v>
          </cell>
          <cell r="F1517">
            <v>1</v>
          </cell>
          <cell r="H1517" t="str">
            <v>TINTINA</v>
          </cell>
          <cell r="I1517" t="str">
            <v>G3743ZAA</v>
          </cell>
        </row>
        <row r="1518">
          <cell r="A1518" t="str">
            <v>G0078</v>
          </cell>
          <cell r="B1518" t="str">
            <v>SANTIAGO DEL ESTERO</v>
          </cell>
          <cell r="C1518" t="str">
            <v>ATAMISQUI</v>
          </cell>
          <cell r="D1518" t="str">
            <v>VILLA ATAMISQUI</v>
          </cell>
          <cell r="E1518" t="str">
            <v>AV 25 DE MAYO</v>
          </cell>
          <cell r="F1518">
            <v>0</v>
          </cell>
          <cell r="H1518" t="str">
            <v>VILLA ATAMISQUI</v>
          </cell>
          <cell r="I1518" t="str">
            <v>G4317ZAA</v>
          </cell>
        </row>
        <row r="1519">
          <cell r="A1519" t="str">
            <v>G0082</v>
          </cell>
          <cell r="B1519" t="str">
            <v>SANTIAGO DEL ESTERO</v>
          </cell>
          <cell r="C1519" t="str">
            <v>RIO HONDO</v>
          </cell>
          <cell r="D1519" t="str">
            <v>VINARA</v>
          </cell>
          <cell r="E1519" t="str">
            <v>CALLE PUBLICA</v>
          </cell>
          <cell r="H1519" t="str">
            <v>VINARÃ</v>
          </cell>
          <cell r="I1519" t="str">
            <v>G4223ZAA</v>
          </cell>
        </row>
        <row r="1520">
          <cell r="A1520" t="str">
            <v>G1038</v>
          </cell>
          <cell r="B1520" t="str">
            <v>SANTIAGO DEL ESTERO</v>
          </cell>
          <cell r="C1520" t="str">
            <v>FIGUEROA</v>
          </cell>
          <cell r="D1520" t="str">
            <v>BANDERA BAJADA</v>
          </cell>
          <cell r="E1520" t="str">
            <v>CALLE PUBLICA</v>
          </cell>
          <cell r="H1520" t="str">
            <v>BANDERA BAJADA</v>
          </cell>
          <cell r="I1520" t="str">
            <v>G4301ZAA</v>
          </cell>
        </row>
        <row r="1521">
          <cell r="A1521" t="str">
            <v>G1040</v>
          </cell>
          <cell r="B1521" t="str">
            <v>SANTIAGO DEL ESTERO</v>
          </cell>
          <cell r="C1521" t="str">
            <v>SAN MARTIN</v>
          </cell>
          <cell r="D1521" t="str">
            <v>BARRANCA COLORADA</v>
          </cell>
          <cell r="E1521" t="str">
            <v>CALLE PUBLICA</v>
          </cell>
          <cell r="H1521" t="str">
            <v>BARRANCA COLORADA</v>
          </cell>
          <cell r="I1521" t="str">
            <v>G4313ZAB</v>
          </cell>
        </row>
        <row r="1522">
          <cell r="A1522" t="str">
            <v>G1138</v>
          </cell>
          <cell r="B1522" t="str">
            <v>SANTIAGO DEL ESTERO</v>
          </cell>
          <cell r="C1522" t="str">
            <v>JIMENEZ</v>
          </cell>
          <cell r="D1522" t="str">
            <v>LA COSTOSA</v>
          </cell>
          <cell r="E1522" t="str">
            <v>CALLE PUBLICA</v>
          </cell>
          <cell r="H1522" t="str">
            <v>LA COSTOSA</v>
          </cell>
          <cell r="I1522" t="str">
            <v>G4187ZAB</v>
          </cell>
        </row>
        <row r="1523">
          <cell r="A1523" t="str">
            <v>G1158</v>
          </cell>
          <cell r="B1523" t="str">
            <v>SANTIAGO DEL ESTERO</v>
          </cell>
          <cell r="C1523" t="str">
            <v>PELLEGRINI</v>
          </cell>
          <cell r="D1523" t="str">
            <v>LAS LOMAS</v>
          </cell>
          <cell r="E1523" t="str">
            <v>CALLE PUBLICA</v>
          </cell>
          <cell r="H1523" t="str">
            <v>LAS LOMAS</v>
          </cell>
          <cell r="I1523" t="str">
            <v>G4189ZAA</v>
          </cell>
        </row>
        <row r="1524">
          <cell r="A1524" t="str">
            <v>G1274</v>
          </cell>
          <cell r="B1524" t="str">
            <v>SANTIAGO DEL ESTERO</v>
          </cell>
          <cell r="C1524" t="str">
            <v>BANDA</v>
          </cell>
          <cell r="D1524" t="str">
            <v>SANTOS LUGARES</v>
          </cell>
          <cell r="E1524" t="str">
            <v>CALLE PUBLICA</v>
          </cell>
          <cell r="H1524" t="str">
            <v>SANTOS LUGARES</v>
          </cell>
          <cell r="I1524" t="str">
            <v>G4300ZAB</v>
          </cell>
        </row>
        <row r="1525">
          <cell r="A1525" t="str">
            <v>G1336</v>
          </cell>
          <cell r="B1525" t="str">
            <v>SANTIAGO DEL ESTERO</v>
          </cell>
          <cell r="C1525" t="str">
            <v>SALAVINA</v>
          </cell>
          <cell r="D1525" t="str">
            <v>VILLA SALAVINA</v>
          </cell>
          <cell r="E1525" t="str">
            <v>CALLE PUBLICA</v>
          </cell>
          <cell r="H1525" t="str">
            <v>SALAVINA</v>
          </cell>
          <cell r="I1525" t="str">
            <v>G4319ZAB</v>
          </cell>
        </row>
        <row r="1526">
          <cell r="A1526" t="str">
            <v>G3056</v>
          </cell>
          <cell r="B1526" t="str">
            <v>SANTIAGO DEL ESTERO</v>
          </cell>
          <cell r="C1526" t="str">
            <v>CAPITAL</v>
          </cell>
          <cell r="D1526" t="str">
            <v>SANTIAGO DEL ESTERO</v>
          </cell>
          <cell r="E1526" t="str">
            <v>ABSALON ROJAS</v>
          </cell>
          <cell r="F1526">
            <v>545</v>
          </cell>
          <cell r="H1526" t="str">
            <v>TRIBUNALES</v>
          </cell>
          <cell r="I1526" t="str">
            <v>G4200ZAC</v>
          </cell>
        </row>
        <row r="1527">
          <cell r="A1527" t="str">
            <v>V0002</v>
          </cell>
          <cell r="B1527" t="str">
            <v>TIERRA DEL FUEGO</v>
          </cell>
          <cell r="C1527" t="str">
            <v>RIO GRANDE</v>
          </cell>
          <cell r="D1527" t="str">
            <v>RIO GRANDE</v>
          </cell>
          <cell r="E1527" t="str">
            <v>B RIVADAVIA</v>
          </cell>
          <cell r="F1527">
            <v>968</v>
          </cell>
          <cell r="H1527" t="str">
            <v>RIO GRANDE</v>
          </cell>
          <cell r="I1527" t="str">
            <v>V9420ZAA</v>
          </cell>
        </row>
        <row r="1528">
          <cell r="A1528" t="str">
            <v>V0004</v>
          </cell>
          <cell r="B1528" t="str">
            <v>TIERRA DEL FUEGO</v>
          </cell>
          <cell r="C1528" t="str">
            <v>USHUAIA</v>
          </cell>
          <cell r="D1528" t="str">
            <v>USHUAIA</v>
          </cell>
          <cell r="E1528" t="str">
            <v>AV GRAL SAN MARTIN</v>
          </cell>
          <cell r="F1528">
            <v>309</v>
          </cell>
          <cell r="H1528" t="str">
            <v>USHUAIA</v>
          </cell>
          <cell r="I1528" t="str">
            <v>V9410ZAA</v>
          </cell>
        </row>
        <row r="1529">
          <cell r="A1529" t="str">
            <v>V3089</v>
          </cell>
          <cell r="B1529" t="str">
            <v>TIERRA DEL FUEGO</v>
          </cell>
          <cell r="C1529" t="str">
            <v>RIO GRANDE</v>
          </cell>
          <cell r="D1529" t="str">
            <v>TOLHUIN</v>
          </cell>
          <cell r="E1529" t="str">
            <v>SANTIAGO RUPATINI</v>
          </cell>
          <cell r="F1529">
            <v>360</v>
          </cell>
          <cell r="H1529" t="str">
            <v>TOLHUIN</v>
          </cell>
          <cell r="I1529" t="str">
            <v>V9412ZAB</v>
          </cell>
        </row>
        <row r="1530">
          <cell r="A1530" t="str">
            <v>T0000</v>
          </cell>
          <cell r="B1530" t="str">
            <v>TUCUMAN</v>
          </cell>
          <cell r="C1530" t="str">
            <v>CAPITAL</v>
          </cell>
          <cell r="D1530" t="str">
            <v>SAN MIGUEL DE TUCUMAN</v>
          </cell>
          <cell r="E1530" t="str">
            <v>PROVINCIA DE CORDOBA</v>
          </cell>
          <cell r="F1530">
            <v>540</v>
          </cell>
          <cell r="H1530" t="str">
            <v>TUCUMAN</v>
          </cell>
          <cell r="I1530" t="str">
            <v>T4000ZAF</v>
          </cell>
        </row>
        <row r="1531">
          <cell r="A1531" t="str">
            <v>T0001</v>
          </cell>
          <cell r="B1531" t="str">
            <v>TUCUMAN</v>
          </cell>
          <cell r="C1531" t="str">
            <v>CAPITAL</v>
          </cell>
          <cell r="D1531" t="str">
            <v>SAN MIGUEL DE TUCUMAN</v>
          </cell>
          <cell r="E1531" t="str">
            <v>AV BME MITRE</v>
          </cell>
          <cell r="F1531">
            <v>815</v>
          </cell>
          <cell r="H1531" t="str">
            <v>TUCUMAN 1</v>
          </cell>
          <cell r="I1531" t="str">
            <v>T4000ZAB</v>
          </cell>
        </row>
        <row r="1532">
          <cell r="A1532" t="str">
            <v>T0002</v>
          </cell>
          <cell r="B1532" t="str">
            <v>TUCUMAN</v>
          </cell>
          <cell r="C1532" t="str">
            <v>CAPITAL</v>
          </cell>
          <cell r="D1532" t="str">
            <v>SAN MIGUEL DE TUCUMAN</v>
          </cell>
          <cell r="E1532" t="str">
            <v>AV L N ALEM</v>
          </cell>
          <cell r="F1532">
            <v>340</v>
          </cell>
          <cell r="H1532" t="str">
            <v>TUCUMAN 2</v>
          </cell>
          <cell r="I1532" t="str">
            <v>T4002ZAA</v>
          </cell>
        </row>
        <row r="1533">
          <cell r="A1533" t="str">
            <v>T0003</v>
          </cell>
          <cell r="B1533" t="str">
            <v>TUCUMAN</v>
          </cell>
          <cell r="C1533" t="str">
            <v>CAPITAL</v>
          </cell>
          <cell r="D1533" t="str">
            <v>SAN MIGUEL DE TUCUMAN</v>
          </cell>
          <cell r="E1533" t="str">
            <v>AV PTE GRAL JULIO A ROCA</v>
          </cell>
          <cell r="F1533">
            <v>477</v>
          </cell>
          <cell r="H1533" t="str">
            <v>TUCUMAN 3</v>
          </cell>
          <cell r="I1533" t="str">
            <v>T4002ZAB</v>
          </cell>
        </row>
        <row r="1534">
          <cell r="A1534" t="str">
            <v>T0004</v>
          </cell>
          <cell r="B1534" t="str">
            <v>TUCUMAN</v>
          </cell>
          <cell r="C1534" t="str">
            <v>RIO CHICO</v>
          </cell>
          <cell r="D1534" t="str">
            <v>AGUILARES</v>
          </cell>
          <cell r="E1534" t="str">
            <v>JOSE MARMOL</v>
          </cell>
          <cell r="F1534">
            <v>1</v>
          </cell>
          <cell r="H1534" t="str">
            <v>AGUILARES</v>
          </cell>
          <cell r="I1534" t="str">
            <v>T4152ZAA</v>
          </cell>
        </row>
        <row r="1535">
          <cell r="A1535" t="str">
            <v>T0005</v>
          </cell>
          <cell r="B1535" t="str">
            <v>TUCUMAN</v>
          </cell>
          <cell r="C1535" t="str">
            <v>CRUZ ALTA</v>
          </cell>
          <cell r="D1535" t="str">
            <v>ALDERETES</v>
          </cell>
          <cell r="E1535" t="str">
            <v>AV RIVADAVIA</v>
          </cell>
          <cell r="F1535">
            <v>930</v>
          </cell>
          <cell r="H1535" t="str">
            <v>ALDERETES</v>
          </cell>
          <cell r="I1535" t="str">
            <v>T4178ZAA</v>
          </cell>
        </row>
        <row r="1536">
          <cell r="A1536" t="str">
            <v>T0006</v>
          </cell>
          <cell r="B1536" t="str">
            <v>TUCUMAN</v>
          </cell>
          <cell r="C1536" t="str">
            <v>TAFI DEL VALLE</v>
          </cell>
          <cell r="D1536" t="str">
            <v>AMAICHA DEL VALLE</v>
          </cell>
          <cell r="E1536" t="str">
            <v>ERNESTO PADILLA</v>
          </cell>
          <cell r="F1536">
            <v>100</v>
          </cell>
          <cell r="H1536" t="str">
            <v>AMAICHA DEL VALLE</v>
          </cell>
          <cell r="I1536" t="str">
            <v>T4137ZAA</v>
          </cell>
        </row>
        <row r="1537">
          <cell r="A1537" t="str">
            <v>T0008</v>
          </cell>
          <cell r="B1537" t="str">
            <v>TUCUMAN</v>
          </cell>
          <cell r="C1537" t="str">
            <v>CRUZ ALTA</v>
          </cell>
          <cell r="D1537" t="str">
            <v>BANDA DEL RIO SALI</v>
          </cell>
          <cell r="E1537" t="str">
            <v>GRAL SAN MARTIN</v>
          </cell>
          <cell r="F1537">
            <v>200</v>
          </cell>
          <cell r="H1537" t="str">
            <v>BDA. DE RIO SALI</v>
          </cell>
          <cell r="I1537" t="str">
            <v>T4109ZAA</v>
          </cell>
        </row>
        <row r="1538">
          <cell r="A1538" t="str">
            <v>T0010</v>
          </cell>
          <cell r="B1538" t="str">
            <v>TUCUMAN</v>
          </cell>
          <cell r="C1538" t="str">
            <v>LEALES</v>
          </cell>
          <cell r="D1538" t="str">
            <v>BELLA VISTA</v>
          </cell>
          <cell r="E1538" t="str">
            <v>MARCONI</v>
          </cell>
          <cell r="F1538">
            <v>398</v>
          </cell>
          <cell r="H1538" t="str">
            <v>BELLA VISTA</v>
          </cell>
          <cell r="I1538" t="str">
            <v>T4168ZAA</v>
          </cell>
        </row>
        <row r="1539">
          <cell r="A1539" t="str">
            <v>T0014</v>
          </cell>
          <cell r="B1539" t="str">
            <v>TUCUMAN</v>
          </cell>
          <cell r="C1539" t="str">
            <v>BURRUYACU</v>
          </cell>
          <cell r="D1539" t="str">
            <v>BURRUYACU</v>
          </cell>
          <cell r="E1539" t="str">
            <v>AV. 25 DE MAYO S/N</v>
          </cell>
          <cell r="H1539" t="str">
            <v>BURRUYACU</v>
          </cell>
          <cell r="I1539" t="str">
            <v>T4119ZAA</v>
          </cell>
        </row>
        <row r="1540">
          <cell r="A1540" t="str">
            <v>T0016</v>
          </cell>
          <cell r="B1540" t="str">
            <v>TUCUMAN</v>
          </cell>
          <cell r="C1540" t="str">
            <v>TAFI DEL VALLE</v>
          </cell>
          <cell r="D1540" t="str">
            <v>COLALAO DEL VALLE</v>
          </cell>
          <cell r="E1540" t="str">
            <v>AV 9 DE JULIO</v>
          </cell>
          <cell r="F1540">
            <v>1</v>
          </cell>
          <cell r="H1540" t="str">
            <v>C. DEL VALLE</v>
          </cell>
          <cell r="I1540" t="str">
            <v>T4141ZAA</v>
          </cell>
        </row>
        <row r="1541">
          <cell r="A1541" t="str">
            <v>T0018</v>
          </cell>
          <cell r="B1541" t="str">
            <v>TUCUMAN</v>
          </cell>
          <cell r="C1541" t="str">
            <v>CHICLIGASTA</v>
          </cell>
          <cell r="D1541" t="str">
            <v>CONCEPCION</v>
          </cell>
          <cell r="E1541" t="str">
            <v>AVELLANEDA</v>
          </cell>
          <cell r="F1541">
            <v>305</v>
          </cell>
          <cell r="H1541" t="str">
            <v>CONCEPCION</v>
          </cell>
          <cell r="I1541" t="str">
            <v>T4146ZAA</v>
          </cell>
        </row>
        <row r="1542">
          <cell r="A1542" t="str">
            <v>T0020</v>
          </cell>
          <cell r="B1542" t="str">
            <v>TUCUMAN</v>
          </cell>
          <cell r="C1542" t="str">
            <v>FAMAILLA</v>
          </cell>
          <cell r="D1542" t="str">
            <v>FAMAILLA</v>
          </cell>
          <cell r="E1542" t="str">
            <v>MANUEL BELGRANO</v>
          </cell>
          <cell r="F1542">
            <v>380</v>
          </cell>
          <cell r="H1542" t="str">
            <v>FAMAILLA</v>
          </cell>
          <cell r="I1542" t="str">
            <v>T4132ZAA</v>
          </cell>
        </row>
        <row r="1543">
          <cell r="A1543" t="str">
            <v>T0022</v>
          </cell>
          <cell r="B1543" t="str">
            <v>TUCUMAN</v>
          </cell>
          <cell r="C1543" t="str">
            <v>GRANEROS</v>
          </cell>
          <cell r="D1543" t="str">
            <v>GRANEROS</v>
          </cell>
          <cell r="E1543" t="str">
            <v>GRAL SAN MARTIN</v>
          </cell>
          <cell r="F1543">
            <v>12</v>
          </cell>
          <cell r="H1543" t="str">
            <v>GRANEROS</v>
          </cell>
          <cell r="I1543" t="str">
            <v>T4159ZAA</v>
          </cell>
        </row>
        <row r="1544">
          <cell r="A1544" t="str">
            <v>T0024</v>
          </cell>
          <cell r="B1544" t="str">
            <v>TUCUMAN</v>
          </cell>
          <cell r="C1544" t="str">
            <v>RIO CHICO</v>
          </cell>
          <cell r="D1544" t="str">
            <v>SANTA ANA</v>
          </cell>
          <cell r="E1544" t="str">
            <v>CARLOS PELLEGRINI</v>
          </cell>
          <cell r="F1544">
            <v>0</v>
          </cell>
          <cell r="H1544" t="str">
            <v>ING. SANTA ANA</v>
          </cell>
          <cell r="I1544" t="str">
            <v>T4155ZAA</v>
          </cell>
        </row>
        <row r="1545">
          <cell r="A1545" t="str">
            <v>T0026</v>
          </cell>
          <cell r="B1545" t="str">
            <v>TUCUMAN</v>
          </cell>
          <cell r="C1545" t="str">
            <v>MONTEROS</v>
          </cell>
          <cell r="D1545" t="str">
            <v>SANTA LUCIA</v>
          </cell>
          <cell r="E1545" t="str">
            <v>AV LIBERTADOR</v>
          </cell>
          <cell r="F1545">
            <v>170</v>
          </cell>
          <cell r="H1545" t="str">
            <v>ING. SANTA LUCIA</v>
          </cell>
          <cell r="I1545" t="str">
            <v>T4135ZAA</v>
          </cell>
        </row>
        <row r="1546">
          <cell r="A1546" t="str">
            <v>T0028</v>
          </cell>
          <cell r="B1546" t="str">
            <v>TUCUMAN</v>
          </cell>
          <cell r="C1546" t="str">
            <v>JUAN B ALBERDI</v>
          </cell>
          <cell r="D1546" t="str">
            <v>JUAN BAUTISTA ALBERDI</v>
          </cell>
          <cell r="E1546" t="str">
            <v>ROQUE SAENZ PEÃ‘A</v>
          </cell>
          <cell r="F1546">
            <v>402</v>
          </cell>
          <cell r="H1546" t="str">
            <v>JUAN BAUTISTA ALBERDI</v>
          </cell>
          <cell r="I1546" t="str">
            <v>T4161ZAA</v>
          </cell>
        </row>
        <row r="1547">
          <cell r="A1547" t="str">
            <v>T0030</v>
          </cell>
          <cell r="B1547" t="str">
            <v>TUCUMAN</v>
          </cell>
          <cell r="C1547" t="str">
            <v>LA COCHA</v>
          </cell>
          <cell r="D1547" t="str">
            <v>LA COCHA</v>
          </cell>
          <cell r="E1547" t="str">
            <v>RIVADAVIA</v>
          </cell>
          <cell r="F1547">
            <v>142</v>
          </cell>
          <cell r="H1547" t="str">
            <v>LA COCHA</v>
          </cell>
          <cell r="I1547" t="str">
            <v>T4162ZAA</v>
          </cell>
        </row>
        <row r="1548">
          <cell r="A1548" t="str">
            <v>T0032</v>
          </cell>
          <cell r="B1548" t="str">
            <v>TUCUMAN</v>
          </cell>
          <cell r="C1548" t="str">
            <v>GRANEROS</v>
          </cell>
          <cell r="D1548" t="str">
            <v>LAMADRID</v>
          </cell>
          <cell r="E1548" t="str">
            <v>25 DE MAYO</v>
          </cell>
          <cell r="F1548">
            <v>0</v>
          </cell>
          <cell r="H1548" t="str">
            <v>LAMADRID</v>
          </cell>
          <cell r="I1548" t="str">
            <v>T4176ZAA</v>
          </cell>
        </row>
        <row r="1549">
          <cell r="A1549" t="str">
            <v>T0034</v>
          </cell>
          <cell r="B1549" t="str">
            <v>TUCUMAN</v>
          </cell>
          <cell r="C1549" t="str">
            <v>BURRUYACU</v>
          </cell>
          <cell r="D1549" t="str">
            <v>LA RAMADA</v>
          </cell>
          <cell r="E1549" t="str">
            <v>24 DE SEPTIEMBRE</v>
          </cell>
          <cell r="F1549">
            <v>1</v>
          </cell>
          <cell r="H1549" t="str">
            <v>LA RAMADA</v>
          </cell>
          <cell r="I1549" t="str">
            <v>T4123ZAA</v>
          </cell>
        </row>
        <row r="1550">
          <cell r="A1550" t="str">
            <v>T0036</v>
          </cell>
          <cell r="B1550" t="str">
            <v>TUCUMAN</v>
          </cell>
          <cell r="C1550" t="str">
            <v>CRUZ ALTA</v>
          </cell>
          <cell r="D1550" t="str">
            <v>LAS CEJAS</v>
          </cell>
          <cell r="E1550" t="str">
            <v>9 DE JULIO</v>
          </cell>
          <cell r="F1550">
            <v>1</v>
          </cell>
          <cell r="H1550" t="str">
            <v>LAS CEJAS</v>
          </cell>
          <cell r="I1550" t="str">
            <v>T4186ZAA</v>
          </cell>
        </row>
        <row r="1551">
          <cell r="A1551" t="str">
            <v>T0038</v>
          </cell>
          <cell r="B1551" t="str">
            <v>TUCUMAN</v>
          </cell>
          <cell r="C1551" t="str">
            <v>LEALES</v>
          </cell>
          <cell r="D1551" t="str">
            <v>LEALES</v>
          </cell>
          <cell r="E1551">
            <v>1</v>
          </cell>
          <cell r="H1551" t="str">
            <v>LEALES</v>
          </cell>
          <cell r="I1551" t="str">
            <v>T4113ZAB</v>
          </cell>
        </row>
        <row r="1552">
          <cell r="A1552" t="str">
            <v>T0040</v>
          </cell>
          <cell r="B1552" t="str">
            <v>TUCUMAN</v>
          </cell>
          <cell r="C1552" t="str">
            <v>CRUZ ALTA</v>
          </cell>
          <cell r="D1552" t="str">
            <v>LOS RALOS</v>
          </cell>
          <cell r="E1552" t="str">
            <v>SABINA PETRELLI</v>
          </cell>
          <cell r="F1552">
            <v>0</v>
          </cell>
          <cell r="H1552" t="str">
            <v>LOS RALOS</v>
          </cell>
          <cell r="I1552" t="str">
            <v>T4182ZAA</v>
          </cell>
        </row>
        <row r="1553">
          <cell r="A1553" t="str">
            <v>T0042</v>
          </cell>
          <cell r="B1553" t="str">
            <v>TUCUMAN</v>
          </cell>
          <cell r="C1553" t="str">
            <v>LULES</v>
          </cell>
          <cell r="D1553" t="str">
            <v>LULES</v>
          </cell>
          <cell r="E1553" t="str">
            <v>GRAL SAN MARTIN</v>
          </cell>
          <cell r="F1553">
            <v>125</v>
          </cell>
          <cell r="H1553" t="str">
            <v>LULES</v>
          </cell>
          <cell r="I1553" t="str">
            <v>T4128ZAA</v>
          </cell>
        </row>
        <row r="1554">
          <cell r="A1554" t="str">
            <v>T0044</v>
          </cell>
          <cell r="B1554" t="str">
            <v>TUCUMAN</v>
          </cell>
          <cell r="C1554" t="str">
            <v>TAFI VIEJO</v>
          </cell>
          <cell r="D1554" t="str">
            <v>LAS TALITAS</v>
          </cell>
          <cell r="E1554" t="str">
            <v>SERAFIN LOPEZ</v>
          </cell>
          <cell r="F1554">
            <v>15</v>
          </cell>
          <cell r="H1554" t="str">
            <v>LAS TALITAS</v>
          </cell>
          <cell r="I1554" t="str">
            <v>T4101ZAA</v>
          </cell>
        </row>
        <row r="1555">
          <cell r="A1555" t="str">
            <v>T0046</v>
          </cell>
          <cell r="B1555" t="str">
            <v>TUCUMAN</v>
          </cell>
          <cell r="C1555" t="str">
            <v>LULES</v>
          </cell>
          <cell r="D1555" t="str">
            <v>EL MANANTIAL</v>
          </cell>
          <cell r="E1555" t="str">
            <v>CRISTO REY</v>
          </cell>
          <cell r="F1555">
            <v>199</v>
          </cell>
          <cell r="H1555" t="str">
            <v>MANANTIAL</v>
          </cell>
          <cell r="I1555" t="str">
            <v>T4104ZAA</v>
          </cell>
        </row>
        <row r="1556">
          <cell r="A1556" t="str">
            <v>T0048</v>
          </cell>
          <cell r="B1556" t="str">
            <v>TUCUMAN</v>
          </cell>
          <cell r="C1556" t="str">
            <v>SIMOCA</v>
          </cell>
          <cell r="D1556" t="str">
            <v>MONTEAGUDO</v>
          </cell>
          <cell r="E1556" t="str">
            <v>9 DE JULIO</v>
          </cell>
          <cell r="F1556">
            <v>1</v>
          </cell>
          <cell r="H1556" t="str">
            <v>MONTEAGUDO</v>
          </cell>
          <cell r="I1556" t="str">
            <v>T4174ZAA</v>
          </cell>
        </row>
        <row r="1557">
          <cell r="A1557" t="str">
            <v>T0050</v>
          </cell>
          <cell r="B1557" t="str">
            <v>TUCUMAN</v>
          </cell>
          <cell r="C1557" t="str">
            <v>MONTEROS</v>
          </cell>
          <cell r="D1557" t="str">
            <v>MONTEROS</v>
          </cell>
          <cell r="E1557" t="str">
            <v>COLON</v>
          </cell>
          <cell r="F1557">
            <v>247</v>
          </cell>
          <cell r="H1557" t="str">
            <v>MONTEROS</v>
          </cell>
          <cell r="I1557" t="str">
            <v>T4142ZAA</v>
          </cell>
        </row>
        <row r="1558">
          <cell r="A1558" t="str">
            <v>T0052</v>
          </cell>
          <cell r="B1558" t="str">
            <v>TUCUMAN</v>
          </cell>
          <cell r="C1558" t="str">
            <v>CRUZ ALTA</v>
          </cell>
          <cell r="D1558" t="str">
            <v>LA FLORIDA</v>
          </cell>
          <cell r="E1558" t="str">
            <v>SALTA</v>
          </cell>
          <cell r="F1558">
            <v>101</v>
          </cell>
          <cell r="H1558" t="str">
            <v>LA FLORIDA</v>
          </cell>
          <cell r="I1558" t="str">
            <v>T4117ZAA</v>
          </cell>
        </row>
        <row r="1559">
          <cell r="A1559" t="str">
            <v>T0060</v>
          </cell>
          <cell r="B1559" t="str">
            <v>TUCUMAN</v>
          </cell>
          <cell r="C1559" t="str">
            <v>LULES</v>
          </cell>
          <cell r="D1559" t="str">
            <v>SAN PABLO</v>
          </cell>
          <cell r="E1559" t="str">
            <v>AV SAN MARTIN</v>
          </cell>
          <cell r="F1559">
            <v>240</v>
          </cell>
          <cell r="H1559" t="str">
            <v>SAN PABLO</v>
          </cell>
          <cell r="I1559" t="str">
            <v>T4129ZAA</v>
          </cell>
        </row>
        <row r="1560">
          <cell r="A1560" t="str">
            <v>T0062</v>
          </cell>
          <cell r="B1560" t="str">
            <v>TUCUMAN</v>
          </cell>
          <cell r="C1560" t="str">
            <v>TRANCAS</v>
          </cell>
          <cell r="D1560" t="str">
            <v>SAN PEDRO DE COLALAO</v>
          </cell>
          <cell r="E1560" t="str">
            <v>CONGRESO</v>
          </cell>
          <cell r="F1560">
            <v>1</v>
          </cell>
          <cell r="H1560" t="str">
            <v>SAN P.DE COLALAO</v>
          </cell>
          <cell r="I1560" t="str">
            <v>T4124ZAA</v>
          </cell>
        </row>
        <row r="1561">
          <cell r="A1561" t="str">
            <v>T0064</v>
          </cell>
          <cell r="B1561" t="str">
            <v>TUCUMAN</v>
          </cell>
          <cell r="C1561" t="str">
            <v>SIMOCA</v>
          </cell>
          <cell r="D1561" t="str">
            <v>SIMOCA</v>
          </cell>
          <cell r="E1561" t="str">
            <v>JUAN B ALBERDI</v>
          </cell>
          <cell r="F1561">
            <v>455</v>
          </cell>
          <cell r="H1561" t="str">
            <v>SIMOCA</v>
          </cell>
          <cell r="I1561" t="str">
            <v>T4172ZAA</v>
          </cell>
        </row>
        <row r="1562">
          <cell r="A1562" t="str">
            <v>T0066</v>
          </cell>
          <cell r="B1562" t="str">
            <v>TUCUMAN</v>
          </cell>
          <cell r="C1562" t="str">
            <v>GRANEROS</v>
          </cell>
          <cell r="D1562" t="str">
            <v>TACO RALO</v>
          </cell>
          <cell r="E1562" t="str">
            <v>BUENOS AIRES</v>
          </cell>
          <cell r="F1562">
            <v>99</v>
          </cell>
          <cell r="H1562" t="str">
            <v>TACO RALO</v>
          </cell>
          <cell r="I1562" t="str">
            <v>T4242ZAA</v>
          </cell>
        </row>
        <row r="1563">
          <cell r="A1563" t="str">
            <v>T0068</v>
          </cell>
          <cell r="B1563" t="str">
            <v>TUCUMAN</v>
          </cell>
          <cell r="C1563" t="str">
            <v>TAFI DEL VALLE</v>
          </cell>
          <cell r="D1563" t="str">
            <v>TAFI DEL VALLE</v>
          </cell>
          <cell r="E1563" t="str">
            <v>AV SAN MARTIN</v>
          </cell>
          <cell r="F1563">
            <v>1</v>
          </cell>
          <cell r="H1563" t="str">
            <v>TAFI DEL VALLE</v>
          </cell>
          <cell r="I1563" t="str">
            <v>T4140ZAA</v>
          </cell>
        </row>
        <row r="1564">
          <cell r="A1564" t="str">
            <v>T0070</v>
          </cell>
          <cell r="B1564" t="str">
            <v>TUCUMAN</v>
          </cell>
          <cell r="C1564" t="str">
            <v>TAFI VIEJO</v>
          </cell>
          <cell r="D1564" t="str">
            <v>TAFI VIEJO</v>
          </cell>
          <cell r="E1564" t="str">
            <v>MONTEAGUDO</v>
          </cell>
          <cell r="F1564">
            <v>15</v>
          </cell>
          <cell r="H1564" t="str">
            <v>TAFI VIEJO</v>
          </cell>
          <cell r="I1564" t="str">
            <v>T4103ZAA</v>
          </cell>
        </row>
        <row r="1565">
          <cell r="A1565" t="str">
            <v>T0072</v>
          </cell>
          <cell r="B1565" t="str">
            <v>TUCUMAN</v>
          </cell>
          <cell r="C1565" t="str">
            <v>TRANCAS</v>
          </cell>
          <cell r="D1565" t="str">
            <v>TRANCAS</v>
          </cell>
          <cell r="E1565" t="str">
            <v>25 DE MAYO Y BELGRANO</v>
          </cell>
          <cell r="H1565" t="str">
            <v>TRANCAS</v>
          </cell>
          <cell r="I1565" t="str">
            <v>T4124ZAB</v>
          </cell>
        </row>
        <row r="1566">
          <cell r="A1566" t="str">
            <v>T0074</v>
          </cell>
          <cell r="B1566" t="str">
            <v>TUCUMAN</v>
          </cell>
          <cell r="C1566" t="str">
            <v>CHICLIGASTA</v>
          </cell>
          <cell r="D1566" t="str">
            <v>VILLA LA TRINIDAD</v>
          </cell>
          <cell r="E1566" t="str">
            <v>AV ANTONIO LAFUENTE</v>
          </cell>
          <cell r="F1566">
            <v>1</v>
          </cell>
          <cell r="H1566" t="str">
            <v>V. LA TRINIDAD</v>
          </cell>
          <cell r="I1566" t="str">
            <v>T4151ZAA</v>
          </cell>
        </row>
        <row r="1567">
          <cell r="A1567" t="str">
            <v>T0076</v>
          </cell>
          <cell r="B1567" t="str">
            <v>TUCUMAN</v>
          </cell>
          <cell r="C1567" t="str">
            <v>MONTEROS</v>
          </cell>
          <cell r="D1567" t="str">
            <v>VILLA QUINTEROS</v>
          </cell>
          <cell r="E1567" t="str">
            <v>FLORIDA</v>
          </cell>
          <cell r="F1567">
            <v>101</v>
          </cell>
          <cell r="H1567" t="str">
            <v>V. QUINTEROS</v>
          </cell>
          <cell r="I1567" t="str">
            <v>T4144ZAA</v>
          </cell>
        </row>
        <row r="1568">
          <cell r="A1568" t="str">
            <v>T0078</v>
          </cell>
          <cell r="B1568" t="str">
            <v>TUCUMAN</v>
          </cell>
          <cell r="C1568" t="str">
            <v>YERBA BUENA</v>
          </cell>
          <cell r="D1568" t="str">
            <v>YERBA BUENA</v>
          </cell>
          <cell r="E1568" t="str">
            <v>AV ACONQUIJA</v>
          </cell>
          <cell r="F1568">
            <v>2021</v>
          </cell>
          <cell r="H1568" t="str">
            <v>YERBA BUENA</v>
          </cell>
          <cell r="I1568" t="str">
            <v>T4107ZAA</v>
          </cell>
        </row>
        <row r="1569">
          <cell r="A1569" t="str">
            <v>T1018</v>
          </cell>
          <cell r="B1569" t="str">
            <v>TUCUMAN</v>
          </cell>
          <cell r="C1569" t="str">
            <v>CRUZ ALTA</v>
          </cell>
          <cell r="D1569" t="str">
            <v>RANCHILLOS</v>
          </cell>
          <cell r="E1569" t="str">
            <v>AV SAN MARTIN</v>
          </cell>
          <cell r="F1569">
            <v>64</v>
          </cell>
          <cell r="H1569" t="str">
            <v>RANCHILLOS</v>
          </cell>
          <cell r="I1569" t="str">
            <v>T4179ZAA</v>
          </cell>
        </row>
        <row r="1570">
          <cell r="A1570" t="str">
            <v>T1149</v>
          </cell>
          <cell r="B1570" t="str">
            <v>TUCUMAN</v>
          </cell>
          <cell r="C1570" t="str">
            <v>CRUZ ALTA</v>
          </cell>
          <cell r="D1570" t="str">
            <v>AGUA DULCE</v>
          </cell>
          <cell r="E1570" t="str">
            <v>CALLE PUBLICA</v>
          </cell>
          <cell r="H1570" t="str">
            <v>AGUA DULCE</v>
          </cell>
          <cell r="I1570" t="str">
            <v>T4115ZAA</v>
          </cell>
        </row>
        <row r="1571">
          <cell r="A1571" t="str">
            <v>T1159</v>
          </cell>
          <cell r="B1571" t="str">
            <v>TUCUMAN</v>
          </cell>
          <cell r="C1571" t="str">
            <v>TAFI VIEJO</v>
          </cell>
          <cell r="D1571" t="str">
            <v>EL SIAMBON</v>
          </cell>
          <cell r="E1571" t="str">
            <v>PUBLICA S/N</v>
          </cell>
          <cell r="H1571" t="str">
            <v>EL SIAMBON</v>
          </cell>
          <cell r="I1571" t="str">
            <v>T4105ZAB</v>
          </cell>
        </row>
        <row r="1572">
          <cell r="A1572" t="str">
            <v>T1208</v>
          </cell>
          <cell r="B1572" t="str">
            <v>TUCUMAN</v>
          </cell>
          <cell r="C1572" t="str">
            <v>SIMOCA</v>
          </cell>
          <cell r="D1572" t="str">
            <v>NUEVA TRINIDAD</v>
          </cell>
          <cell r="E1572" t="str">
            <v>CALLE PUBLICA</v>
          </cell>
          <cell r="H1572" t="str">
            <v>NUEVA TRINIDAD</v>
          </cell>
          <cell r="I1572" t="str">
            <v>T4157ZAB</v>
          </cell>
        </row>
        <row r="1573">
          <cell r="A1573" t="str">
            <v>T1282</v>
          </cell>
          <cell r="B1573" t="str">
            <v>TUCUMAN</v>
          </cell>
          <cell r="C1573" t="str">
            <v>CAPITAL</v>
          </cell>
          <cell r="D1573" t="str">
            <v>SAN MIGUEL DE TUCUMAN</v>
          </cell>
          <cell r="E1573" t="str">
            <v>VELEZ SARSFIELD</v>
          </cell>
          <cell r="F1573">
            <v>450</v>
          </cell>
          <cell r="H1573" t="str">
            <v>TUCUMAN TRIBUNALES</v>
          </cell>
          <cell r="I1573" t="str">
            <v>T4002ZAC</v>
          </cell>
        </row>
      </sheetData>
    </sheetDataSet>
  </externalBook>
</externalLink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tabSelected="1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9311</v>
      </c>
      <c r="X1" s="103" t="s">
        <v>9845</v>
      </c>
      <c r="Y1" s="103"/>
      <c r="Z1" s="141">
        <f ca="1">TODAY()</f>
        <v>44693</v>
      </c>
      <c r="AA1" s="142"/>
    </row>
    <row r="2" spans="1:27" ht="14.1" customHeight="1" x14ac:dyDescent="0.2">
      <c r="A2" s="157" t="s">
        <v>15</v>
      </c>
      <c r="B2" s="151" t="str">
        <f>+Datos!B4</f>
        <v>RERDA S.A.</v>
      </c>
      <c r="C2" s="152"/>
      <c r="D2" s="152"/>
      <c r="E2" s="152"/>
      <c r="F2" s="152"/>
      <c r="G2" s="152"/>
      <c r="H2" s="152"/>
      <c r="I2" s="73"/>
      <c r="J2" s="73"/>
      <c r="K2" s="73"/>
      <c r="L2" s="73"/>
      <c r="M2" s="73"/>
      <c r="N2" s="73"/>
      <c r="O2" s="74"/>
      <c r="P2" s="128"/>
      <c r="Q2" s="129"/>
      <c r="R2" s="129"/>
      <c r="S2" s="129"/>
      <c r="T2" s="129"/>
      <c r="U2" s="130"/>
      <c r="W2" s="104" t="s">
        <v>9322</v>
      </c>
      <c r="X2" s="146"/>
      <c r="Y2" s="146"/>
      <c r="Z2" s="146"/>
      <c r="AA2" s="146"/>
    </row>
    <row r="3" spans="1:27" ht="14.1" customHeight="1" x14ac:dyDescent="0.2">
      <c r="A3" s="158"/>
      <c r="B3" s="139" t="str">
        <f>+Datos!B6</f>
        <v>San Martín</v>
      </c>
      <c r="C3" s="140"/>
      <c r="D3" s="140"/>
      <c r="E3" s="140"/>
      <c r="F3" s="140"/>
      <c r="G3" s="140">
        <f>+Datos!B7</f>
        <v>1665</v>
      </c>
      <c r="H3" s="140"/>
      <c r="I3" s="140"/>
      <c r="J3" s="75"/>
      <c r="K3" s="12"/>
      <c r="L3" s="76"/>
      <c r="M3" s="137" t="str">
        <f>+Datos!B8</f>
        <v>Mendoza</v>
      </c>
      <c r="N3" s="137"/>
      <c r="O3" s="138"/>
      <c r="P3" s="131"/>
      <c r="Q3" s="132"/>
      <c r="R3" s="132"/>
      <c r="S3" s="132"/>
      <c r="T3" s="132"/>
      <c r="U3" s="133"/>
      <c r="W3" s="104" t="s">
        <v>9317</v>
      </c>
      <c r="X3" s="147"/>
      <c r="Y3" s="147"/>
      <c r="Z3" s="147"/>
      <c r="AA3" s="147"/>
    </row>
    <row r="4" spans="1:27" ht="14.1" customHeight="1" x14ac:dyDescent="0.2">
      <c r="A4" s="158"/>
      <c r="B4" s="176" t="str">
        <f>+Datos!B9</f>
        <v>Mendoza</v>
      </c>
      <c r="C4" s="137"/>
      <c r="D4" s="137"/>
      <c r="E4" s="137"/>
      <c r="F4" s="137"/>
      <c r="G4" s="137">
        <f>+Datos!B10</f>
        <v>5500</v>
      </c>
      <c r="H4" s="137"/>
      <c r="I4" s="137"/>
      <c r="J4" s="75"/>
      <c r="K4" s="75"/>
      <c r="L4" s="75"/>
      <c r="M4" s="75"/>
      <c r="N4" s="75"/>
      <c r="O4" s="77"/>
      <c r="P4" s="131"/>
      <c r="Q4" s="132"/>
      <c r="R4" s="132"/>
      <c r="S4" s="132"/>
      <c r="T4" s="132"/>
      <c r="U4" s="133"/>
      <c r="W4" s="105"/>
      <c r="X4" s="148"/>
      <c r="Y4" s="148"/>
      <c r="Z4" s="148"/>
      <c r="AA4" s="148"/>
    </row>
    <row r="5" spans="1:27" ht="14.1" customHeight="1" x14ac:dyDescent="0.2">
      <c r="A5" s="158"/>
      <c r="B5" s="160" t="str">
        <f>+Datos!B11</f>
        <v>ventas@rerda.com</v>
      </c>
      <c r="C5" s="161"/>
      <c r="D5" s="161"/>
      <c r="E5" s="161"/>
      <c r="F5" s="161"/>
      <c r="G5" s="161"/>
      <c r="H5" s="161"/>
      <c r="I5" s="78"/>
      <c r="J5" s="78"/>
      <c r="K5" s="79" t="s">
        <v>9313</v>
      </c>
      <c r="L5" s="177">
        <f>+Datos!B5</f>
        <v>30535195869</v>
      </c>
      <c r="M5" s="177"/>
      <c r="N5" s="177"/>
      <c r="O5" s="178"/>
      <c r="P5" s="131"/>
      <c r="Q5" s="132"/>
      <c r="R5" s="132"/>
      <c r="S5" s="132"/>
      <c r="T5" s="132"/>
      <c r="U5" s="133"/>
      <c r="W5" s="104" t="s">
        <v>9316</v>
      </c>
      <c r="X5" s="122">
        <v>5500</v>
      </c>
      <c r="Y5" s="122"/>
      <c r="Z5" s="122"/>
      <c r="AA5" s="122"/>
    </row>
    <row r="6" spans="1:27" ht="14.1" customHeight="1" x14ac:dyDescent="0.2">
      <c r="A6" s="159"/>
      <c r="B6" s="153" t="str">
        <f>+Datos!B12</f>
        <v>0261-4256567 | +549 2615117948</v>
      </c>
      <c r="C6" s="154"/>
      <c r="D6" s="154"/>
      <c r="E6" s="154"/>
      <c r="F6" s="154"/>
      <c r="G6" s="154"/>
      <c r="H6" s="154"/>
      <c r="I6" s="80"/>
      <c r="J6" s="80"/>
      <c r="K6" s="81" t="s">
        <v>9314</v>
      </c>
      <c r="L6" s="174">
        <f>+Datos!B3</f>
        <v>20355</v>
      </c>
      <c r="M6" s="174"/>
      <c r="N6" s="174"/>
      <c r="O6" s="175"/>
      <c r="P6" s="134"/>
      <c r="Q6" s="135"/>
      <c r="R6" s="135"/>
      <c r="S6" s="135"/>
      <c r="T6" s="135"/>
      <c r="U6" s="136"/>
      <c r="W6" s="104" t="s">
        <v>9327</v>
      </c>
      <c r="X6" s="122">
        <v>1321321321</v>
      </c>
      <c r="Y6" s="122"/>
      <c r="Z6" s="122"/>
      <c r="AA6" s="122"/>
    </row>
    <row r="7" spans="1:27" ht="14.1" customHeight="1" x14ac:dyDescent="0.2">
      <c r="A7" s="82"/>
      <c r="B7" s="127" t="s">
        <v>9329</v>
      </c>
      <c r="C7" s="127"/>
      <c r="D7" s="127" t="str">
        <f>+X1</f>
        <v>SEBASTIAN ALVAREZ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83"/>
      <c r="W7" s="104" t="s">
        <v>9318</v>
      </c>
      <c r="X7" s="122"/>
      <c r="Y7" s="122"/>
      <c r="Z7" s="122"/>
      <c r="AA7" s="122"/>
    </row>
    <row r="8" spans="1:27" ht="14.1" customHeight="1" x14ac:dyDescent="0.2">
      <c r="A8" s="165" t="s">
        <v>21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7"/>
      <c r="W8" s="104" t="s">
        <v>9320</v>
      </c>
      <c r="X8" s="146" t="s">
        <v>1</v>
      </c>
      <c r="Y8" s="146"/>
      <c r="Z8" s="146"/>
      <c r="AA8" s="146"/>
    </row>
    <row r="9" spans="1:27" ht="14.1" customHeight="1" x14ac:dyDescent="0.2">
      <c r="A9" s="168"/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70"/>
      <c r="W9" s="104" t="s">
        <v>9319</v>
      </c>
      <c r="X9" s="146" t="s">
        <v>40</v>
      </c>
      <c r="Y9" s="146"/>
      <c r="Z9" s="146"/>
      <c r="AA9" s="146"/>
    </row>
    <row r="10" spans="1:27" ht="14.1" customHeight="1" x14ac:dyDescent="0.2">
      <c r="A10" s="171"/>
      <c r="B10" s="172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W10" s="105"/>
      <c r="X10" s="105"/>
      <c r="Y10" s="105"/>
      <c r="Z10" s="105"/>
      <c r="AA10" s="105"/>
    </row>
    <row r="11" spans="1:27" ht="14.1" customHeight="1" x14ac:dyDescent="0.2">
      <c r="A11" s="84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85"/>
      <c r="W11" s="106" t="s">
        <v>36</v>
      </c>
      <c r="X11" s="106" t="s">
        <v>9310</v>
      </c>
      <c r="Y11" s="107" t="s">
        <v>9339</v>
      </c>
      <c r="Z11" s="106" t="s">
        <v>7801</v>
      </c>
      <c r="AA11" s="106" t="s">
        <v>9323</v>
      </c>
    </row>
    <row r="12" spans="1:27" ht="14.1" customHeight="1" x14ac:dyDescent="0.2">
      <c r="A12" s="162" t="s">
        <v>19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4120800</v>
      </c>
      <c r="X12" s="109" t="str">
        <f>IFERROR(VLOOKUP(Tabla2[[#This Row],[CODIGO]],Lince!$A$2:$E10000,3,FALSE),"")</f>
        <v>CAMISA MC BAT CEL SOLAPA 34/44 RER</v>
      </c>
      <c r="Y12" s="115"/>
      <c r="Z12" s="116" t="s">
        <v>33</v>
      </c>
      <c r="AA12" s="116">
        <v>1</v>
      </c>
    </row>
    <row r="13" spans="1:27" ht="14.1" customHeight="1" x14ac:dyDescent="0.2">
      <c r="A13" s="16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26" t="s">
        <v>9328</v>
      </c>
      <c r="M13" s="126"/>
      <c r="N13" s="126"/>
      <c r="O13" s="126"/>
      <c r="P13" s="124">
        <f>+X6</f>
        <v>1321321321</v>
      </c>
      <c r="Q13" s="125"/>
      <c r="R13" s="125"/>
      <c r="S13" s="125"/>
      <c r="T13" s="125"/>
      <c r="U13" s="92"/>
      <c r="W13" s="108">
        <v>5101171</v>
      </c>
      <c r="X13" s="109" t="str">
        <f>IFERROR(VLOOKUP(Tabla2[[#This Row],[CODIGO]],Lince!$A$2:$E10001,3,FALSE),"")</f>
        <v>CAMP POLAR AMERICANA NEGRA RER</v>
      </c>
      <c r="Y13" s="115"/>
      <c r="Z13" s="116" t="s">
        <v>9375</v>
      </c>
      <c r="AA13" s="116">
        <v>1</v>
      </c>
    </row>
    <row r="14" spans="1:27" ht="14.1" customHeight="1" x14ac:dyDescent="0.2">
      <c r="A14" s="163"/>
      <c r="B14" s="93"/>
      <c r="C14" s="145">
        <f>+X2</f>
        <v>0</v>
      </c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83"/>
      <c r="W14" s="108">
        <v>4120800</v>
      </c>
      <c r="X14" s="109" t="str">
        <f>IFERROR(VLOOKUP(Tabla2[[#This Row],[CODIGO]],Lince!$A$2:$E10002,3,FALSE),"")</f>
        <v>CAMISA MC BAT CEL SOLAPA 34/44 RER</v>
      </c>
      <c r="Y14" s="115" t="s">
        <v>9395</v>
      </c>
      <c r="Z14" s="116" t="s">
        <v>33</v>
      </c>
      <c r="AA14" s="116">
        <v>1</v>
      </c>
    </row>
    <row r="15" spans="1:27" ht="14.1" customHeight="1" x14ac:dyDescent="0.2">
      <c r="A15" s="163"/>
      <c r="B15" s="93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83"/>
      <c r="W15" s="108">
        <v>5101171</v>
      </c>
      <c r="X15" s="109" t="str">
        <f>IFERROR(VLOOKUP(Tabla2[[#This Row],[CODIGO]],Lince!$A$2:$E10003,3,FALSE),"")</f>
        <v>CAMP POLAR AMERICANA NEGRA RER</v>
      </c>
      <c r="Y15" s="115"/>
      <c r="Z15" s="116" t="s">
        <v>9375</v>
      </c>
      <c r="AA15" s="116">
        <v>1</v>
      </c>
    </row>
    <row r="16" spans="1:27" ht="14.1" customHeight="1" x14ac:dyDescent="0.2">
      <c r="A16" s="163"/>
      <c r="B16" s="86"/>
      <c r="C16" s="123">
        <f>+X3</f>
        <v>0</v>
      </c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83"/>
      <c r="W16" s="108">
        <v>1120710</v>
      </c>
      <c r="X16" s="109" t="str">
        <f>IFERROR(VLOOKUP(Tabla2[[#This Row],[CODIGO]],Lince!$A$2:$E10004,3,FALSE),"")</f>
        <v>BOMB CLAS RIP AZUL DAMA/SPANDE 34/48 RER</v>
      </c>
      <c r="Y16" s="115"/>
      <c r="Z16" s="116"/>
      <c r="AA16" s="116"/>
    </row>
    <row r="17" spans="1:27" ht="14.1" customHeight="1" x14ac:dyDescent="0.2">
      <c r="A17" s="163"/>
      <c r="B17" s="86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83"/>
      <c r="W17" s="108"/>
      <c r="X17" s="109" t="str">
        <f>IFERROR(VLOOKUP(Tabla2[[#This Row],[CODIGO]],Lince!$A$2:$E10005,3,FALSE),"")</f>
        <v/>
      </c>
      <c r="Y17" s="115"/>
      <c r="Z17" s="116"/>
      <c r="AA17" s="116"/>
    </row>
    <row r="18" spans="1:27" ht="14.1" customHeight="1" x14ac:dyDescent="0.2">
      <c r="A18" s="163"/>
      <c r="B18" s="86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83"/>
      <c r="W18" s="108"/>
      <c r="X18" s="109" t="str">
        <f>IFERROR(VLOOKUP(Tabla2[[#This Row],[CODIGO]],Lince!$A$2:$E10006,3,FALSE),"")</f>
        <v/>
      </c>
      <c r="Y18" s="115"/>
      <c r="Z18" s="116"/>
      <c r="AA18" s="116"/>
    </row>
    <row r="19" spans="1:27" ht="14.1" customHeight="1" x14ac:dyDescent="0.2">
      <c r="A19" s="163"/>
      <c r="B19" s="94"/>
      <c r="C19" s="123" t="s">
        <v>9316</v>
      </c>
      <c r="D19" s="123"/>
      <c r="E19" s="149">
        <f>+X5</f>
        <v>5500</v>
      </c>
      <c r="F19" s="150"/>
      <c r="G19" s="156" t="str">
        <f>+X8</f>
        <v>TRELEW</v>
      </c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83"/>
      <c r="W19" s="108"/>
      <c r="X19" s="109" t="str">
        <f>IFERROR(VLOOKUP(Tabla2[[#This Row],[CODIGO]],Lince!$A$2:$E10007,3,FALSE),"")</f>
        <v/>
      </c>
      <c r="Y19" s="115"/>
      <c r="Z19" s="116"/>
      <c r="AA19" s="116"/>
    </row>
    <row r="20" spans="1:27" ht="14.1" customHeight="1" x14ac:dyDescent="0.2">
      <c r="A20" s="163"/>
      <c r="B20" s="94"/>
      <c r="C20" s="123"/>
      <c r="D20" s="123"/>
      <c r="E20" s="150"/>
      <c r="F20" s="150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83"/>
      <c r="W20" s="108"/>
      <c r="X20" s="109" t="str">
        <f>IFERROR(VLOOKUP(Tabla2[[#This Row],[CODIGO]],Lince!$A$2:$E10008,3,FALSE),"")</f>
        <v/>
      </c>
      <c r="Y20" s="115"/>
      <c r="Z20" s="116"/>
      <c r="AA20" s="116"/>
    </row>
    <row r="21" spans="1:27" ht="14.1" customHeight="1" x14ac:dyDescent="0.2">
      <c r="A21" s="163"/>
      <c r="B21" s="95"/>
      <c r="C21" s="155" t="str">
        <f>IF(X9="", "FALTA COMPLETAR LA PROVINCIA",X9)</f>
        <v>JUJUY</v>
      </c>
      <c r="D21" s="155"/>
      <c r="E21" s="155"/>
      <c r="F21" s="155"/>
      <c r="G21" s="155"/>
      <c r="H21" s="155"/>
      <c r="I21" s="155"/>
      <c r="J21" s="155"/>
      <c r="K21" s="96"/>
      <c r="L21" s="143" t="s">
        <v>9315</v>
      </c>
      <c r="M21" s="143"/>
      <c r="N21" s="143"/>
      <c r="O21" s="143"/>
      <c r="P21" s="144">
        <f>+X7</f>
        <v>0</v>
      </c>
      <c r="Q21" s="144"/>
      <c r="R21" s="144"/>
      <c r="S21" s="144"/>
      <c r="T21" s="144"/>
      <c r="U21" s="83"/>
      <c r="W21" s="108"/>
      <c r="X21" s="109" t="str">
        <f>IFERROR(VLOOKUP(Tabla2[[#This Row],[CODIGO]],Lince!$A$2:$E10009,3,FALSE),"")</f>
        <v/>
      </c>
      <c r="Y21" s="115"/>
      <c r="Z21" s="116"/>
      <c r="AA21" s="116"/>
    </row>
    <row r="22" spans="1:27" ht="14.1" customHeight="1" x14ac:dyDescent="0.2">
      <c r="A22" s="163"/>
      <c r="B22" s="95"/>
      <c r="C22" s="155"/>
      <c r="D22" s="155"/>
      <c r="E22" s="155"/>
      <c r="F22" s="155"/>
      <c r="G22" s="155"/>
      <c r="H22" s="155"/>
      <c r="I22" s="155"/>
      <c r="J22" s="155"/>
      <c r="K22" s="96"/>
      <c r="L22" s="143"/>
      <c r="M22" s="143"/>
      <c r="N22" s="143"/>
      <c r="O22" s="143"/>
      <c r="P22" s="144"/>
      <c r="Q22" s="144"/>
      <c r="R22" s="144"/>
      <c r="S22" s="144"/>
      <c r="T22" s="144"/>
      <c r="U22" s="83"/>
      <c r="W22" s="108"/>
      <c r="X22" s="109" t="str">
        <f>IFERROR(VLOOKUP(Tabla2[[#This Row],[CODIGO]],Lince!$A$2:$E10010,3,FALSE),"")</f>
        <v/>
      </c>
      <c r="Y22" s="115"/>
      <c r="Z22" s="116"/>
      <c r="AA22" s="116"/>
    </row>
    <row r="23" spans="1:27" ht="14.1" customHeight="1" thickBot="1" x14ac:dyDescent="0.25">
      <c r="A23" s="16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09" t="str">
        <f>IFERROR(VLOOKUP(Tabla2[[#This Row],[CODIGO]],Lince!$A$2:$E10011,3,FALSE),"")</f>
        <v/>
      </c>
      <c r="Y23" s="115"/>
      <c r="Z23" s="116"/>
      <c r="AA23" s="116"/>
    </row>
    <row r="24" spans="1:27" ht="14.1" customHeight="1" x14ac:dyDescent="0.2">
      <c r="W24" s="108"/>
      <c r="X24" s="109" t="str">
        <f>IFERROR(VLOOKUP(Tabla2[[#This Row],[CODIGO]],Lince!$A$2:$E10012,3,FALSE),"")</f>
        <v/>
      </c>
      <c r="Y24" s="115"/>
      <c r="Z24" s="116"/>
      <c r="AA24" s="116"/>
    </row>
    <row r="25" spans="1:27" ht="14.1" customHeight="1" x14ac:dyDescent="0.2">
      <c r="W25" s="108"/>
      <c r="X25" s="109" t="str">
        <f>IFERROR(VLOOKUP(Tabla2[[#This Row],[CODIGO]],Lince!$A$2:$E10013,3,FALSE),"")</f>
        <v/>
      </c>
      <c r="Y25" s="115"/>
      <c r="Z25" s="116"/>
      <c r="AA25" s="116"/>
    </row>
    <row r="26" spans="1:27" ht="14.1" customHeight="1" x14ac:dyDescent="0.2">
      <c r="W26" s="108"/>
      <c r="X26" s="109" t="str">
        <f>IFERROR(VLOOKUP(Tabla2[[#This Row],[CODIGO]],Lince!$A$2:$E10014,3,FALSE),"")</f>
        <v/>
      </c>
      <c r="Y26" s="115"/>
      <c r="Z26" s="116"/>
      <c r="AA26" s="116"/>
    </row>
    <row r="27" spans="1:27" ht="14.1" customHeight="1" x14ac:dyDescent="0.2">
      <c r="W27" s="108"/>
      <c r="X27" s="109" t="str">
        <f>IFERROR(VLOOKUP(Tabla2[[#This Row],[CODIGO]],Lince!$A$2:$E10015,3,FALSE),"")</f>
        <v/>
      </c>
      <c r="Y27" s="115"/>
      <c r="Z27" s="116"/>
      <c r="AA27" s="116"/>
    </row>
    <row r="28" spans="1:27" ht="14.1" customHeight="1" x14ac:dyDescent="0.2">
      <c r="W28" s="108"/>
      <c r="X28" s="109" t="str">
        <f>IFERROR(VLOOKUP(Tabla2[[#This Row],[CODIGO]],Lince!$A$2:$E10016,3,FALSE),"")</f>
        <v/>
      </c>
      <c r="Y28" s="115"/>
      <c r="Z28" s="116"/>
      <c r="AA28" s="116"/>
    </row>
    <row r="29" spans="1:27" ht="14.1" customHeight="1" x14ac:dyDescent="0.2">
      <c r="W29" s="110"/>
      <c r="X29" s="109" t="str">
        <f>IFERROR(VLOOKUP(Tabla2[[#This Row],[CODIGO]],Lince!$A$2:$E10017,3,FALSE),"")</f>
        <v/>
      </c>
      <c r="Y29" s="117"/>
      <c r="Z29" s="118"/>
      <c r="AA29" s="118"/>
    </row>
    <row r="30" spans="1:27" ht="14.1" customHeight="1" x14ac:dyDescent="0.2">
      <c r="W30" s="108"/>
      <c r="X30" s="109" t="str">
        <f>IFERROR(VLOOKUP(Tabla2[[#This Row],[CODIGO]],Lince!$A$2:$E10018,3,FALSE),"")</f>
        <v/>
      </c>
      <c r="Y30" s="115"/>
      <c r="Z30" s="116"/>
      <c r="AA30" s="116"/>
    </row>
    <row r="31" spans="1:27" ht="14.1" customHeight="1" x14ac:dyDescent="0.2">
      <c r="W31" s="110"/>
      <c r="X31" s="109" t="str">
        <f>IFERROR(VLOOKUP(Tabla2[[#This Row],[CODIGO]],Lince!$A$2:$E10019,3,FALSE),"")</f>
        <v/>
      </c>
      <c r="Y31" s="117"/>
      <c r="Z31" s="118"/>
      <c r="AA31" s="118"/>
    </row>
    <row r="32" spans="1:27" ht="14.1" customHeight="1" x14ac:dyDescent="0.2">
      <c r="W32" s="108"/>
      <c r="X32" s="109" t="str">
        <f>IFERROR(VLOOKUP(Tabla2[[#This Row],[CODIGO]],Lince!$A$2:$E10020,3,FALSE),"")</f>
        <v/>
      </c>
      <c r="Y32" s="115"/>
      <c r="Z32" s="116"/>
      <c r="AA32" s="116"/>
    </row>
    <row r="33" spans="23:27" ht="14.1" customHeight="1" x14ac:dyDescent="0.2">
      <c r="W33" s="112" t="s">
        <v>9312</v>
      </c>
      <c r="X33" s="112"/>
      <c r="Y33" s="112"/>
      <c r="Z33" s="112"/>
      <c r="AA33" s="113">
        <f>SUBTOTAL(109,Tabla2[CANT])</f>
        <v>4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9325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zoomScale="120" zoomScaleNormal="120" workbookViewId="0">
      <selection activeCell="X5" sqref="X5:AA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9311</v>
      </c>
      <c r="X1" s="103" t="s">
        <v>9845</v>
      </c>
      <c r="Y1" s="103"/>
      <c r="Z1" s="141">
        <f ca="1">TODAY()</f>
        <v>44693</v>
      </c>
      <c r="AA1" s="142"/>
    </row>
    <row r="2" spans="1:27" ht="14.1" customHeight="1" x14ac:dyDescent="0.2">
      <c r="A2" s="222" t="s">
        <v>15</v>
      </c>
      <c r="B2" s="225" t="str">
        <f>+Datos!B4</f>
        <v>RERDA S.A.</v>
      </c>
      <c r="C2" s="226"/>
      <c r="D2" s="226"/>
      <c r="E2" s="226"/>
      <c r="F2" s="226"/>
      <c r="G2" s="226"/>
      <c r="H2" s="226"/>
      <c r="I2" s="27"/>
      <c r="J2" s="27"/>
      <c r="K2" s="27"/>
      <c r="L2" s="27"/>
      <c r="M2" s="27"/>
      <c r="N2" s="27"/>
      <c r="O2" s="30"/>
      <c r="P2" s="227"/>
      <c r="Q2" s="228"/>
      <c r="R2" s="228"/>
      <c r="S2" s="228"/>
      <c r="T2" s="228"/>
      <c r="U2" s="229"/>
      <c r="W2" s="104" t="s">
        <v>9322</v>
      </c>
      <c r="X2" s="146" t="s">
        <v>9846</v>
      </c>
      <c r="Y2" s="146"/>
      <c r="Z2" s="146"/>
      <c r="AA2" s="146"/>
    </row>
    <row r="3" spans="1:27" ht="14.1" customHeight="1" x14ac:dyDescent="0.2">
      <c r="A3" s="223"/>
      <c r="B3" s="236" t="str">
        <f>+Datos!B6</f>
        <v>San Martín</v>
      </c>
      <c r="C3" s="237"/>
      <c r="D3" s="237"/>
      <c r="E3" s="237"/>
      <c r="F3" s="237"/>
      <c r="G3" s="237">
        <f>+Datos!B7</f>
        <v>1665</v>
      </c>
      <c r="H3" s="237"/>
      <c r="I3" s="237"/>
      <c r="J3" s="31"/>
      <c r="L3" s="33"/>
      <c r="M3" s="238" t="str">
        <f>+Datos!B8</f>
        <v>Mendoza</v>
      </c>
      <c r="N3" s="238"/>
      <c r="O3" s="239"/>
      <c r="P3" s="230"/>
      <c r="Q3" s="231"/>
      <c r="R3" s="231"/>
      <c r="S3" s="231"/>
      <c r="T3" s="231"/>
      <c r="U3" s="232"/>
      <c r="W3" s="104" t="s">
        <v>9317</v>
      </c>
      <c r="X3" s="147"/>
      <c r="Y3" s="147"/>
      <c r="Z3" s="147"/>
      <c r="AA3" s="147"/>
    </row>
    <row r="4" spans="1:27" ht="14.1" customHeight="1" x14ac:dyDescent="0.2">
      <c r="A4" s="223"/>
      <c r="B4" s="240" t="str">
        <f>+Datos!B9</f>
        <v>Mendoza</v>
      </c>
      <c r="C4" s="238"/>
      <c r="D4" s="238"/>
      <c r="E4" s="238"/>
      <c r="F4" s="238"/>
      <c r="G4" s="238">
        <f>+Datos!B10</f>
        <v>5500</v>
      </c>
      <c r="H4" s="238"/>
      <c r="I4" s="238"/>
      <c r="J4" s="31"/>
      <c r="K4" s="31"/>
      <c r="L4" s="31"/>
      <c r="M4" s="31"/>
      <c r="N4" s="31"/>
      <c r="O4" s="32"/>
      <c r="P4" s="230"/>
      <c r="Q4" s="231"/>
      <c r="R4" s="231"/>
      <c r="S4" s="231"/>
      <c r="T4" s="231"/>
      <c r="U4" s="232"/>
      <c r="W4" s="105"/>
      <c r="X4" s="148"/>
      <c r="Y4" s="148"/>
      <c r="Z4" s="148"/>
      <c r="AA4" s="148"/>
    </row>
    <row r="5" spans="1:27" ht="14.1" customHeight="1" x14ac:dyDescent="0.2">
      <c r="A5" s="223"/>
      <c r="B5" s="241" t="str">
        <f>+Datos!B11</f>
        <v>ventas@rerda.com</v>
      </c>
      <c r="C5" s="242"/>
      <c r="D5" s="242"/>
      <c r="E5" s="242"/>
      <c r="F5" s="242"/>
      <c r="G5" s="242"/>
      <c r="H5" s="242"/>
      <c r="I5" s="34"/>
      <c r="J5" s="34"/>
      <c r="K5" s="36" t="s">
        <v>9313</v>
      </c>
      <c r="L5" s="243">
        <f>+Datos!B5</f>
        <v>30535195869</v>
      </c>
      <c r="M5" s="243"/>
      <c r="N5" s="243"/>
      <c r="O5" s="244"/>
      <c r="P5" s="230"/>
      <c r="Q5" s="231"/>
      <c r="R5" s="231"/>
      <c r="S5" s="231"/>
      <c r="T5" s="231"/>
      <c r="U5" s="232"/>
      <c r="W5" s="104" t="s">
        <v>9316</v>
      </c>
      <c r="X5" s="122">
        <v>5500</v>
      </c>
      <c r="Y5" s="122"/>
      <c r="Z5" s="122"/>
      <c r="AA5" s="122"/>
    </row>
    <row r="6" spans="1:27" ht="14.1" customHeight="1" x14ac:dyDescent="0.2">
      <c r="A6" s="224"/>
      <c r="B6" s="245" t="str">
        <f>+Datos!B12</f>
        <v>0261-4256567 | +549 2615117948</v>
      </c>
      <c r="C6" s="246"/>
      <c r="D6" s="246"/>
      <c r="E6" s="246"/>
      <c r="F6" s="246"/>
      <c r="G6" s="246"/>
      <c r="H6" s="246"/>
      <c r="I6" s="35"/>
      <c r="J6" s="35"/>
      <c r="K6" s="37" t="s">
        <v>9314</v>
      </c>
      <c r="L6" s="247">
        <f>+Datos!B3</f>
        <v>20355</v>
      </c>
      <c r="M6" s="247"/>
      <c r="N6" s="247"/>
      <c r="O6" s="248"/>
      <c r="P6" s="233"/>
      <c r="Q6" s="234"/>
      <c r="R6" s="234"/>
      <c r="S6" s="234"/>
      <c r="T6" s="234"/>
      <c r="U6" s="235"/>
      <c r="W6" s="104" t="s">
        <v>9327</v>
      </c>
      <c r="X6" s="122">
        <v>42898017</v>
      </c>
      <c r="Y6" s="122"/>
      <c r="Z6" s="122"/>
      <c r="AA6" s="122"/>
    </row>
    <row r="7" spans="1:27" ht="14.1" customHeight="1" x14ac:dyDescent="0.2">
      <c r="A7" s="28"/>
      <c r="B7" s="198" t="s">
        <v>9329</v>
      </c>
      <c r="C7" s="198"/>
      <c r="D7" s="198" t="str">
        <f>+X1</f>
        <v>SEBASTIAN ALVAREZ</v>
      </c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8"/>
      <c r="P7" s="198"/>
      <c r="Q7" s="198"/>
      <c r="R7" s="198"/>
      <c r="S7" s="198"/>
      <c r="T7" s="198"/>
      <c r="U7" s="29"/>
      <c r="W7" s="104" t="s">
        <v>9318</v>
      </c>
      <c r="X7" s="122">
        <v>2805080236</v>
      </c>
      <c r="Y7" s="122"/>
      <c r="Z7" s="122"/>
      <c r="AA7" s="122"/>
    </row>
    <row r="8" spans="1:27" ht="14.1" customHeight="1" x14ac:dyDescent="0.2">
      <c r="A8" s="205" t="s">
        <v>23</v>
      </c>
      <c r="B8" s="206"/>
      <c r="C8" s="206"/>
      <c r="D8" s="206"/>
      <c r="E8" s="206"/>
      <c r="F8" s="206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6"/>
      <c r="U8" s="207"/>
      <c r="W8" s="104" t="s">
        <v>9320</v>
      </c>
      <c r="X8" s="274" t="str">
        <f>+G20</f>
        <v>PUERTO MADRYN</v>
      </c>
      <c r="Y8" s="274"/>
      <c r="Z8" s="274"/>
      <c r="AA8" s="274"/>
    </row>
    <row r="9" spans="1:27" ht="14.1" customHeight="1" x14ac:dyDescent="0.2">
      <c r="A9" s="208"/>
      <c r="B9" s="209"/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10"/>
      <c r="W9" s="104" t="s">
        <v>9319</v>
      </c>
      <c r="X9" s="274" t="str">
        <f>+B21</f>
        <v>CHUBUT</v>
      </c>
      <c r="Y9" s="274"/>
      <c r="Z9" s="274"/>
      <c r="AA9" s="274"/>
    </row>
    <row r="10" spans="1:27" ht="14.1" customHeight="1" x14ac:dyDescent="0.2">
      <c r="A10" s="211"/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3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36</v>
      </c>
      <c r="X11" s="106" t="s">
        <v>9310</v>
      </c>
      <c r="Y11" s="106" t="s">
        <v>9339</v>
      </c>
      <c r="Z11" s="106" t="s">
        <v>7801</v>
      </c>
      <c r="AA11" s="114" t="s">
        <v>9323</v>
      </c>
    </row>
    <row r="12" spans="1:27" ht="14.1" customHeight="1" x14ac:dyDescent="0.2">
      <c r="A12" s="54"/>
      <c r="B12" s="185" t="s">
        <v>22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55"/>
      <c r="N12" s="67"/>
      <c r="O12" s="184" t="s">
        <v>9330</v>
      </c>
      <c r="P12" s="184"/>
      <c r="Q12" s="184"/>
      <c r="R12" s="184"/>
      <c r="S12" s="184"/>
      <c r="T12" s="184"/>
      <c r="U12" s="58"/>
      <c r="W12" s="108"/>
      <c r="X12" s="109" t="str">
        <f>IFERROR(VLOOKUP(Tabla24[[#This Row],[CODIGO]],Lince!$A$2:$E10000,3,FALSE),"")</f>
        <v/>
      </c>
      <c r="Y12" s="115"/>
      <c r="Z12" s="116"/>
      <c r="AA12" s="119"/>
    </row>
    <row r="13" spans="1:27" ht="14.1" customHeight="1" x14ac:dyDescent="0.2">
      <c r="A13" s="56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57"/>
      <c r="N13" s="67"/>
      <c r="O13" s="184"/>
      <c r="P13" s="184"/>
      <c r="Q13" s="184"/>
      <c r="R13" s="184"/>
      <c r="S13" s="184"/>
      <c r="T13" s="184"/>
      <c r="U13" s="58"/>
      <c r="W13" s="108"/>
      <c r="X13" s="109" t="str">
        <f>IFERROR(VLOOKUP(Tabla24[[#This Row],[CODIGO]],Lince!$A$2:$E10001,3,FALSE),"")</f>
        <v/>
      </c>
      <c r="Y13" s="115"/>
      <c r="Z13" s="116"/>
      <c r="AA13" s="119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09" t="str">
        <f>IFERROR(VLOOKUP(Tabla24[[#This Row],[CODIGO]],Lince!$A$2:$E10002,3,FALSE),"")</f>
        <v/>
      </c>
      <c r="Y14" s="115"/>
      <c r="Z14" s="116"/>
      <c r="AA14" s="119"/>
    </row>
    <row r="15" spans="1:27" ht="14.1" customHeight="1" x14ac:dyDescent="0.2">
      <c r="A15" s="188" t="s">
        <v>19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09" t="str">
        <f>IFERROR(VLOOKUP(Tabla24[[#This Row],[CODIGO]],Lince!$A$2:$E10003,3,FALSE),"")</f>
        <v/>
      </c>
      <c r="Y15" s="115"/>
      <c r="Z15" s="116"/>
      <c r="AA15" s="119"/>
    </row>
    <row r="16" spans="1:27" ht="14.1" customHeight="1" x14ac:dyDescent="0.2">
      <c r="A16" s="189"/>
      <c r="B16" s="199" t="str">
        <f>+X2</f>
        <v>Jones, Jessica Valeria</v>
      </c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191" t="s">
        <v>9328</v>
      </c>
      <c r="O16" s="191"/>
      <c r="P16" s="191"/>
      <c r="Q16" s="192">
        <f>+X6</f>
        <v>42898017</v>
      </c>
      <c r="R16" s="193"/>
      <c r="S16" s="193"/>
      <c r="T16" s="194"/>
      <c r="U16" s="61"/>
      <c r="W16" s="108"/>
      <c r="X16" s="109" t="str">
        <f>IFERROR(VLOOKUP(Tabla24[[#This Row],[CODIGO]],Lince!$A$2:$E10004,3,FALSE),"")</f>
        <v/>
      </c>
      <c r="Y16" s="115"/>
      <c r="Z16" s="116"/>
      <c r="AA16" s="119"/>
    </row>
    <row r="17" spans="1:27" ht="14.1" customHeight="1" x14ac:dyDescent="0.2">
      <c r="A17" s="189"/>
      <c r="B17" s="201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41"/>
      <c r="O17" s="42"/>
      <c r="P17" s="42"/>
      <c r="Q17" s="42"/>
      <c r="R17" s="42"/>
      <c r="S17" s="42"/>
      <c r="T17" s="64"/>
      <c r="U17" s="61"/>
      <c r="W17" s="108"/>
      <c r="X17" s="109" t="str">
        <f>IFERROR(VLOOKUP(Tabla24[[#This Row],[CODIGO]],Lince!$A$2:$E10005,3,FALSE),"")</f>
        <v/>
      </c>
      <c r="Y17" s="115"/>
      <c r="Z17" s="116"/>
      <c r="AA17" s="119"/>
    </row>
    <row r="18" spans="1:27" ht="14.1" customHeight="1" x14ac:dyDescent="0.2">
      <c r="A18" s="189"/>
      <c r="B18" s="203" t="s">
        <v>9</v>
      </c>
      <c r="C18" s="204"/>
      <c r="D18" s="204"/>
      <c r="E18" s="187" t="str">
        <f>VLOOKUP(R18,Sucursales!A:B,2,FALSE)</f>
        <v>PUERTO MADRYN</v>
      </c>
      <c r="F18" s="187"/>
      <c r="G18" s="187"/>
      <c r="H18" s="187"/>
      <c r="I18" s="187"/>
      <c r="J18" s="187"/>
      <c r="K18" s="187"/>
      <c r="L18" s="187"/>
      <c r="M18" s="41"/>
      <c r="N18" s="183" t="s">
        <v>25</v>
      </c>
      <c r="O18" s="183"/>
      <c r="P18" s="183"/>
      <c r="Q18" s="183"/>
      <c r="R18" s="181" t="s">
        <v>2</v>
      </c>
      <c r="S18" s="181"/>
      <c r="T18" s="182"/>
      <c r="U18" s="61"/>
      <c r="W18" s="108"/>
      <c r="X18" s="109" t="str">
        <f>IFERROR(VLOOKUP(Tabla24[[#This Row],[CODIGO]],Lince!$A$2:$E10006,3,FALSE),"")</f>
        <v/>
      </c>
      <c r="Y18" s="115"/>
      <c r="Z18" s="116"/>
      <c r="AA18" s="119"/>
    </row>
    <row r="19" spans="1:27" ht="14.1" customHeight="1" x14ac:dyDescent="0.2">
      <c r="A19" s="189"/>
      <c r="B19" s="179" t="s">
        <v>10</v>
      </c>
      <c r="C19" s="180"/>
      <c r="D19" s="180"/>
      <c r="E19" s="187"/>
      <c r="F19" s="187"/>
      <c r="G19" s="187"/>
      <c r="H19" s="187"/>
      <c r="I19" s="187"/>
      <c r="J19" s="187"/>
      <c r="K19" s="187"/>
      <c r="L19" s="187"/>
      <c r="M19" s="40"/>
      <c r="N19" s="183"/>
      <c r="O19" s="183"/>
      <c r="P19" s="183"/>
      <c r="Q19" s="183"/>
      <c r="R19" s="181"/>
      <c r="S19" s="181"/>
      <c r="T19" s="182"/>
      <c r="U19" s="61"/>
      <c r="W19" s="108"/>
      <c r="X19" s="109" t="str">
        <f>IFERROR(VLOOKUP(Tabla24[[#This Row],[CODIGO]],Lince!$A$2:$E10007,3,FALSE),"")</f>
        <v/>
      </c>
      <c r="Y19" s="115"/>
      <c r="Z19" s="116"/>
      <c r="AA19" s="119"/>
    </row>
    <row r="20" spans="1:27" ht="14.1" customHeight="1" x14ac:dyDescent="0.2">
      <c r="A20" s="189"/>
      <c r="B20" s="218" t="str">
        <f>VLOOKUP(R18,Sucursales!A:G,6,FALSE)</f>
        <v>U9120ZAA</v>
      </c>
      <c r="C20" s="219"/>
      <c r="D20" s="219"/>
      <c r="E20" s="219"/>
      <c r="G20" s="220" t="str">
        <f>VLOOKUP(R18,Sucursales!A:H,7,FALSE)</f>
        <v>PUERTO MADRYN</v>
      </c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1"/>
      <c r="U20" s="61"/>
      <c r="W20" s="108"/>
      <c r="X20" s="109" t="str">
        <f>IFERROR(VLOOKUP(Tabla24[[#This Row],[CODIGO]],Lince!$A$2:$E10008,3,FALSE),"")</f>
        <v/>
      </c>
      <c r="Y20" s="115"/>
      <c r="Z20" s="116"/>
      <c r="AA20" s="119"/>
    </row>
    <row r="21" spans="1:27" ht="14.1" customHeight="1" x14ac:dyDescent="0.2">
      <c r="A21" s="189"/>
      <c r="B21" s="214" t="str">
        <f>VLOOKUP(R18,Sucursales!A:H,8,FALSE)</f>
        <v>CHUBUT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09" t="str">
        <f>IFERROR(VLOOKUP(Tabla24[[#This Row],[CODIGO]],Lince!$A$2:$E10009,3,FALSE),"")</f>
        <v/>
      </c>
      <c r="Y21" s="115"/>
      <c r="Z21" s="116"/>
      <c r="AA21" s="119"/>
    </row>
    <row r="22" spans="1:27" ht="14.1" customHeight="1" x14ac:dyDescent="0.2">
      <c r="A22" s="189"/>
      <c r="B22" s="215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7" t="s">
        <v>9331</v>
      </c>
      <c r="N22" s="217"/>
      <c r="O22" s="217"/>
      <c r="P22" s="217"/>
      <c r="Q22" s="195">
        <f>+X7</f>
        <v>2805080236</v>
      </c>
      <c r="R22" s="196"/>
      <c r="S22" s="196"/>
      <c r="T22" s="197"/>
      <c r="U22" s="61"/>
      <c r="W22" s="108"/>
      <c r="X22" s="109" t="str">
        <f>IFERROR(VLOOKUP(Tabla24[[#This Row],[CODIGO]],Lince!$A$2:$E10010,3,FALSE),"")</f>
        <v/>
      </c>
      <c r="Y22" s="115"/>
      <c r="Z22" s="116"/>
      <c r="AA22" s="119"/>
    </row>
    <row r="23" spans="1:27" ht="14.1" customHeight="1" thickBot="1" x14ac:dyDescent="0.25">
      <c r="A23" s="190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09" t="str">
        <f>IFERROR(VLOOKUP(Tabla24[[#This Row],[CODIGO]],Lince!$A$2:$E10011,3,FALSE),"")</f>
        <v/>
      </c>
      <c r="Y23" s="115"/>
      <c r="Z23" s="116"/>
      <c r="AA23" s="119"/>
    </row>
    <row r="24" spans="1:27" ht="14.1" customHeight="1" x14ac:dyDescent="0.2">
      <c r="W24" s="108"/>
      <c r="X24" s="109" t="str">
        <f>IFERROR(VLOOKUP(Tabla24[[#This Row],[CODIGO]],Lince!$A$2:$E10012,3,FALSE),"")</f>
        <v/>
      </c>
      <c r="Y24" s="115"/>
      <c r="Z24" s="116"/>
      <c r="AA24" s="119"/>
    </row>
    <row r="25" spans="1:27" ht="14.1" customHeight="1" x14ac:dyDescent="0.2">
      <c r="W25" s="108"/>
      <c r="X25" s="109" t="str">
        <f>IFERROR(VLOOKUP(Tabla24[[#This Row],[CODIGO]],Lince!$A$2:$E10013,3,FALSE),"")</f>
        <v/>
      </c>
      <c r="Y25" s="115"/>
      <c r="Z25" s="116"/>
      <c r="AA25" s="119"/>
    </row>
    <row r="26" spans="1:27" ht="14.1" customHeight="1" x14ac:dyDescent="0.2">
      <c r="W26" s="108"/>
      <c r="X26" s="109" t="str">
        <f>IFERROR(VLOOKUP(Tabla24[[#This Row],[CODIGO]],Lince!$A$2:$E10014,3,FALSE),"")</f>
        <v/>
      </c>
      <c r="Y26" s="115"/>
      <c r="Z26" s="116"/>
      <c r="AA26" s="119"/>
    </row>
    <row r="27" spans="1:27" ht="14.1" customHeight="1" x14ac:dyDescent="0.2">
      <c r="W27" s="108"/>
      <c r="X27" s="109" t="str">
        <f>IFERROR(VLOOKUP(Tabla24[[#This Row],[CODIGO]],Lince!$A$2:$E10015,3,FALSE),"")</f>
        <v/>
      </c>
      <c r="Y27" s="115"/>
      <c r="Z27" s="116"/>
      <c r="AA27" s="119"/>
    </row>
    <row r="28" spans="1:27" ht="14.1" customHeight="1" x14ac:dyDescent="0.2">
      <c r="W28" s="108"/>
      <c r="X28" s="109" t="str">
        <f>IFERROR(VLOOKUP(Tabla24[[#This Row],[CODIGO]],Lince!$A$2:$E10016,3,FALSE),"")</f>
        <v/>
      </c>
      <c r="Y28" s="115"/>
      <c r="Z28" s="116"/>
      <c r="AA28" s="119"/>
    </row>
    <row r="29" spans="1:27" ht="14.1" customHeight="1" x14ac:dyDescent="0.2">
      <c r="W29" s="110"/>
      <c r="X29" s="109" t="str">
        <f>IFERROR(VLOOKUP(Tabla24[[#This Row],[CODIGO]],Lince!$A$2:$E10017,3,FALSE),"")</f>
        <v/>
      </c>
      <c r="Y29" s="117"/>
      <c r="Z29" s="118"/>
      <c r="AA29" s="120"/>
    </row>
    <row r="30" spans="1:27" ht="14.1" customHeight="1" x14ac:dyDescent="0.2">
      <c r="W30" s="108"/>
      <c r="X30" s="109" t="str">
        <f>IFERROR(VLOOKUP(Tabla24[[#This Row],[CODIGO]],Lince!$A$2:$E10018,3,FALSE),"")</f>
        <v/>
      </c>
      <c r="Y30" s="115"/>
      <c r="Z30" s="116"/>
      <c r="AA30" s="119"/>
    </row>
    <row r="31" spans="1:27" ht="14.1" customHeight="1" x14ac:dyDescent="0.2">
      <c r="W31" s="110"/>
      <c r="X31" s="109" t="str">
        <f>IFERROR(VLOOKUP(Tabla24[[#This Row],[CODIGO]],Lince!$A$2:$E10019,3,FALSE),"")</f>
        <v/>
      </c>
      <c r="Y31" s="117"/>
      <c r="Z31" s="118"/>
      <c r="AA31" s="120"/>
    </row>
    <row r="32" spans="1:27" ht="14.1" customHeight="1" x14ac:dyDescent="0.2">
      <c r="W32" s="110"/>
      <c r="X32" s="111" t="str">
        <f>IFERROR(VLOOKUP(Tabla24[[#This Row],[CODIGO]],Lince!$A$2:$E10020,3,FALSE),"")</f>
        <v/>
      </c>
      <c r="Y32" s="115"/>
      <c r="Z32" s="116"/>
      <c r="AA32" s="120"/>
    </row>
    <row r="33" spans="23:27" ht="14.1" customHeight="1" x14ac:dyDescent="0.2">
      <c r="W33" s="121" t="s">
        <v>9312</v>
      </c>
      <c r="X33" s="112"/>
      <c r="Y33" s="112"/>
      <c r="Z33" s="112"/>
      <c r="AA33" s="113">
        <f>SUBTOTAL(109,Tabla24[CANT])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9325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X5" sqref="X5:AA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9311</v>
      </c>
      <c r="X1" s="103" t="s">
        <v>8</v>
      </c>
      <c r="Y1" s="103"/>
      <c r="Z1" s="141">
        <f ca="1">TODAY()</f>
        <v>44693</v>
      </c>
      <c r="AA1" s="142"/>
    </row>
    <row r="2" spans="1:27" ht="14.1" customHeight="1" x14ac:dyDescent="0.2">
      <c r="A2" s="222" t="s">
        <v>15</v>
      </c>
      <c r="B2" s="265" t="str">
        <f>+Datos!B4</f>
        <v>RERDA S.A.</v>
      </c>
      <c r="C2" s="266"/>
      <c r="D2" s="266"/>
      <c r="E2" s="266"/>
      <c r="F2" s="266"/>
      <c r="G2" s="267" t="s">
        <v>9332</v>
      </c>
      <c r="H2" s="267"/>
      <c r="I2" s="267"/>
      <c r="J2" s="267"/>
      <c r="K2" s="267"/>
      <c r="L2" s="267"/>
      <c r="M2" s="267"/>
      <c r="N2" s="267"/>
      <c r="O2" s="268"/>
      <c r="P2" s="227"/>
      <c r="Q2" s="228"/>
      <c r="R2" s="228"/>
      <c r="S2" s="228"/>
      <c r="T2" s="228"/>
      <c r="U2" s="229"/>
      <c r="W2" s="104" t="s">
        <v>9322</v>
      </c>
      <c r="X2" s="146" t="s">
        <v>9326</v>
      </c>
      <c r="Y2" s="146"/>
      <c r="Z2" s="146"/>
      <c r="AA2" s="146"/>
    </row>
    <row r="3" spans="1:27" ht="14.1" customHeight="1" x14ac:dyDescent="0.2">
      <c r="A3" s="223"/>
      <c r="B3" s="236" t="str">
        <f>+Datos!B6</f>
        <v>San Martín</v>
      </c>
      <c r="C3" s="237"/>
      <c r="D3" s="237"/>
      <c r="E3" s="237"/>
      <c r="F3" s="237"/>
      <c r="G3" s="237">
        <f>+Datos!B7</f>
        <v>1665</v>
      </c>
      <c r="H3" s="237"/>
      <c r="I3" s="237"/>
      <c r="J3" s="31"/>
      <c r="L3" s="33"/>
      <c r="M3" s="238" t="str">
        <f>+Datos!B8</f>
        <v>Mendoza</v>
      </c>
      <c r="N3" s="238"/>
      <c r="O3" s="239"/>
      <c r="P3" s="230"/>
      <c r="Q3" s="231"/>
      <c r="R3" s="231"/>
      <c r="S3" s="231"/>
      <c r="T3" s="231"/>
      <c r="U3" s="232"/>
      <c r="W3" s="104" t="s">
        <v>9317</v>
      </c>
      <c r="X3" s="147" t="s">
        <v>9334</v>
      </c>
      <c r="Y3" s="147"/>
      <c r="Z3" s="147"/>
      <c r="AA3" s="147"/>
    </row>
    <row r="4" spans="1:27" ht="14.1" customHeight="1" x14ac:dyDescent="0.2">
      <c r="A4" s="223"/>
      <c r="B4" s="240" t="str">
        <f>+Datos!B9</f>
        <v>Mendoza</v>
      </c>
      <c r="C4" s="238"/>
      <c r="D4" s="238"/>
      <c r="E4" s="238"/>
      <c r="F4" s="238"/>
      <c r="G4" s="238">
        <f>+Datos!B10</f>
        <v>5500</v>
      </c>
      <c r="H4" s="238"/>
      <c r="I4" s="238"/>
      <c r="J4" s="31"/>
      <c r="K4" s="31"/>
      <c r="L4" s="31"/>
      <c r="M4" s="31"/>
      <c r="N4" s="31"/>
      <c r="O4" s="32"/>
      <c r="P4" s="230"/>
      <c r="Q4" s="231"/>
      <c r="R4" s="231"/>
      <c r="S4" s="231"/>
      <c r="T4" s="231"/>
      <c r="U4" s="232"/>
      <c r="W4" s="105"/>
      <c r="X4" s="148"/>
      <c r="Y4" s="148"/>
      <c r="Z4" s="148"/>
      <c r="AA4" s="148"/>
    </row>
    <row r="5" spans="1:27" ht="14.1" customHeight="1" x14ac:dyDescent="0.2">
      <c r="A5" s="223"/>
      <c r="B5" s="241" t="str">
        <f>+Datos!B11</f>
        <v>ventas@rerda.com</v>
      </c>
      <c r="C5" s="242"/>
      <c r="D5" s="242"/>
      <c r="E5" s="242"/>
      <c r="F5" s="242"/>
      <c r="G5" s="242"/>
      <c r="H5" s="242"/>
      <c r="I5" s="34"/>
      <c r="J5" s="34"/>
      <c r="K5" s="36" t="s">
        <v>9313</v>
      </c>
      <c r="L5" s="243">
        <f>+Datos!B5</f>
        <v>30535195869</v>
      </c>
      <c r="M5" s="243"/>
      <c r="N5" s="243"/>
      <c r="O5" s="244"/>
      <c r="P5" s="230"/>
      <c r="Q5" s="231"/>
      <c r="R5" s="231"/>
      <c r="S5" s="231"/>
      <c r="T5" s="231"/>
      <c r="U5" s="232"/>
      <c r="W5" s="104" t="s">
        <v>9316</v>
      </c>
      <c r="X5" s="122">
        <v>4121</v>
      </c>
      <c r="Y5" s="122"/>
      <c r="Z5" s="122"/>
      <c r="AA5" s="122"/>
    </row>
    <row r="6" spans="1:27" ht="14.1" customHeight="1" x14ac:dyDescent="0.2">
      <c r="A6" s="224"/>
      <c r="B6" s="245" t="str">
        <f>+Datos!B12</f>
        <v>0261-4256567 | +549 2615117948</v>
      </c>
      <c r="C6" s="246"/>
      <c r="D6" s="246"/>
      <c r="E6" s="246"/>
      <c r="F6" s="246"/>
      <c r="G6" s="246"/>
      <c r="H6" s="246"/>
      <c r="I6" s="35"/>
      <c r="J6" s="35"/>
      <c r="K6" s="37" t="s">
        <v>9314</v>
      </c>
      <c r="L6" s="247">
        <f>+Datos!B3</f>
        <v>20355</v>
      </c>
      <c r="M6" s="247"/>
      <c r="N6" s="247"/>
      <c r="O6" s="248"/>
      <c r="P6" s="233"/>
      <c r="Q6" s="234"/>
      <c r="R6" s="234"/>
      <c r="S6" s="234"/>
      <c r="T6" s="234"/>
      <c r="U6" s="235"/>
      <c r="W6" s="104" t="s">
        <v>9327</v>
      </c>
      <c r="X6" s="122" t="s">
        <v>9333</v>
      </c>
      <c r="Y6" s="122"/>
      <c r="Z6" s="122"/>
      <c r="AA6" s="122"/>
    </row>
    <row r="7" spans="1:27" ht="14.1" customHeight="1" x14ac:dyDescent="0.2">
      <c r="A7" s="28"/>
      <c r="B7" s="198" t="s">
        <v>9329</v>
      </c>
      <c r="C7" s="198"/>
      <c r="D7" s="198" t="str">
        <f>+X1</f>
        <v>ELENA</v>
      </c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8"/>
      <c r="P7" s="198"/>
      <c r="Q7" s="198"/>
      <c r="R7" s="198"/>
      <c r="S7" s="198"/>
      <c r="T7" s="198"/>
      <c r="U7" s="29"/>
      <c r="W7" s="104" t="s">
        <v>9318</v>
      </c>
      <c r="X7" s="122">
        <v>3514882213</v>
      </c>
      <c r="Y7" s="122"/>
      <c r="Z7" s="122"/>
      <c r="AA7" s="122"/>
    </row>
    <row r="8" spans="1:27" ht="14.1" customHeight="1" x14ac:dyDescent="0.2">
      <c r="A8" s="256" t="s">
        <v>17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8"/>
      <c r="W8" s="104" t="s">
        <v>9320</v>
      </c>
      <c r="X8" s="146" t="str">
        <f>+G20</f>
        <v>SAN PEDRO DE COLALAO</v>
      </c>
      <c r="Y8" s="146"/>
      <c r="Z8" s="146"/>
      <c r="AA8" s="146"/>
    </row>
    <row r="9" spans="1:27" ht="14.1" customHeight="1" x14ac:dyDescent="0.2">
      <c r="A9" s="259"/>
      <c r="B9" s="260"/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1"/>
      <c r="W9" s="104" t="s">
        <v>9319</v>
      </c>
      <c r="X9" s="146" t="str">
        <f>+B21</f>
        <v>TUCUMAN</v>
      </c>
      <c r="Y9" s="146"/>
      <c r="Z9" s="146"/>
      <c r="AA9" s="146"/>
    </row>
    <row r="10" spans="1:27" ht="14.1" customHeight="1" x14ac:dyDescent="0.2">
      <c r="A10" s="262"/>
      <c r="B10" s="263"/>
      <c r="C10" s="263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36</v>
      </c>
      <c r="X11" s="106" t="s">
        <v>9310</v>
      </c>
      <c r="Y11" s="107" t="s">
        <v>9339</v>
      </c>
      <c r="Z11" s="106" t="s">
        <v>7801</v>
      </c>
      <c r="AA11" s="114" t="s">
        <v>9323</v>
      </c>
    </row>
    <row r="12" spans="1:27" ht="14.1" customHeight="1" x14ac:dyDescent="0.2">
      <c r="A12" s="65"/>
      <c r="B12" s="252" t="s">
        <v>18</v>
      </c>
      <c r="C12" s="252"/>
      <c r="D12" s="252"/>
      <c r="E12" s="252"/>
      <c r="F12" s="252"/>
      <c r="G12" s="252"/>
      <c r="H12" s="252"/>
      <c r="I12" s="252"/>
      <c r="J12" s="252"/>
      <c r="K12" s="252"/>
      <c r="L12" s="252"/>
      <c r="M12" s="253"/>
      <c r="N12" s="67"/>
      <c r="O12" s="184" t="s">
        <v>9330</v>
      </c>
      <c r="P12" s="184"/>
      <c r="Q12" s="184"/>
      <c r="R12" s="184"/>
      <c r="S12" s="184"/>
      <c r="T12" s="184"/>
      <c r="U12" s="58"/>
      <c r="W12" s="108">
        <v>1120858</v>
      </c>
      <c r="X12" s="109" t="str">
        <f>IFERROR(VLOOKUP(Tabla245[[#This Row],[CODIGO]],Lince!$A$2:$E10000,3,FALSE),"")</f>
        <v>BOMB AMER RIP NEGRA 34/48 RER</v>
      </c>
      <c r="Y12" s="115"/>
      <c r="Z12" s="116">
        <v>48</v>
      </c>
      <c r="AA12" s="119">
        <v>4</v>
      </c>
    </row>
    <row r="13" spans="1:27" ht="14.1" customHeight="1" x14ac:dyDescent="0.2">
      <c r="A13" s="66"/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5"/>
      <c r="N13" s="67"/>
      <c r="O13" s="184"/>
      <c r="P13" s="184"/>
      <c r="Q13" s="184"/>
      <c r="R13" s="184"/>
      <c r="S13" s="184"/>
      <c r="T13" s="184"/>
      <c r="U13" s="58"/>
      <c r="W13" s="108">
        <v>1120858</v>
      </c>
      <c r="X13" s="109" t="str">
        <f>IFERROR(VLOOKUP(Tabla245[[#This Row],[CODIGO]],Lince!$A$2:$E10001,3,FALSE),"")</f>
        <v>BOMB AMER RIP NEGRA 34/48 RER</v>
      </c>
      <c r="Y13" s="115"/>
      <c r="Z13" s="116"/>
      <c r="AA13" s="119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09" t="str">
        <f>IFERROR(VLOOKUP(Tabla245[[#This Row],[CODIGO]],Lince!$A$2:$E10002,3,FALSE),"")</f>
        <v/>
      </c>
      <c r="Y14" s="115"/>
      <c r="Z14" s="116"/>
      <c r="AA14" s="119"/>
    </row>
    <row r="15" spans="1:27" ht="14.1" customHeight="1" x14ac:dyDescent="0.2">
      <c r="A15" s="249" t="s">
        <v>19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09" t="str">
        <f>IFERROR(VLOOKUP(Tabla245[[#This Row],[CODIGO]],Lince!$A$2:$E10003,3,FALSE),"")</f>
        <v/>
      </c>
      <c r="Y15" s="115"/>
      <c r="Z15" s="116"/>
      <c r="AA15" s="119"/>
    </row>
    <row r="16" spans="1:27" ht="14.1" customHeight="1" x14ac:dyDescent="0.2">
      <c r="A16" s="250"/>
      <c r="B16" s="199" t="str">
        <f>+X2</f>
        <v>JUAN DE LOS PALOTES</v>
      </c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191" t="s">
        <v>9328</v>
      </c>
      <c r="O16" s="191"/>
      <c r="P16" s="191"/>
      <c r="Q16" s="192" t="str">
        <f>+X6</f>
        <v>33-26903939-2</v>
      </c>
      <c r="R16" s="193"/>
      <c r="S16" s="193"/>
      <c r="T16" s="194"/>
      <c r="U16" s="70"/>
      <c r="W16" s="108">
        <v>1120858</v>
      </c>
      <c r="X16" s="109" t="str">
        <f>IFERROR(VLOOKUP(Tabla245[[#This Row],[CODIGO]],Lince!$A$2:$E10004,3,FALSE),"")</f>
        <v>BOMB AMER RIP NEGRA 34/48 RER</v>
      </c>
      <c r="Y16" s="115"/>
      <c r="Z16" s="116"/>
      <c r="AA16" s="119"/>
    </row>
    <row r="17" spans="1:27" ht="14.1" customHeight="1" x14ac:dyDescent="0.2">
      <c r="A17" s="250"/>
      <c r="B17" s="201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41"/>
      <c r="O17" s="42"/>
      <c r="P17" s="42"/>
      <c r="Q17" s="42"/>
      <c r="R17" s="42"/>
      <c r="S17" s="42"/>
      <c r="T17" s="64"/>
      <c r="U17" s="70"/>
      <c r="W17" s="108"/>
      <c r="X17" s="109" t="str">
        <f>IFERROR(VLOOKUP(Tabla245[[#This Row],[CODIGO]],Lince!$A$2:$E10005,3,FALSE),"")</f>
        <v/>
      </c>
      <c r="Y17" s="115"/>
      <c r="Z17" s="116"/>
      <c r="AA17" s="119"/>
    </row>
    <row r="18" spans="1:27" ht="14.1" customHeight="1" x14ac:dyDescent="0.2">
      <c r="A18" s="250"/>
      <c r="B18" s="214" t="s">
        <v>37</v>
      </c>
      <c r="C18" s="187"/>
      <c r="D18" s="187"/>
      <c r="E18" s="187" t="str">
        <f>VLOOKUP(R18,Sucursales!A:B,2,FALSE)</f>
        <v>SAN P.DE COLALAO</v>
      </c>
      <c r="F18" s="187"/>
      <c r="G18" s="187"/>
      <c r="H18" s="187"/>
      <c r="I18" s="187"/>
      <c r="J18" s="187"/>
      <c r="K18" s="187"/>
      <c r="L18" s="187"/>
      <c r="M18" s="41"/>
      <c r="N18" s="183" t="s">
        <v>25</v>
      </c>
      <c r="O18" s="183"/>
      <c r="P18" s="183"/>
      <c r="Q18" s="183"/>
      <c r="R18" s="181" t="s">
        <v>38</v>
      </c>
      <c r="S18" s="181"/>
      <c r="T18" s="182"/>
      <c r="U18" s="70"/>
      <c r="W18" s="108">
        <v>1120858</v>
      </c>
      <c r="X18" s="109" t="str">
        <f>IFERROR(VLOOKUP(Tabla245[[#This Row],[CODIGO]],Lince!$A$2:$E10006,3,FALSE),"")</f>
        <v>BOMB AMER RIP NEGRA 34/48 RER</v>
      </c>
      <c r="Y18" s="115"/>
      <c r="Z18" s="116"/>
      <c r="AA18" s="119"/>
    </row>
    <row r="19" spans="1:27" ht="14.1" customHeight="1" x14ac:dyDescent="0.2">
      <c r="A19" s="250"/>
      <c r="B19" s="214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40"/>
      <c r="N19" s="183"/>
      <c r="O19" s="183"/>
      <c r="P19" s="183"/>
      <c r="Q19" s="183"/>
      <c r="R19" s="181"/>
      <c r="S19" s="181"/>
      <c r="T19" s="182"/>
      <c r="U19" s="70"/>
      <c r="W19" s="108">
        <v>1120858</v>
      </c>
      <c r="X19" s="109" t="str">
        <f>IFERROR(VLOOKUP(Tabla245[[#This Row],[CODIGO]],Lince!$A$2:$E10007,3,FALSE),"")</f>
        <v>BOMB AMER RIP NEGRA 34/48 RER</v>
      </c>
      <c r="Y19" s="115"/>
      <c r="Z19" s="116"/>
      <c r="AA19" s="119"/>
    </row>
    <row r="20" spans="1:27" ht="14.1" customHeight="1" x14ac:dyDescent="0.2">
      <c r="A20" s="250"/>
      <c r="B20" s="218" t="str">
        <f>VLOOKUP(R18,Sucursales!A:G,6,FALSE)</f>
        <v>T4124ZAA</v>
      </c>
      <c r="C20" s="219"/>
      <c r="D20" s="219"/>
      <c r="E20" s="219"/>
      <c r="G20" s="220" t="str">
        <f>VLOOKUP(R18,Sucursales!A:H,7,FALSE)</f>
        <v>SAN PEDRO DE COLALAO</v>
      </c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1"/>
      <c r="U20" s="70"/>
      <c r="W20" s="108"/>
      <c r="X20" s="109" t="str">
        <f>IFERROR(VLOOKUP(Tabla245[[#This Row],[CODIGO]],Lince!$A$2:$E10008,3,FALSE),"")</f>
        <v/>
      </c>
      <c r="Y20" s="115"/>
      <c r="Z20" s="116"/>
      <c r="AA20" s="119"/>
    </row>
    <row r="21" spans="1:27" ht="14.1" customHeight="1" x14ac:dyDescent="0.2">
      <c r="A21" s="250"/>
      <c r="B21" s="214" t="str">
        <f>VLOOKUP(R18,Sucursales!A:H,8,FALSE)</f>
        <v>TUCUMAN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09" t="str">
        <f>IFERROR(VLOOKUP(Tabla245[[#This Row],[CODIGO]],Lince!$A$2:$E10009,3,FALSE),"")</f>
        <v/>
      </c>
      <c r="Y21" s="115"/>
      <c r="Z21" s="116"/>
      <c r="AA21" s="119"/>
    </row>
    <row r="22" spans="1:27" ht="14.1" customHeight="1" x14ac:dyDescent="0.2">
      <c r="A22" s="250"/>
      <c r="B22" s="215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7" t="s">
        <v>9331</v>
      </c>
      <c r="N22" s="217"/>
      <c r="O22" s="217"/>
      <c r="P22" s="217"/>
      <c r="Q22" s="195">
        <f>+X7</f>
        <v>3514882213</v>
      </c>
      <c r="R22" s="196"/>
      <c r="S22" s="196"/>
      <c r="T22" s="197"/>
      <c r="U22" s="70"/>
      <c r="W22" s="108"/>
      <c r="X22" s="109" t="str">
        <f>IFERROR(VLOOKUP(Tabla245[[#This Row],[CODIGO]],Lince!$A$2:$E10010,3,FALSE),"")</f>
        <v/>
      </c>
      <c r="Y22" s="115"/>
      <c r="Z22" s="116"/>
      <c r="AA22" s="119"/>
    </row>
    <row r="23" spans="1:27" ht="14.1" customHeight="1" thickBot="1" x14ac:dyDescent="0.25">
      <c r="A23" s="251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09" t="str">
        <f>IFERROR(VLOOKUP(Tabla245[[#This Row],[CODIGO]],Lince!$A$2:$E10011,3,FALSE),"")</f>
        <v/>
      </c>
      <c r="Y23" s="115"/>
      <c r="Z23" s="116"/>
      <c r="AA23" s="119"/>
    </row>
    <row r="24" spans="1:27" ht="14.1" customHeight="1" x14ac:dyDescent="0.2">
      <c r="W24" s="108"/>
      <c r="X24" s="109" t="str">
        <f>IFERROR(VLOOKUP(Tabla245[[#This Row],[CODIGO]],Lince!$A$2:$E10012,3,FALSE),"")</f>
        <v/>
      </c>
      <c r="Y24" s="115"/>
      <c r="Z24" s="116"/>
      <c r="AA24" s="119"/>
    </row>
    <row r="25" spans="1:27" ht="14.1" customHeight="1" x14ac:dyDescent="0.2">
      <c r="W25" s="108"/>
      <c r="X25" s="109" t="str">
        <f>IFERROR(VLOOKUP(Tabla245[[#This Row],[CODIGO]],Lince!$A$2:$E10013,3,FALSE),"")</f>
        <v/>
      </c>
      <c r="Y25" s="115"/>
      <c r="Z25" s="116"/>
      <c r="AA25" s="119"/>
    </row>
    <row r="26" spans="1:27" ht="14.1" customHeight="1" x14ac:dyDescent="0.2">
      <c r="W26" s="108"/>
      <c r="X26" s="109" t="str">
        <f>IFERROR(VLOOKUP(Tabla245[[#This Row],[CODIGO]],Lince!$A$2:$E10014,3,FALSE),"")</f>
        <v/>
      </c>
      <c r="Y26" s="115"/>
      <c r="Z26" s="116"/>
      <c r="AA26" s="119"/>
    </row>
    <row r="27" spans="1:27" ht="14.1" customHeight="1" x14ac:dyDescent="0.2">
      <c r="W27" s="108"/>
      <c r="X27" s="109" t="str">
        <f>IFERROR(VLOOKUP(Tabla245[[#This Row],[CODIGO]],Lince!$A$2:$E10015,3,FALSE),"")</f>
        <v/>
      </c>
      <c r="Y27" s="115"/>
      <c r="Z27" s="116"/>
      <c r="AA27" s="119"/>
    </row>
    <row r="28" spans="1:27" ht="14.1" customHeight="1" x14ac:dyDescent="0.2">
      <c r="W28" s="108"/>
      <c r="X28" s="109" t="str">
        <f>IFERROR(VLOOKUP(Tabla245[[#This Row],[CODIGO]],Lince!$A$2:$E10016,3,FALSE),"")</f>
        <v/>
      </c>
      <c r="Y28" s="115"/>
      <c r="Z28" s="116"/>
      <c r="AA28" s="119"/>
    </row>
    <row r="29" spans="1:27" ht="14.1" customHeight="1" x14ac:dyDescent="0.2">
      <c r="W29" s="110"/>
      <c r="X29" s="109" t="str">
        <f>IFERROR(VLOOKUP(Tabla245[[#This Row],[CODIGO]],Lince!$A$2:$E10017,3,FALSE),"")</f>
        <v/>
      </c>
      <c r="Y29" s="117"/>
      <c r="Z29" s="118"/>
      <c r="AA29" s="120"/>
    </row>
    <row r="30" spans="1:27" ht="14.1" customHeight="1" x14ac:dyDescent="0.2">
      <c r="W30" s="108"/>
      <c r="X30" s="109" t="str">
        <f>IFERROR(VLOOKUP(Tabla245[[#This Row],[CODIGO]],Lince!$A$2:$E10018,3,FALSE),"")</f>
        <v/>
      </c>
      <c r="Y30" s="115"/>
      <c r="Z30" s="116"/>
      <c r="AA30" s="119"/>
    </row>
    <row r="31" spans="1:27" ht="14.1" customHeight="1" x14ac:dyDescent="0.2">
      <c r="W31" s="110"/>
      <c r="X31" s="109" t="str">
        <f>IFERROR(VLOOKUP(Tabla245[[#This Row],[CODIGO]],Lince!$A$2:$E10019,3,FALSE),"")</f>
        <v/>
      </c>
      <c r="Y31" s="117"/>
      <c r="Z31" s="118"/>
      <c r="AA31" s="120"/>
    </row>
    <row r="32" spans="1:27" ht="14.1" customHeight="1" x14ac:dyDescent="0.2">
      <c r="W32" s="110"/>
      <c r="X32" s="111" t="str">
        <f>IFERROR(VLOOKUP(Tabla245[[#This Row],[CODIGO]],Lince!$A$2:$E10020,3,FALSE),"")</f>
        <v/>
      </c>
      <c r="Y32" s="115"/>
      <c r="Z32" s="116"/>
      <c r="AA32" s="120"/>
    </row>
    <row r="33" spans="23:27" ht="14.1" customHeight="1" x14ac:dyDescent="0.2">
      <c r="W33" s="112" t="s">
        <v>9312</v>
      </c>
      <c r="X33" s="112"/>
      <c r="Y33" s="112"/>
      <c r="Z33" s="112"/>
      <c r="AA33" s="113">
        <f>SUBTOTAL(109,Tabla245[CANT])</f>
        <v>4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9325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B2824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2.42578125" style="1" bestFit="1" customWidth="1"/>
    <col min="11" max="11" width="3.140625" style="1" bestFit="1" customWidth="1"/>
    <col min="12" max="16384" width="29.42578125" style="1"/>
  </cols>
  <sheetData>
    <row r="1" spans="1:11" ht="18.75" x14ac:dyDescent="0.3">
      <c r="A1" s="15" t="s">
        <v>24</v>
      </c>
    </row>
    <row r="3" spans="1:11" s="16" customFormat="1" ht="30" x14ac:dyDescent="0.2">
      <c r="A3" s="4" t="s">
        <v>25</v>
      </c>
      <c r="B3" s="5" t="s">
        <v>26</v>
      </c>
      <c r="C3" s="5" t="s">
        <v>27</v>
      </c>
      <c r="D3" s="5" t="s">
        <v>28</v>
      </c>
      <c r="E3" s="5" t="s">
        <v>29</v>
      </c>
      <c r="F3" s="5" t="s">
        <v>34</v>
      </c>
      <c r="G3" s="5" t="s">
        <v>30</v>
      </c>
      <c r="H3" s="6" t="s">
        <v>31</v>
      </c>
      <c r="I3" s="5" t="s">
        <v>9847</v>
      </c>
    </row>
    <row r="4" spans="1:11" x14ac:dyDescent="0.25">
      <c r="A4" s="14" t="str">
        <f>+'[1]BASE RED COMERCIAL'!$A2</f>
        <v>B0000</v>
      </c>
      <c r="B4" s="8" t="str">
        <f>+'[1]BASE RED COMERCIAL'!$H2</f>
        <v>SAN MARTIN</v>
      </c>
      <c r="C4" s="7" t="s">
        <v>33</v>
      </c>
      <c r="D4" s="9" t="str">
        <f>+'[1]BASE RED COMERCIAL'!$E2</f>
        <v>INTE A M CAMPOS</v>
      </c>
      <c r="E4" s="7">
        <f>+'[1]BASE RED COMERCIAL'!$F2</f>
        <v>1951</v>
      </c>
      <c r="F4" s="14" t="str">
        <f>+'[1]BASE RED COMERCIAL'!$I2</f>
        <v>B1650ZAB</v>
      </c>
      <c r="G4" s="7" t="str">
        <f>+'[1]BASE RED COMERCIAL'!$D2</f>
        <v>GENERAL SAN MARTIN</v>
      </c>
      <c r="H4" s="7" t="str">
        <f>+'[1]BASE RED COMERCIAL'!$B2</f>
        <v>BUENOS AIRES</v>
      </c>
      <c r="I4" s="8" t="str">
        <f>+'[1]BASE RED COMERCIAL'!$C2</f>
        <v>GENERAL SAN MARTIN</v>
      </c>
      <c r="J4" s="10"/>
      <c r="K4" s="10"/>
    </row>
    <row r="5" spans="1:11" x14ac:dyDescent="0.25">
      <c r="A5" s="14" t="str">
        <f>+'[1]BASE RED COMERCIAL'!$A3</f>
        <v>B0001</v>
      </c>
      <c r="B5" s="8" t="str">
        <f>+'[1]BASE RED COMERCIAL'!$H3</f>
        <v>TIGRE</v>
      </c>
      <c r="C5" s="7" t="s">
        <v>33</v>
      </c>
      <c r="D5" s="9" t="str">
        <f>+'[1]BASE RED COMERCIAL'!$E3</f>
        <v>AV DANIEL M CAZON</v>
      </c>
      <c r="E5" s="7">
        <f>+'[1]BASE RED COMERCIAL'!$F3</f>
        <v>1140</v>
      </c>
      <c r="F5" s="14" t="str">
        <f>+'[1]BASE RED COMERCIAL'!$I3</f>
        <v>B1648ZAB</v>
      </c>
      <c r="G5" s="7" t="str">
        <f>+'[1]BASE RED COMERCIAL'!$D3</f>
        <v>TIGRE</v>
      </c>
      <c r="H5" s="7" t="str">
        <f>+'[1]BASE RED COMERCIAL'!$B3</f>
        <v>BUENOS AIRES</v>
      </c>
      <c r="I5" s="8" t="str">
        <f>+'[1]BASE RED COMERCIAL'!$C3</f>
        <v>TIGRE</v>
      </c>
      <c r="J5" s="10"/>
      <c r="K5" s="10"/>
    </row>
    <row r="6" spans="1:11" x14ac:dyDescent="0.25">
      <c r="A6" s="14" t="str">
        <f>+'[1]BASE RED COMERCIAL'!$A4</f>
        <v>B0002</v>
      </c>
      <c r="B6" s="8" t="str">
        <f>+'[1]BASE RED COMERCIAL'!$H4</f>
        <v>VICENTE LOPEZ</v>
      </c>
      <c r="C6" s="7" t="s">
        <v>33</v>
      </c>
      <c r="D6" s="9" t="str">
        <f>+'[1]BASE RED COMERCIAL'!$E4</f>
        <v>AV DEL LIBERTADOR</v>
      </c>
      <c r="E6" s="7">
        <f>+'[1]BASE RED COMERCIAL'!$F4</f>
        <v>1202</v>
      </c>
      <c r="F6" s="14" t="str">
        <f>+'[1]BASE RED COMERCIAL'!$I4</f>
        <v>B1638ZAC</v>
      </c>
      <c r="G6" s="7" t="str">
        <f>+'[1]BASE RED COMERCIAL'!$D4</f>
        <v>VICENTE LOPEZ</v>
      </c>
      <c r="H6" s="7" t="str">
        <f>+'[1]BASE RED COMERCIAL'!$B4</f>
        <v>BUENOS AIRES</v>
      </c>
      <c r="I6" s="8" t="str">
        <f>+'[1]BASE RED COMERCIAL'!$C4</f>
        <v>VICENTE LOPEZ</v>
      </c>
      <c r="J6" s="10"/>
      <c r="K6" s="10"/>
    </row>
    <row r="7" spans="1:11" x14ac:dyDescent="0.25">
      <c r="A7" s="14" t="str">
        <f>+'[1]BASE RED COMERCIAL'!$A5</f>
        <v>B0003</v>
      </c>
      <c r="B7" s="8" t="str">
        <f>+'[1]BASE RED COMERCIAL'!$H5</f>
        <v>VILLA ADELINA</v>
      </c>
      <c r="C7" s="7" t="s">
        <v>33</v>
      </c>
      <c r="D7" s="9" t="str">
        <f>+'[1]BASE RED COMERCIAL'!$E5</f>
        <v>AV PARANA</v>
      </c>
      <c r="E7" s="7">
        <f>+'[1]BASE RED COMERCIAL'!$F5</f>
        <v>6001</v>
      </c>
      <c r="F7" s="14" t="str">
        <f>+'[1]BASE RED COMERCIAL'!$I5</f>
        <v>B1607ZAB</v>
      </c>
      <c r="G7" s="7" t="str">
        <f>+'[1]BASE RED COMERCIAL'!$D5</f>
        <v>VILLA ADELINA</v>
      </c>
      <c r="H7" s="7" t="str">
        <f>+'[1]BASE RED COMERCIAL'!$B5</f>
        <v>BUENOS AIRES</v>
      </c>
      <c r="I7" s="8" t="str">
        <f>+'[1]BASE RED COMERCIAL'!$C5</f>
        <v>SAN ISIDRO</v>
      </c>
      <c r="J7" s="10"/>
      <c r="K7" s="10"/>
    </row>
    <row r="8" spans="1:11" x14ac:dyDescent="0.25">
      <c r="A8" s="14" t="str">
        <f>+'[1]BASE RED COMERCIAL'!$A6</f>
        <v>B0004</v>
      </c>
      <c r="B8" s="8" t="str">
        <f>+'[1]BASE RED COMERCIAL'!$H6</f>
        <v>VILLA BALLESTER</v>
      </c>
      <c r="C8" s="7" t="s">
        <v>33</v>
      </c>
      <c r="D8" s="9" t="str">
        <f>+'[1]BASE RED COMERCIAL'!$E6</f>
        <v>VICENTE LOPEZ</v>
      </c>
      <c r="E8" s="7">
        <f>+'[1]BASE RED COMERCIAL'!$F6</f>
        <v>3044</v>
      </c>
      <c r="F8" s="14" t="str">
        <f>+'[1]BASE RED COMERCIAL'!$I6</f>
        <v>B1653ZAA</v>
      </c>
      <c r="G8" s="7" t="str">
        <f>+'[1]BASE RED COMERCIAL'!$D6</f>
        <v>VILLA BALLESTER</v>
      </c>
      <c r="H8" s="7" t="str">
        <f>+'[1]BASE RED COMERCIAL'!$B6</f>
        <v>BUENOS AIRES</v>
      </c>
      <c r="I8" s="8" t="str">
        <f>+'[1]BASE RED COMERCIAL'!$C6</f>
        <v>GENERAL SAN MARTIN</v>
      </c>
      <c r="J8" s="10"/>
      <c r="K8" s="10"/>
    </row>
    <row r="9" spans="1:11" x14ac:dyDescent="0.25">
      <c r="A9" s="14" t="str">
        <f>+'[1]BASE RED COMERCIAL'!$A7</f>
        <v>B0005</v>
      </c>
      <c r="B9" s="8" t="str">
        <f>+'[1]BASE RED COMERCIAL'!$H7</f>
        <v>VILLA MARTELLI</v>
      </c>
      <c r="C9" s="7" t="s">
        <v>33</v>
      </c>
      <c r="D9" s="9" t="str">
        <f>+'[1]BASE RED COMERCIAL'!$E7</f>
        <v>LAPRIDA</v>
      </c>
      <c r="E9" s="7">
        <f>+'[1]BASE RED COMERCIAL'!$F7</f>
        <v>3586</v>
      </c>
      <c r="F9" s="14" t="str">
        <f>+'[1]BASE RED COMERCIAL'!$I7</f>
        <v>B1603ZAA</v>
      </c>
      <c r="G9" s="7" t="str">
        <f>+'[1]BASE RED COMERCIAL'!$D7</f>
        <v>VILLA MARTELLI</v>
      </c>
      <c r="H9" s="7" t="str">
        <f>+'[1]BASE RED COMERCIAL'!$B7</f>
        <v>BUENOS AIRES</v>
      </c>
      <c r="I9" s="8" t="str">
        <f>+'[1]BASE RED COMERCIAL'!$C7</f>
        <v>VICENTE LOPEZ</v>
      </c>
      <c r="J9" s="10"/>
      <c r="K9" s="10"/>
    </row>
    <row r="10" spans="1:11" x14ac:dyDescent="0.25">
      <c r="A10" s="14" t="str">
        <f>+'[1]BASE RED COMERCIAL'!$A8</f>
        <v>B0006</v>
      </c>
      <c r="B10" s="8" t="str">
        <f>+'[1]BASE RED COMERCIAL'!$H8</f>
        <v>JOSE LEON SUAREZ</v>
      </c>
      <c r="C10" s="7" t="s">
        <v>33</v>
      </c>
      <c r="D10" s="9" t="str">
        <f>+'[1]BASE RED COMERCIAL'!$E8</f>
        <v>BUENOS AIRES</v>
      </c>
      <c r="E10" s="7">
        <f>+'[1]BASE RED COMERCIAL'!$F8</f>
        <v>7479</v>
      </c>
      <c r="F10" s="14" t="str">
        <f>+'[1]BASE RED COMERCIAL'!$I8</f>
        <v>B1653ZAB</v>
      </c>
      <c r="G10" s="7" t="str">
        <f>+'[1]BASE RED COMERCIAL'!$D8</f>
        <v>JOSE LEON SUAREZ</v>
      </c>
      <c r="H10" s="7" t="str">
        <f>+'[1]BASE RED COMERCIAL'!$B8</f>
        <v>BUENOS AIRES</v>
      </c>
      <c r="I10" s="8" t="str">
        <f>+'[1]BASE RED COMERCIAL'!$C8</f>
        <v>GENERAL SAN MARTIN</v>
      </c>
      <c r="J10" s="10"/>
      <c r="K10" s="10"/>
    </row>
    <row r="11" spans="1:11" x14ac:dyDescent="0.25">
      <c r="A11" s="14" t="str">
        <f>+'[1]BASE RED COMERCIAL'!$A9</f>
        <v>B0007</v>
      </c>
      <c r="B11" s="8" t="str">
        <f>+'[1]BASE RED COMERCIAL'!$H9</f>
        <v>LOMA HERMOSA</v>
      </c>
      <c r="C11" s="7" t="s">
        <v>33</v>
      </c>
      <c r="D11" s="9" t="str">
        <f>+'[1]BASE RED COMERCIAL'!$E9</f>
        <v>AV EVA PERON</v>
      </c>
      <c r="E11" s="7">
        <f>+'[1]BASE RED COMERCIAL'!$F9</f>
        <v>9718</v>
      </c>
      <c r="F11" s="14" t="str">
        <f>+'[1]BASE RED COMERCIAL'!$I9</f>
        <v>B1657ZAA</v>
      </c>
      <c r="G11" s="7" t="str">
        <f>+'[1]BASE RED COMERCIAL'!$D9</f>
        <v>LOMA HERMOSA</v>
      </c>
      <c r="H11" s="7" t="str">
        <f>+'[1]BASE RED COMERCIAL'!$B9</f>
        <v>BUENOS AIRES</v>
      </c>
      <c r="I11" s="8" t="str">
        <f>+'[1]BASE RED COMERCIAL'!$C9</f>
        <v>TRES DE FEBRERO</v>
      </c>
      <c r="J11" s="10"/>
      <c r="K11" s="10"/>
    </row>
    <row r="12" spans="1:11" x14ac:dyDescent="0.25">
      <c r="A12" s="14" t="str">
        <f>+'[1]BASE RED COMERCIAL'!$A10</f>
        <v>B0009</v>
      </c>
      <c r="B12" s="8" t="str">
        <f>+'[1]BASE RED COMERCIAL'!$H10</f>
        <v>ACASSUSO</v>
      </c>
      <c r="C12" s="7" t="s">
        <v>33</v>
      </c>
      <c r="D12" s="9" t="str">
        <f>+'[1]BASE RED COMERCIAL'!$E10</f>
        <v>AV SANTA FE</v>
      </c>
      <c r="E12" s="7">
        <f>+'[1]BASE RED COMERCIAL'!$F10</f>
        <v>766</v>
      </c>
      <c r="F12" s="14" t="str">
        <f>+'[1]BASE RED COMERCIAL'!$I10</f>
        <v>B1641ZAA</v>
      </c>
      <c r="G12" s="7" t="str">
        <f>+'[1]BASE RED COMERCIAL'!$D10</f>
        <v>ACASSUSO</v>
      </c>
      <c r="H12" s="7" t="str">
        <f>+'[1]BASE RED COMERCIAL'!$B10</f>
        <v>BUENOS AIRES</v>
      </c>
      <c r="I12" s="8" t="str">
        <f>+'[1]BASE RED COMERCIAL'!$C10</f>
        <v>SAN ISIDRO</v>
      </c>
      <c r="J12" s="10"/>
      <c r="K12" s="10"/>
    </row>
    <row r="13" spans="1:11" x14ac:dyDescent="0.25">
      <c r="A13" s="14" t="str">
        <f>+'[1]BASE RED COMERCIAL'!$A11</f>
        <v>B0010</v>
      </c>
      <c r="B13" s="8" t="str">
        <f>+'[1]BASE RED COMERCIAL'!$H11</f>
        <v>SOLEIL</v>
      </c>
      <c r="C13" s="7" t="s">
        <v>33</v>
      </c>
      <c r="D13" s="9" t="str">
        <f>+'[1]BASE RED COMERCIAL'!$E11</f>
        <v>DR BERNARDO DE IRIGOYEN</v>
      </c>
      <c r="E13" s="7">
        <f>+'[1]BASE RED COMERCIAL'!$F11</f>
        <v>2647</v>
      </c>
      <c r="F13" s="14" t="str">
        <f>+'[1]BASE RED COMERCIAL'!$I11</f>
        <v>B1609ZAB</v>
      </c>
      <c r="G13" s="7" t="str">
        <f>+'[1]BASE RED COMERCIAL'!$D11</f>
        <v>BOULOGNE</v>
      </c>
      <c r="H13" s="7" t="str">
        <f>+'[1]BASE RED COMERCIAL'!$B11</f>
        <v>BUENOS AIRES</v>
      </c>
      <c r="I13" s="8" t="str">
        <f>+'[1]BASE RED COMERCIAL'!$C11</f>
        <v>SAN ISIDRO</v>
      </c>
      <c r="J13" s="10"/>
      <c r="K13" s="10"/>
    </row>
    <row r="14" spans="1:11" x14ac:dyDescent="0.25">
      <c r="A14" s="14" t="str">
        <f>+'[1]BASE RED COMERCIAL'!$A12</f>
        <v>B0011</v>
      </c>
      <c r="B14" s="8" t="str">
        <f>+'[1]BASE RED COMERCIAL'!$H12</f>
        <v>MARTINEZ UNICENTER</v>
      </c>
      <c r="C14" s="7" t="s">
        <v>33</v>
      </c>
      <c r="D14" s="9" t="str">
        <f>+'[1]BASE RED COMERCIAL'!$E12</f>
        <v>AV PARANA</v>
      </c>
      <c r="E14" s="7">
        <f>+'[1]BASE RED COMERCIAL'!$F12</f>
        <v>3745</v>
      </c>
      <c r="F14" s="14" t="str">
        <f>+'[1]BASE RED COMERCIAL'!$I12</f>
        <v>B1640ZAB</v>
      </c>
      <c r="G14" s="7" t="str">
        <f>+'[1]BASE RED COMERCIAL'!$D12</f>
        <v>MARTINEZ</v>
      </c>
      <c r="H14" s="7" t="str">
        <f>+'[1]BASE RED COMERCIAL'!$B12</f>
        <v>BUENOS AIRES</v>
      </c>
      <c r="I14" s="8" t="str">
        <f>+'[1]BASE RED COMERCIAL'!$C12</f>
        <v>SAN ISIDRO</v>
      </c>
      <c r="J14" s="10"/>
      <c r="K14" s="10"/>
    </row>
    <row r="15" spans="1:11" x14ac:dyDescent="0.25">
      <c r="A15" s="14" t="str">
        <f>+'[1]BASE RED COMERCIAL'!$A13</f>
        <v>B0012</v>
      </c>
      <c r="B15" s="8" t="str">
        <f>+'[1]BASE RED COMERCIAL'!$H13</f>
        <v>BERNAL</v>
      </c>
      <c r="C15" s="7" t="s">
        <v>33</v>
      </c>
      <c r="D15" s="9" t="str">
        <f>+'[1]BASE RED COMERCIAL'!$E13</f>
        <v>9 DE JULIO</v>
      </c>
      <c r="E15" s="7">
        <f>+'[1]BASE RED COMERCIAL'!$F13</f>
        <v>14</v>
      </c>
      <c r="F15" s="14" t="str">
        <f>+'[1]BASE RED COMERCIAL'!$I13</f>
        <v>B1876ZAA</v>
      </c>
      <c r="G15" s="7" t="str">
        <f>+'[1]BASE RED COMERCIAL'!$D13</f>
        <v>BERNAL ESTE</v>
      </c>
      <c r="H15" s="7" t="str">
        <f>+'[1]BASE RED COMERCIAL'!$B13</f>
        <v>BUENOS AIRES</v>
      </c>
      <c r="I15" s="8" t="str">
        <f>+'[1]BASE RED COMERCIAL'!$C13</f>
        <v>QUILMES</v>
      </c>
      <c r="J15" s="10"/>
      <c r="K15" s="10"/>
    </row>
    <row r="16" spans="1:11" x14ac:dyDescent="0.25">
      <c r="A16" s="14" t="str">
        <f>+'[1]BASE RED COMERCIAL'!$A14</f>
        <v>B0013</v>
      </c>
      <c r="B16" s="8" t="str">
        <f>+'[1]BASE RED COMERCIAL'!$H14</f>
        <v>VICTORIA</v>
      </c>
      <c r="C16" s="7" t="s">
        <v>33</v>
      </c>
      <c r="D16" s="9" t="str">
        <f>+'[1]BASE RED COMERCIAL'!$E14</f>
        <v>AV PTE J D PERON</v>
      </c>
      <c r="E16" s="7">
        <f>+'[1]BASE RED COMERCIAL'!$F14</f>
        <v>2579</v>
      </c>
      <c r="F16" s="14" t="str">
        <f>+'[1]BASE RED COMERCIAL'!$I14</f>
        <v>B1644ZAA</v>
      </c>
      <c r="G16" s="7" t="str">
        <f>+'[1]BASE RED COMERCIAL'!$D14</f>
        <v>VICTORIA</v>
      </c>
      <c r="H16" s="7" t="str">
        <f>+'[1]BASE RED COMERCIAL'!$B14</f>
        <v>BUENOS AIRES</v>
      </c>
      <c r="I16" s="8" t="str">
        <f>+'[1]BASE RED COMERCIAL'!$C14</f>
        <v>SAN FERNANDO</v>
      </c>
      <c r="J16" s="10"/>
      <c r="K16" s="10"/>
    </row>
    <row r="17" spans="1:11" x14ac:dyDescent="0.25">
      <c r="A17" s="14" t="str">
        <f>+'[1]BASE RED COMERCIAL'!$A15</f>
        <v>B0014</v>
      </c>
      <c r="B17" s="8" t="str">
        <f>+'[1]BASE RED COMERCIAL'!$H15</f>
        <v>FLORIDA</v>
      </c>
      <c r="C17" s="7" t="s">
        <v>33</v>
      </c>
      <c r="D17" s="9" t="str">
        <f>+'[1]BASE RED COMERCIAL'!$E15</f>
        <v>AV GRAL SAN MARTIN</v>
      </c>
      <c r="E17" s="7">
        <f>+'[1]BASE RED COMERCIAL'!$F15</f>
        <v>2849</v>
      </c>
      <c r="F17" s="14" t="str">
        <f>+'[1]BASE RED COMERCIAL'!$I15</f>
        <v>B1602ZAA</v>
      </c>
      <c r="G17" s="7" t="str">
        <f>+'[1]BASE RED COMERCIAL'!$D15</f>
        <v>FLORIDA</v>
      </c>
      <c r="H17" s="7" t="str">
        <f>+'[1]BASE RED COMERCIAL'!$B15</f>
        <v>BUENOS AIRES</v>
      </c>
      <c r="I17" s="8" t="str">
        <f>+'[1]BASE RED COMERCIAL'!$C15</f>
        <v>VICENTE LOPEZ</v>
      </c>
      <c r="J17" s="10"/>
      <c r="K17" s="10"/>
    </row>
    <row r="18" spans="1:11" x14ac:dyDescent="0.25">
      <c r="A18" s="14" t="str">
        <f>+'[1]BASE RED COMERCIAL'!$A16</f>
        <v>B0015</v>
      </c>
      <c r="B18" s="8" t="str">
        <f>+'[1]BASE RED COMERCIAL'!$H16</f>
        <v>GENERAL PACHECO</v>
      </c>
      <c r="C18" s="7" t="s">
        <v>33</v>
      </c>
      <c r="D18" s="9" t="str">
        <f>+'[1]BASE RED COMERCIAL'!$E16</f>
        <v>AV DE LOS CONSTITUYENTES</v>
      </c>
      <c r="E18" s="7">
        <f>+'[1]BASE RED COMERCIAL'!$F16</f>
        <v>532</v>
      </c>
      <c r="F18" s="14" t="str">
        <f>+'[1]BASE RED COMERCIAL'!$I16</f>
        <v>B1617ZAB</v>
      </c>
      <c r="G18" s="7" t="str">
        <f>+'[1]BASE RED COMERCIAL'!$D16</f>
        <v>GENERAL PACHECO</v>
      </c>
      <c r="H18" s="7" t="str">
        <f>+'[1]BASE RED COMERCIAL'!$B16</f>
        <v>BUENOS AIRES</v>
      </c>
      <c r="I18" s="8" t="str">
        <f>+'[1]BASE RED COMERCIAL'!$C16</f>
        <v>TIGRE</v>
      </c>
      <c r="J18" s="10"/>
      <c r="K18" s="10"/>
    </row>
    <row r="19" spans="1:11" x14ac:dyDescent="0.25">
      <c r="A19" s="14" t="str">
        <f>+'[1]BASE RED COMERCIAL'!$A17</f>
        <v>B0016</v>
      </c>
      <c r="B19" s="8" t="str">
        <f>+'[1]BASE RED COMERCIAL'!$H17</f>
        <v>VILLA LYNCH</v>
      </c>
      <c r="C19" s="7" t="s">
        <v>33</v>
      </c>
      <c r="D19" s="9" t="str">
        <f>+'[1]BASE RED COMERCIAL'!$E17</f>
        <v>REPUBLICA DEL LIBANO</v>
      </c>
      <c r="E19" s="7">
        <f>+'[1]BASE RED COMERCIAL'!$F17</f>
        <v>4041</v>
      </c>
      <c r="F19" s="14" t="str">
        <f>+'[1]BASE RED COMERCIAL'!$I17</f>
        <v>B1672ZAA</v>
      </c>
      <c r="G19" s="7" t="str">
        <f>+'[1]BASE RED COMERCIAL'!$D17</f>
        <v>VILLA LYNCH</v>
      </c>
      <c r="H19" s="7" t="str">
        <f>+'[1]BASE RED COMERCIAL'!$B17</f>
        <v>BUENOS AIRES</v>
      </c>
      <c r="I19" s="8" t="str">
        <f>+'[1]BASE RED COMERCIAL'!$C17</f>
        <v>GENERAL SAN MARTIN</v>
      </c>
      <c r="J19" s="10"/>
      <c r="K19" s="10"/>
    </row>
    <row r="20" spans="1:11" x14ac:dyDescent="0.25">
      <c r="A20" s="14" t="str">
        <f>+'[1]BASE RED COMERCIAL'!$A18</f>
        <v>B0020</v>
      </c>
      <c r="B20" s="8" t="str">
        <f>+'[1]BASE RED COMERCIAL'!$H18</f>
        <v>OLIVOS</v>
      </c>
      <c r="C20" s="7" t="s">
        <v>33</v>
      </c>
      <c r="D20" s="9" t="str">
        <f>+'[1]BASE RED COMERCIAL'!$E18</f>
        <v>AV MAIPU</v>
      </c>
      <c r="E20" s="7">
        <f>+'[1]BASE RED COMERCIAL'!$F18</f>
        <v>2683</v>
      </c>
      <c r="F20" s="14" t="str">
        <f>+'[1]BASE RED COMERCIAL'!$I18</f>
        <v>B1636ZAB</v>
      </c>
      <c r="G20" s="7" t="str">
        <f>+'[1]BASE RED COMERCIAL'!$D18</f>
        <v>OLIVOS</v>
      </c>
      <c r="H20" s="7" t="str">
        <f>+'[1]BASE RED COMERCIAL'!$B18</f>
        <v>BUENOS AIRES</v>
      </c>
      <c r="I20" s="8" t="str">
        <f>+'[1]BASE RED COMERCIAL'!$C18</f>
        <v>VICENTE LOPEZ</v>
      </c>
      <c r="J20" s="10"/>
      <c r="K20" s="10"/>
    </row>
    <row r="21" spans="1:11" x14ac:dyDescent="0.25">
      <c r="A21" s="14" t="str">
        <f>+'[1]BASE RED COMERCIAL'!$A19</f>
        <v>B0021</v>
      </c>
      <c r="B21" s="8" t="str">
        <f>+'[1]BASE RED COMERCIAL'!$H19</f>
        <v>PUENTE SAAVEDRA</v>
      </c>
      <c r="C21" s="7" t="s">
        <v>33</v>
      </c>
      <c r="D21" s="9" t="str">
        <f>+'[1]BASE RED COMERCIAL'!$E19</f>
        <v>AV MAIPU</v>
      </c>
      <c r="E21" s="7">
        <f>+'[1]BASE RED COMERCIAL'!$F19</f>
        <v>438</v>
      </c>
      <c r="F21" s="14" t="str">
        <f>+'[1]BASE RED COMERCIAL'!$I19</f>
        <v>B1638ZAB</v>
      </c>
      <c r="G21" s="7" t="str">
        <f>+'[1]BASE RED COMERCIAL'!$D19</f>
        <v>FLORIDA</v>
      </c>
      <c r="H21" s="7" t="str">
        <f>+'[1]BASE RED COMERCIAL'!$B19</f>
        <v>BUENOS AIRES</v>
      </c>
      <c r="I21" s="8" t="str">
        <f>+'[1]BASE RED COMERCIAL'!$C19</f>
        <v>VICENTE LOPEZ</v>
      </c>
      <c r="J21" s="10"/>
      <c r="K21" s="10"/>
    </row>
    <row r="22" spans="1:11" x14ac:dyDescent="0.25">
      <c r="A22" s="14" t="str">
        <f>+'[1]BASE RED COMERCIAL'!$A20</f>
        <v>B0022</v>
      </c>
      <c r="B22" s="8" t="str">
        <f>+'[1]BASE RED COMERCIAL'!$H20</f>
        <v>SAN ANDRES</v>
      </c>
      <c r="C22" s="7" t="s">
        <v>33</v>
      </c>
      <c r="D22" s="9" t="str">
        <f>+'[1]BASE RED COMERCIAL'!$E20</f>
        <v>DR ALEU</v>
      </c>
      <c r="E22" s="7">
        <f>+'[1]BASE RED COMERCIAL'!$F20</f>
        <v>3063</v>
      </c>
      <c r="F22" s="14" t="str">
        <f>+'[1]BASE RED COMERCIAL'!$I20</f>
        <v>B1651ZAB</v>
      </c>
      <c r="G22" s="7" t="str">
        <f>+'[1]BASE RED COMERCIAL'!$D20</f>
        <v>SAN ANDRES</v>
      </c>
      <c r="H22" s="7" t="str">
        <f>+'[1]BASE RED COMERCIAL'!$B20</f>
        <v>BUENOS AIRES</v>
      </c>
      <c r="I22" s="8" t="str">
        <f>+'[1]BASE RED COMERCIAL'!$C20</f>
        <v>GENERAL SAN MARTIN</v>
      </c>
      <c r="J22" s="10"/>
      <c r="K22" s="10"/>
    </row>
    <row r="23" spans="1:11" x14ac:dyDescent="0.25">
      <c r="A23" s="14" t="str">
        <f>+'[1]BASE RED COMERCIAL'!$A21</f>
        <v>B0023</v>
      </c>
      <c r="B23" s="8" t="str">
        <f>+'[1]BASE RED COMERCIAL'!$H21</f>
        <v>SAN FERNANDO</v>
      </c>
      <c r="C23" s="7" t="s">
        <v>33</v>
      </c>
      <c r="D23" s="9" t="str">
        <f>+'[1]BASE RED COMERCIAL'!$E21</f>
        <v>CONSTITUCION</v>
      </c>
      <c r="E23" s="7">
        <f>+'[1]BASE RED COMERCIAL'!$F21</f>
        <v>555</v>
      </c>
      <c r="F23" s="14" t="str">
        <f>+'[1]BASE RED COMERCIAL'!$I21</f>
        <v>B1646ZAB</v>
      </c>
      <c r="G23" s="7" t="str">
        <f>+'[1]BASE RED COMERCIAL'!$D21</f>
        <v>SAN FERNANDO</v>
      </c>
      <c r="H23" s="7" t="str">
        <f>+'[1]BASE RED COMERCIAL'!$B21</f>
        <v>BUENOS AIRES</v>
      </c>
      <c r="I23" s="8" t="str">
        <f>+'[1]BASE RED COMERCIAL'!$C21</f>
        <v>SAN FERNANDO</v>
      </c>
      <c r="J23" s="10"/>
      <c r="K23" s="10"/>
    </row>
    <row r="24" spans="1:11" x14ac:dyDescent="0.25">
      <c r="A24" s="14" t="str">
        <f>+'[1]BASE RED COMERCIAL'!$A22</f>
        <v>B0024</v>
      </c>
      <c r="B24" s="8" t="str">
        <f>+'[1]BASE RED COMERCIAL'!$H22</f>
        <v>SAN ISIDRO</v>
      </c>
      <c r="C24" s="7" t="s">
        <v>33</v>
      </c>
      <c r="D24" s="9" t="str">
        <f>+'[1]BASE RED COMERCIAL'!$E22</f>
        <v>ALSINA</v>
      </c>
      <c r="E24" s="7">
        <f>+'[1]BASE RED COMERCIAL'!$F22</f>
        <v>102</v>
      </c>
      <c r="F24" s="14" t="str">
        <f>+'[1]BASE RED COMERCIAL'!$I22</f>
        <v>B1642ZAB</v>
      </c>
      <c r="G24" s="7" t="str">
        <f>+'[1]BASE RED COMERCIAL'!$D22</f>
        <v>SAN ISIDRO</v>
      </c>
      <c r="H24" s="7" t="str">
        <f>+'[1]BASE RED COMERCIAL'!$B22</f>
        <v>BUENOS AIRES</v>
      </c>
      <c r="I24" s="8" t="str">
        <f>+'[1]BASE RED COMERCIAL'!$C22</f>
        <v>SAN ISIDRO</v>
      </c>
      <c r="J24" s="10"/>
      <c r="K24" s="10"/>
    </row>
    <row r="25" spans="1:11" x14ac:dyDescent="0.25">
      <c r="A25" s="14" t="str">
        <f>+'[1]BASE RED COMERCIAL'!$A23</f>
        <v>B0030</v>
      </c>
      <c r="B25" s="8" t="str">
        <f>+'[1]BASE RED COMERCIAL'!$H23</f>
        <v>SAN MIGUEL</v>
      </c>
      <c r="C25" s="7" t="s">
        <v>33</v>
      </c>
      <c r="D25" s="9" t="str">
        <f>+'[1]BASE RED COMERCIAL'!$E23</f>
        <v>MANUEL BELGRANO</v>
      </c>
      <c r="E25" s="7">
        <f>+'[1]BASE RED COMERCIAL'!$F23</f>
        <v>1398</v>
      </c>
      <c r="F25" s="14" t="str">
        <f>+'[1]BASE RED COMERCIAL'!$I23</f>
        <v>B1663ZAB</v>
      </c>
      <c r="G25" s="7" t="str">
        <f>+'[1]BASE RED COMERCIAL'!$D23</f>
        <v>SAN MIGUEL</v>
      </c>
      <c r="H25" s="7" t="str">
        <f>+'[1]BASE RED COMERCIAL'!$B23</f>
        <v>BUENOS AIRES</v>
      </c>
      <c r="I25" s="8" t="str">
        <f>+'[1]BASE RED COMERCIAL'!$C23</f>
        <v>SAN MIGUEL</v>
      </c>
      <c r="J25" s="10"/>
      <c r="K25" s="10"/>
    </row>
    <row r="26" spans="1:11" x14ac:dyDescent="0.25">
      <c r="A26" s="14" t="str">
        <f>+'[1]BASE RED COMERCIAL'!$A24</f>
        <v>B0031</v>
      </c>
      <c r="B26" s="8" t="str">
        <f>+'[1]BASE RED COMERCIAL'!$H24</f>
        <v>BELLA VISTA</v>
      </c>
      <c r="C26" s="7" t="s">
        <v>33</v>
      </c>
      <c r="D26" s="9" t="str">
        <f>+'[1]BASE RED COMERCIAL'!$E24</f>
        <v>AV SENADOR MORON</v>
      </c>
      <c r="E26" s="7">
        <f>+'[1]BASE RED COMERCIAL'!$F24</f>
        <v>1090</v>
      </c>
      <c r="F26" s="14" t="str">
        <f>+'[1]BASE RED COMERCIAL'!$I24</f>
        <v>B1661ZAA</v>
      </c>
      <c r="G26" s="7" t="str">
        <f>+'[1]BASE RED COMERCIAL'!$D24</f>
        <v>BELLA VISTA</v>
      </c>
      <c r="H26" s="7" t="str">
        <f>+'[1]BASE RED COMERCIAL'!$B24</f>
        <v>BUENOS AIRES</v>
      </c>
      <c r="I26" s="8" t="str">
        <f>+'[1]BASE RED COMERCIAL'!$C24</f>
        <v>SAN MIGUEL</v>
      </c>
      <c r="J26" s="10"/>
      <c r="K26" s="10"/>
    </row>
    <row r="27" spans="1:11" x14ac:dyDescent="0.25">
      <c r="A27" s="14" t="str">
        <f>+'[1]BASE RED COMERCIAL'!$A25</f>
        <v>B0032</v>
      </c>
      <c r="B27" s="8" t="str">
        <f>+'[1]BASE RED COMERCIAL'!$H25</f>
        <v>BOULOGNE</v>
      </c>
      <c r="C27" s="7" t="s">
        <v>33</v>
      </c>
      <c r="D27" s="9" t="str">
        <f>+'[1]BASE RED COMERCIAL'!$E25</f>
        <v>AV AVELINO ROLON</v>
      </c>
      <c r="E27" s="7">
        <f>+'[1]BASE RED COMERCIAL'!$F25</f>
        <v>2384</v>
      </c>
      <c r="F27" s="14" t="str">
        <f>+'[1]BASE RED COMERCIAL'!$I25</f>
        <v>B1609ZAA</v>
      </c>
      <c r="G27" s="7" t="str">
        <f>+'[1]BASE RED COMERCIAL'!$D25</f>
        <v>BOULOGNE</v>
      </c>
      <c r="H27" s="7" t="str">
        <f>+'[1]BASE RED COMERCIAL'!$B25</f>
        <v>BUENOS AIRES</v>
      </c>
      <c r="I27" s="8" t="str">
        <f>+'[1]BASE RED COMERCIAL'!$C25</f>
        <v>SAN ISIDRO</v>
      </c>
      <c r="J27" s="10"/>
      <c r="K27" s="10"/>
    </row>
    <row r="28" spans="1:11" x14ac:dyDescent="0.25">
      <c r="A28" s="14" t="str">
        <f>+'[1]BASE RED COMERCIAL'!$A26</f>
        <v>B0033</v>
      </c>
      <c r="B28" s="8" t="str">
        <f>+'[1]BASE RED COMERCIAL'!$H26</f>
        <v>HURLINGHAM</v>
      </c>
      <c r="C28" s="7" t="s">
        <v>33</v>
      </c>
      <c r="D28" s="9" t="str">
        <f>+'[1]BASE RED COMERCIAL'!$E26</f>
        <v>PTE GRAL JULIO A ROCA</v>
      </c>
      <c r="E28" s="7">
        <f>+'[1]BASE RED COMERCIAL'!$F26</f>
        <v>1008</v>
      </c>
      <c r="F28" s="14" t="str">
        <f>+'[1]BASE RED COMERCIAL'!$I26</f>
        <v>B1686ZAB</v>
      </c>
      <c r="G28" s="7" t="str">
        <f>+'[1]BASE RED COMERCIAL'!$D26</f>
        <v>HURLINGHAM</v>
      </c>
      <c r="H28" s="7" t="str">
        <f>+'[1]BASE RED COMERCIAL'!$B26</f>
        <v>BUENOS AIRES</v>
      </c>
      <c r="I28" s="8" t="str">
        <f>+'[1]BASE RED COMERCIAL'!$C26</f>
        <v>HURLINGHAM</v>
      </c>
      <c r="J28" s="10"/>
      <c r="K28" s="10"/>
    </row>
    <row r="29" spans="1:11" x14ac:dyDescent="0.25">
      <c r="A29" s="14" t="str">
        <f>+'[1]BASE RED COMERCIAL'!$A27</f>
        <v>B0034</v>
      </c>
      <c r="B29" s="8" t="str">
        <f>+'[1]BASE RED COMERCIAL'!$H27</f>
        <v>JOSE C. PAZ</v>
      </c>
      <c r="C29" s="7" t="s">
        <v>33</v>
      </c>
      <c r="D29" s="9" t="str">
        <f>+'[1]BASE RED COMERCIAL'!$E27</f>
        <v>ROQUE SAENZ PEÃ‘A</v>
      </c>
      <c r="E29" s="7">
        <f>+'[1]BASE RED COMERCIAL'!$F27</f>
        <v>5009</v>
      </c>
      <c r="F29" s="14" t="str">
        <f>+'[1]BASE RED COMERCIAL'!$I27</f>
        <v>B1665ZAB</v>
      </c>
      <c r="G29" s="7" t="str">
        <f>+'[1]BASE RED COMERCIAL'!$D27</f>
        <v>JOSE CLEMENTE PAZ</v>
      </c>
      <c r="H29" s="7" t="str">
        <f>+'[1]BASE RED COMERCIAL'!$B27</f>
        <v>BUENOS AIRES</v>
      </c>
      <c r="I29" s="8" t="str">
        <f>+'[1]BASE RED COMERCIAL'!$C27</f>
        <v>JOSE CLEMENTE PAZ</v>
      </c>
      <c r="J29" s="10"/>
      <c r="K29" s="10"/>
    </row>
    <row r="30" spans="1:11" x14ac:dyDescent="0.25">
      <c r="A30" s="14" t="str">
        <f>+'[1]BASE RED COMERCIAL'!$A28</f>
        <v>B0035</v>
      </c>
      <c r="B30" s="8" t="str">
        <f>+'[1]BASE RED COMERCIAL'!$H28</f>
        <v>SANTOS TESEI</v>
      </c>
      <c r="C30" s="7" t="s">
        <v>33</v>
      </c>
      <c r="D30" s="9" t="str">
        <f>+'[1]BASE RED COMERCIAL'!$E28</f>
        <v>GRAL PEDRO DIAZ</v>
      </c>
      <c r="E30" s="7">
        <f>+'[1]BASE RED COMERCIAL'!$F28</f>
        <v>444</v>
      </c>
      <c r="F30" s="14" t="str">
        <f>+'[1]BASE RED COMERCIAL'!$I28</f>
        <v>B1688ZAA</v>
      </c>
      <c r="G30" s="7" t="str">
        <f>+'[1]BASE RED COMERCIAL'!$D28</f>
        <v>VILLA SANTOS TESEI</v>
      </c>
      <c r="H30" s="7" t="str">
        <f>+'[1]BASE RED COMERCIAL'!$B28</f>
        <v>BUENOS AIRES</v>
      </c>
      <c r="I30" s="8" t="str">
        <f>+'[1]BASE RED COMERCIAL'!$C28</f>
        <v>HURLINGHAM</v>
      </c>
      <c r="J30" s="10"/>
      <c r="K30" s="10"/>
    </row>
    <row r="31" spans="1:11" x14ac:dyDescent="0.25">
      <c r="A31" s="14" t="str">
        <f>+'[1]BASE RED COMERCIAL'!$A29</f>
        <v>B0036</v>
      </c>
      <c r="B31" s="8" t="str">
        <f>+'[1]BASE RED COMERCIAL'!$H29</f>
        <v>DON TORCUATO</v>
      </c>
      <c r="C31" s="7" t="s">
        <v>33</v>
      </c>
      <c r="D31" s="9" t="str">
        <f>+'[1]BASE RED COMERCIAL'!$E29</f>
        <v>AV ANGEL T DE ALVEAR</v>
      </c>
      <c r="E31" s="7">
        <f>+'[1]BASE RED COMERCIAL'!$F29</f>
        <v>1539</v>
      </c>
      <c r="F31" s="14" t="str">
        <f>+'[1]BASE RED COMERCIAL'!$I29</f>
        <v>B1611ZAB</v>
      </c>
      <c r="G31" s="7" t="str">
        <f>+'[1]BASE RED COMERCIAL'!$D29</f>
        <v>DON TORCUATO</v>
      </c>
      <c r="H31" s="7" t="str">
        <f>+'[1]BASE RED COMERCIAL'!$B29</f>
        <v>BUENOS AIRES</v>
      </c>
      <c r="I31" s="8" t="str">
        <f>+'[1]BASE RED COMERCIAL'!$C29</f>
        <v>TIGRE</v>
      </c>
      <c r="J31" s="10"/>
      <c r="K31" s="10"/>
    </row>
    <row r="32" spans="1:11" x14ac:dyDescent="0.25">
      <c r="A32" s="14" t="str">
        <f>+'[1]BASE RED COMERCIAL'!$A30</f>
        <v>B0037</v>
      </c>
      <c r="B32" s="8" t="str">
        <f>+'[1]BASE RED COMERCIAL'!$H30</f>
        <v>GRAND BOURG</v>
      </c>
      <c r="C32" s="7" t="s">
        <v>33</v>
      </c>
      <c r="D32" s="9" t="str">
        <f>+'[1]BASE RED COMERCIAL'!$E30</f>
        <v>ALTE FRANCISCO SEGUI</v>
      </c>
      <c r="E32" s="7">
        <f>+'[1]BASE RED COMERCIAL'!$F30</f>
        <v>1722</v>
      </c>
      <c r="F32" s="14" t="str">
        <f>+'[1]BASE RED COMERCIAL'!$I30</f>
        <v>B1615ZAB</v>
      </c>
      <c r="G32" s="7" t="str">
        <f>+'[1]BASE RED COMERCIAL'!$D30</f>
        <v>GRAND BOURG</v>
      </c>
      <c r="H32" s="7" t="str">
        <f>+'[1]BASE RED COMERCIAL'!$B30</f>
        <v>BUENOS AIRES</v>
      </c>
      <c r="I32" s="8" t="str">
        <f>+'[1]BASE RED COMERCIAL'!$C30</f>
        <v>MALVINAS ARGENTINAS</v>
      </c>
      <c r="J32" s="10"/>
      <c r="K32" s="10"/>
    </row>
    <row r="33" spans="1:28" x14ac:dyDescent="0.25">
      <c r="A33" s="14" t="str">
        <f>+'[1]BASE RED COMERCIAL'!$A31</f>
        <v>B0038</v>
      </c>
      <c r="B33" s="8" t="str">
        <f>+'[1]BASE RED COMERCIAL'!$H31</f>
        <v>DEL VISO</v>
      </c>
      <c r="C33" s="7" t="s">
        <v>33</v>
      </c>
      <c r="D33" s="9" t="str">
        <f>+'[1]BASE RED COMERCIAL'!$E31</f>
        <v>AV ING MADERO</v>
      </c>
      <c r="E33" s="7">
        <f>+'[1]BASE RED COMERCIAL'!$F31</f>
        <v>1395</v>
      </c>
      <c r="F33" s="14" t="str">
        <f>+'[1]BASE RED COMERCIAL'!$I31</f>
        <v>B1669ZAA</v>
      </c>
      <c r="G33" s="7" t="str">
        <f>+'[1]BASE RED COMERCIAL'!$D31</f>
        <v>DEL VISO</v>
      </c>
      <c r="H33" s="7" t="str">
        <f>+'[1]BASE RED COMERCIAL'!$B31</f>
        <v>BUENOS AIRES</v>
      </c>
      <c r="I33" s="8" t="str">
        <f>+'[1]BASE RED COMERCIAL'!$C31</f>
        <v>PILAR</v>
      </c>
      <c r="J33" s="10"/>
      <c r="K33" s="10"/>
    </row>
    <row r="34" spans="1:28" x14ac:dyDescent="0.25">
      <c r="A34" s="14" t="str">
        <f>+'[1]BASE RED COMERCIAL'!$A32</f>
        <v>B0040</v>
      </c>
      <c r="B34" s="8" t="str">
        <f>+'[1]BASE RED COMERCIAL'!$H32</f>
        <v>LOS POLVORINES</v>
      </c>
      <c r="C34" s="7" t="s">
        <v>33</v>
      </c>
      <c r="D34" s="9" t="str">
        <f>+'[1]BASE RED COMERCIAL'!$E32</f>
        <v>25 DE MAYO</v>
      </c>
      <c r="E34" s="7">
        <f>+'[1]BASE RED COMERCIAL'!$F32</f>
        <v>2639</v>
      </c>
      <c r="F34" s="14" t="str">
        <f>+'[1]BASE RED COMERCIAL'!$I32</f>
        <v>B1613ZAB</v>
      </c>
      <c r="G34" s="7" t="str">
        <f>+'[1]BASE RED COMERCIAL'!$D32</f>
        <v>LOS POLVORINES</v>
      </c>
      <c r="H34" s="7" t="str">
        <f>+'[1]BASE RED COMERCIAL'!$B32</f>
        <v>BUENOS AIRES</v>
      </c>
      <c r="I34" s="8" t="str">
        <f>+'[1]BASE RED COMERCIAL'!$C32</f>
        <v>MALVINAS ARGENTINAS</v>
      </c>
      <c r="J34" s="10"/>
      <c r="K34" s="10"/>
    </row>
    <row r="35" spans="1:28" x14ac:dyDescent="0.25">
      <c r="A35" s="14" t="str">
        <f>+'[1]BASE RED COMERCIAL'!$A33</f>
        <v>B0041</v>
      </c>
      <c r="B35" s="8" t="str">
        <f>+'[1]BASE RED COMERCIAL'!$H33</f>
        <v>TORTUGUITAS</v>
      </c>
      <c r="C35" s="7" t="s">
        <v>33</v>
      </c>
      <c r="D35" s="9" t="str">
        <f>+'[1]BASE RED COMERCIAL'!$E33</f>
        <v>AV TTE GRAL JUAN D PERON</v>
      </c>
      <c r="E35" s="7">
        <f>+'[1]BASE RED COMERCIAL'!$F33</f>
        <v>22</v>
      </c>
      <c r="F35" s="14" t="str">
        <f>+'[1]BASE RED COMERCIAL'!$I33</f>
        <v>B1667ZAA</v>
      </c>
      <c r="G35" s="7" t="str">
        <f>+'[1]BASE RED COMERCIAL'!$D33</f>
        <v>TORTUGUITAS</v>
      </c>
      <c r="H35" s="7" t="str">
        <f>+'[1]BASE RED COMERCIAL'!$B33</f>
        <v>BUENOS AIRES</v>
      </c>
      <c r="I35" s="8" t="str">
        <f>+'[1]BASE RED COMERCIAL'!$C33</f>
        <v>MALVINAS ARGENTINAS</v>
      </c>
      <c r="J35" s="10"/>
      <c r="K35" s="10"/>
    </row>
    <row r="36" spans="1:28" x14ac:dyDescent="0.25">
      <c r="A36" s="14" t="str">
        <f>+'[1]BASE RED COMERCIAL'!$A34</f>
        <v>B0044</v>
      </c>
      <c r="B36" s="8" t="str">
        <f>+'[1]BASE RED COMERCIAL'!$H34</f>
        <v>BENAVIDEZ</v>
      </c>
      <c r="C36" s="7" t="s">
        <v>33</v>
      </c>
      <c r="D36" s="9" t="str">
        <f>+'[1]BASE RED COMERCIAL'!$E34</f>
        <v>ITUZAINGO</v>
      </c>
      <c r="E36" s="7">
        <f>+'[1]BASE RED COMERCIAL'!$F34</f>
        <v>2882</v>
      </c>
      <c r="F36" s="14" t="str">
        <f>+'[1]BASE RED COMERCIAL'!$I34</f>
        <v>B2701ZAB</v>
      </c>
      <c r="G36" s="7" t="str">
        <f>+'[1]BASE RED COMERCIAL'!$D34</f>
        <v>BENAVIDEZ</v>
      </c>
      <c r="H36" s="7" t="str">
        <f>+'[1]BASE RED COMERCIAL'!$B34</f>
        <v>BUENOS AIRES</v>
      </c>
      <c r="I36" s="8" t="str">
        <f>+'[1]BASE RED COMERCIAL'!$C34</f>
        <v>TIGRE</v>
      </c>
      <c r="J36" s="10"/>
      <c r="K36" s="10"/>
    </row>
    <row r="37" spans="1:28" s="10" customFormat="1" x14ac:dyDescent="0.25">
      <c r="A37" s="14" t="str">
        <f>+'[1]BASE RED COMERCIAL'!$A35</f>
        <v>B0051</v>
      </c>
      <c r="B37" s="8" t="str">
        <f>+'[1]BASE RED COMERCIAL'!$H35</f>
        <v>SARANDI</v>
      </c>
      <c r="C37" s="7" t="s">
        <v>33</v>
      </c>
      <c r="D37" s="9" t="str">
        <f>+'[1]BASE RED COMERCIAL'!$E35</f>
        <v>AV PRES BARTOLOME MITRE</v>
      </c>
      <c r="E37" s="7">
        <f>+'[1]BASE RED COMERCIAL'!$F35</f>
        <v>1899</v>
      </c>
      <c r="F37" s="14" t="str">
        <f>+'[1]BASE RED COMERCIAL'!$I35</f>
        <v>B1872ZAA</v>
      </c>
      <c r="G37" s="7" t="str">
        <f>+'[1]BASE RED COMERCIAL'!$D35</f>
        <v>CRUCESITA</v>
      </c>
      <c r="H37" s="7" t="str">
        <f>+'[1]BASE RED COMERCIAL'!$B35</f>
        <v>BUENOS AIRES</v>
      </c>
      <c r="I37" s="8" t="str">
        <f>+'[1]BASE RED COMERCIAL'!$C35</f>
        <v>AVELLANEDA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x14ac:dyDescent="0.25">
      <c r="A38" s="14" t="str">
        <f>+'[1]BASE RED COMERCIAL'!$A36</f>
        <v>B0061</v>
      </c>
      <c r="B38" s="8" t="str">
        <f>+'[1]BASE RED COMERCIAL'!$H36</f>
        <v>AEROPUERTO EZEIZA</v>
      </c>
      <c r="C38" s="7" t="s">
        <v>33</v>
      </c>
      <c r="D38" s="9" t="str">
        <f>+'[1]BASE RED COMERCIAL'!$E36</f>
        <v>AEROP INTERNACIONAL EZEIZA</v>
      </c>
      <c r="E38" s="7">
        <f>+'[1]BASE RED COMERCIAL'!$F36</f>
        <v>0</v>
      </c>
      <c r="F38" s="14" t="str">
        <f>+'[1]BASE RED COMERCIAL'!$I36</f>
        <v>B1802ZAA</v>
      </c>
      <c r="G38" s="7" t="str">
        <f>+'[1]BASE RED COMERCIAL'!$D36</f>
        <v>AEROPUERTO EZEIZA</v>
      </c>
      <c r="H38" s="7" t="str">
        <f>+'[1]BASE RED COMERCIAL'!$B36</f>
        <v>BUENOS AIRES</v>
      </c>
      <c r="I38" s="8" t="str">
        <f>+'[1]BASE RED COMERCIAL'!$C36</f>
        <v>EZEIZA</v>
      </c>
      <c r="J38" s="10"/>
      <c r="K38" s="10"/>
    </row>
    <row r="39" spans="1:28" x14ac:dyDescent="0.25">
      <c r="A39" s="14" t="str">
        <f>+'[1]BASE RED COMERCIAL'!$A37</f>
        <v>B0062</v>
      </c>
      <c r="B39" s="8" t="str">
        <f>+'[1]BASE RED COMERCIAL'!$H37</f>
        <v>ALMIRANTE BROWN (ADROGUE)</v>
      </c>
      <c r="C39" s="7" t="s">
        <v>33</v>
      </c>
      <c r="D39" s="9" t="str">
        <f>+'[1]BASE RED COMERCIAL'!$E37</f>
        <v>ESTEBAN ADROGUE</v>
      </c>
      <c r="E39" s="7">
        <f>+'[1]BASE RED COMERCIAL'!$F37</f>
        <v>1076</v>
      </c>
      <c r="F39" s="14" t="str">
        <f>+'[1]BASE RED COMERCIAL'!$I37</f>
        <v>B1846ZAB</v>
      </c>
      <c r="G39" s="7" t="str">
        <f>+'[1]BASE RED COMERCIAL'!$D37</f>
        <v>ADROGUE</v>
      </c>
      <c r="H39" s="7" t="str">
        <f>+'[1]BASE RED COMERCIAL'!$B37</f>
        <v>BUENOS AIRES</v>
      </c>
      <c r="I39" s="8" t="str">
        <f>+'[1]BASE RED COMERCIAL'!$C37</f>
        <v>ALMIRANTE BROWN</v>
      </c>
      <c r="J39" s="10"/>
      <c r="K39" s="10"/>
    </row>
    <row r="40" spans="1:28" x14ac:dyDescent="0.25">
      <c r="A40" s="14" t="str">
        <f>+'[1]BASE RED COMERCIAL'!$A38</f>
        <v>B0063</v>
      </c>
      <c r="B40" s="8" t="str">
        <f>+'[1]BASE RED COMERCIAL'!$H38</f>
        <v>AVELLANEDA</v>
      </c>
      <c r="C40" s="7" t="s">
        <v>33</v>
      </c>
      <c r="D40" s="9" t="str">
        <f>+'[1]BASE RED COMERCIAL'!$E38</f>
        <v>AV DR MANUEL BELGRANO</v>
      </c>
      <c r="E40" s="7">
        <f>+'[1]BASE RED COMERCIAL'!$F38</f>
        <v>390</v>
      </c>
      <c r="F40" s="14" t="str">
        <f>+'[1]BASE RED COMERCIAL'!$I38</f>
        <v>B1870ZAB</v>
      </c>
      <c r="G40" s="7" t="str">
        <f>+'[1]BASE RED COMERCIAL'!$D38</f>
        <v>AVELLANEDA</v>
      </c>
      <c r="H40" s="7" t="str">
        <f>+'[1]BASE RED COMERCIAL'!$B38</f>
        <v>BUENOS AIRES</v>
      </c>
      <c r="I40" s="8" t="str">
        <f>+'[1]BASE RED COMERCIAL'!$C38</f>
        <v>AVELLANEDA</v>
      </c>
      <c r="J40" s="10"/>
      <c r="K40" s="10"/>
    </row>
    <row r="41" spans="1:28" x14ac:dyDescent="0.25">
      <c r="A41" s="14" t="str">
        <f>+'[1]BASE RED COMERCIAL'!$A39</f>
        <v>B0065</v>
      </c>
      <c r="B41" s="8" t="str">
        <f>+'[1]BASE RED COMERCIAL'!$H39</f>
        <v>BERAZATEGUI</v>
      </c>
      <c r="C41" s="7" t="s">
        <v>33</v>
      </c>
      <c r="D41" s="9" t="str">
        <f>+'[1]BASE RED COMERCIAL'!$E39</f>
        <v>CALLE 15</v>
      </c>
      <c r="E41" s="7">
        <f>+'[1]BASE RED COMERCIAL'!$F39</f>
        <v>4751</v>
      </c>
      <c r="F41" s="14" t="str">
        <f>+'[1]BASE RED COMERCIAL'!$I39</f>
        <v>B1880ZAB</v>
      </c>
      <c r="G41" s="7" t="str">
        <f>+'[1]BASE RED COMERCIAL'!$D39</f>
        <v>BERAZATEGUI</v>
      </c>
      <c r="H41" s="7" t="str">
        <f>+'[1]BASE RED COMERCIAL'!$B39</f>
        <v>BUENOS AIRES</v>
      </c>
      <c r="I41" s="8" t="str">
        <f>+'[1]BASE RED COMERCIAL'!$C39</f>
        <v>BERAZATEGUI</v>
      </c>
      <c r="J41" s="10"/>
      <c r="K41" s="10"/>
    </row>
    <row r="42" spans="1:28" x14ac:dyDescent="0.25">
      <c r="A42" s="14" t="str">
        <f>+'[1]BASE RED COMERCIAL'!$A40</f>
        <v>B0066</v>
      </c>
      <c r="B42" s="8" t="str">
        <f>+'[1]BASE RED COMERCIAL'!$H40</f>
        <v>CIUDAD EVITA</v>
      </c>
      <c r="C42" s="7" t="s">
        <v>33</v>
      </c>
      <c r="D42" s="9" t="str">
        <f>+'[1]BASE RED COMERCIAL'!$E40</f>
        <v>AV GRAL MARTIN M GUEMES</v>
      </c>
      <c r="E42" s="7">
        <f>+'[1]BASE RED COMERCIAL'!$F40</f>
        <v>4155</v>
      </c>
      <c r="F42" s="14" t="str">
        <f>+'[1]BASE RED COMERCIAL'!$I40</f>
        <v>B1778ZAA</v>
      </c>
      <c r="G42" s="7" t="str">
        <f>+'[1]BASE RED COMERCIAL'!$D40</f>
        <v>CIUDAD EVITA</v>
      </c>
      <c r="H42" s="7" t="str">
        <f>+'[1]BASE RED COMERCIAL'!$B40</f>
        <v>BUENOS AIRES</v>
      </c>
      <c r="I42" s="8" t="str">
        <f>+'[1]BASE RED COMERCIAL'!$C40</f>
        <v>LA MATANZA</v>
      </c>
      <c r="J42" s="10"/>
      <c r="K42" s="10"/>
    </row>
    <row r="43" spans="1:28" x14ac:dyDescent="0.25">
      <c r="A43" s="14" t="str">
        <f>+'[1]BASE RED COMERCIAL'!$A41</f>
        <v>B0068</v>
      </c>
      <c r="B43" s="8" t="str">
        <f>+'[1]BASE RED COMERCIAL'!$H41</f>
        <v>FLORENCIO VARELA</v>
      </c>
      <c r="C43" s="7" t="s">
        <v>33</v>
      </c>
      <c r="D43" s="9" t="str">
        <f>+'[1]BASE RED COMERCIAL'!$E41</f>
        <v>ESPAÃ‘A</v>
      </c>
      <c r="E43" s="7">
        <f>+'[1]BASE RED COMERCIAL'!$F41</f>
        <v>3212</v>
      </c>
      <c r="F43" s="14" t="str">
        <f>+'[1]BASE RED COMERCIAL'!$I41</f>
        <v>B1888ZAC</v>
      </c>
      <c r="G43" s="7" t="str">
        <f>+'[1]BASE RED COMERCIAL'!$D41</f>
        <v>FLORENCIO VARELA</v>
      </c>
      <c r="H43" s="7" t="str">
        <f>+'[1]BASE RED COMERCIAL'!$B41</f>
        <v>BUENOS AIRES</v>
      </c>
      <c r="I43" s="8" t="str">
        <f>+'[1]BASE RED COMERCIAL'!$C41</f>
        <v>FLORENCIO VARELA</v>
      </c>
      <c r="J43" s="10"/>
      <c r="K43" s="10"/>
    </row>
    <row r="44" spans="1:28" x14ac:dyDescent="0.25">
      <c r="A44" s="14" t="str">
        <f>+'[1]BASE RED COMERCIAL'!$A42</f>
        <v>B0069</v>
      </c>
      <c r="B44" s="8" t="str">
        <f>+'[1]BASE RED COMERCIAL'!$H42</f>
        <v>GERLI</v>
      </c>
      <c r="C44" s="7" t="s">
        <v>33</v>
      </c>
      <c r="D44" s="9" t="str">
        <f>+'[1]BASE RED COMERCIAL'!$E42</f>
        <v>AV PTE H YRIGOYEN</v>
      </c>
      <c r="E44" s="7">
        <f>+'[1]BASE RED COMERCIAL'!$F42</f>
        <v>2317</v>
      </c>
      <c r="F44" s="14" t="str">
        <f>+'[1]BASE RED COMERCIAL'!$I42</f>
        <v>B1823ZAA</v>
      </c>
      <c r="G44" s="7" t="str">
        <f>+'[1]BASE RED COMERCIAL'!$D42</f>
        <v>GERLI</v>
      </c>
      <c r="H44" s="7" t="str">
        <f>+'[1]BASE RED COMERCIAL'!$B42</f>
        <v>BUENOS AIRES</v>
      </c>
      <c r="I44" s="8" t="str">
        <f>+'[1]BASE RED COMERCIAL'!$C42</f>
        <v>LANUS</v>
      </c>
      <c r="J44" s="10"/>
      <c r="K44" s="10"/>
    </row>
    <row r="45" spans="1:28" x14ac:dyDescent="0.25">
      <c r="A45" s="14" t="str">
        <f>+'[1]BASE RED COMERCIAL'!$A43</f>
        <v>B0070</v>
      </c>
      <c r="B45" s="8" t="str">
        <f>+'[1]BASE RED COMERCIAL'!$H43</f>
        <v>ISIDRO CASANOVA</v>
      </c>
      <c r="C45" s="7" t="s">
        <v>33</v>
      </c>
      <c r="D45" s="9" t="str">
        <f>+'[1]BASE RED COMERCIAL'!$E43</f>
        <v>AV BDIER J M DE ROSAS</v>
      </c>
      <c r="E45" s="7">
        <f>+'[1]BASE RED COMERCIAL'!$F43</f>
        <v>6801</v>
      </c>
      <c r="F45" s="14" t="str">
        <f>+'[1]BASE RED COMERCIAL'!$I43</f>
        <v>B1765ZAA</v>
      </c>
      <c r="G45" s="7" t="str">
        <f>+'[1]BASE RED COMERCIAL'!$D43</f>
        <v>ISIDRO CASANOVA</v>
      </c>
      <c r="H45" s="7" t="str">
        <f>+'[1]BASE RED COMERCIAL'!$B43</f>
        <v>BUENOS AIRES</v>
      </c>
      <c r="I45" s="8" t="str">
        <f>+'[1]BASE RED COMERCIAL'!$C43</f>
        <v>LA MATANZA</v>
      </c>
      <c r="J45" s="10"/>
      <c r="K45" s="10"/>
    </row>
    <row r="46" spans="1:28" x14ac:dyDescent="0.25">
      <c r="A46" s="14" t="str">
        <f>+'[1]BASE RED COMERCIAL'!$A44</f>
        <v>B0071</v>
      </c>
      <c r="B46" s="8" t="str">
        <f>+'[1]BASE RED COMERCIAL'!$H44</f>
        <v>JOSE MARMOL</v>
      </c>
      <c r="C46" s="7" t="s">
        <v>33</v>
      </c>
      <c r="D46" s="9" t="str">
        <f>+'[1]BASE RED COMERCIAL'!$E44</f>
        <v>MITRE</v>
      </c>
      <c r="E46" s="7">
        <f>+'[1]BASE RED COMERCIAL'!$F44</f>
        <v>2204</v>
      </c>
      <c r="F46" s="14" t="str">
        <f>+'[1]BASE RED COMERCIAL'!$I44</f>
        <v>B1845ZAA</v>
      </c>
      <c r="G46" s="7" t="str">
        <f>+'[1]BASE RED COMERCIAL'!$D44</f>
        <v>JOSE MARMOL</v>
      </c>
      <c r="H46" s="7" t="str">
        <f>+'[1]BASE RED COMERCIAL'!$B44</f>
        <v>BUENOS AIRES</v>
      </c>
      <c r="I46" s="8" t="str">
        <f>+'[1]BASE RED COMERCIAL'!$C44</f>
        <v>ALMIRANTE BROWN</v>
      </c>
      <c r="J46" s="10"/>
      <c r="K46" s="10"/>
    </row>
    <row r="47" spans="1:28" x14ac:dyDescent="0.25">
      <c r="A47" s="14" t="str">
        <f>+'[1]BASE RED COMERCIAL'!$A45</f>
        <v>B0072</v>
      </c>
      <c r="B47" s="8" t="str">
        <f>+'[1]BASE RED COMERCIAL'!$H45</f>
        <v>LANUS</v>
      </c>
      <c r="C47" s="7" t="s">
        <v>33</v>
      </c>
      <c r="D47" s="9" t="str">
        <f>+'[1]BASE RED COMERCIAL'!$E45</f>
        <v>GRAL O HIGGINS</v>
      </c>
      <c r="E47" s="7">
        <f>+'[1]BASE RED COMERCIAL'!$F45</f>
        <v>2055</v>
      </c>
      <c r="F47" s="14" t="str">
        <f>+'[1]BASE RED COMERCIAL'!$I45</f>
        <v>B1824ZAB</v>
      </c>
      <c r="G47" s="7" t="str">
        <f>+'[1]BASE RED COMERCIAL'!$D45</f>
        <v>LANUS ESTE</v>
      </c>
      <c r="H47" s="7" t="str">
        <f>+'[1]BASE RED COMERCIAL'!$B45</f>
        <v>BUENOS AIRES</v>
      </c>
      <c r="I47" s="8" t="str">
        <f>+'[1]BASE RED COMERCIAL'!$C45</f>
        <v>LANUS</v>
      </c>
      <c r="J47" s="10"/>
      <c r="K47" s="10"/>
    </row>
    <row r="48" spans="1:28" x14ac:dyDescent="0.25">
      <c r="A48" s="14" t="str">
        <f>+'[1]BASE RED COMERCIAL'!$A46</f>
        <v>B0073</v>
      </c>
      <c r="B48" s="8" t="str">
        <f>+'[1]BASE RED COMERCIAL'!$H46</f>
        <v>VILLA CELINA</v>
      </c>
      <c r="C48" s="7" t="s">
        <v>33</v>
      </c>
      <c r="D48" s="9" t="str">
        <f>+'[1]BASE RED COMERCIAL'!$E46</f>
        <v>RIVERA</v>
      </c>
      <c r="E48" s="7">
        <f>+'[1]BASE RED COMERCIAL'!$F46</f>
        <v>2407</v>
      </c>
      <c r="F48" s="14" t="str">
        <f>+'[1]BASE RED COMERCIAL'!$I46</f>
        <v>B2701ZAA</v>
      </c>
      <c r="G48" s="7" t="str">
        <f>+'[1]BASE RED COMERCIAL'!$D46</f>
        <v>CIUDAD MADERO</v>
      </c>
      <c r="H48" s="7" t="str">
        <f>+'[1]BASE RED COMERCIAL'!$B46</f>
        <v>BUENOS AIRES</v>
      </c>
      <c r="I48" s="8" t="str">
        <f>+'[1]BASE RED COMERCIAL'!$C46</f>
        <v>LA MATANZA</v>
      </c>
      <c r="J48" s="10"/>
      <c r="K48" s="10"/>
    </row>
    <row r="49" spans="1:11" x14ac:dyDescent="0.25">
      <c r="A49" s="14" t="str">
        <f>+'[1]BASE RED COMERCIAL'!$A47</f>
        <v>B0075</v>
      </c>
      <c r="B49" s="8" t="str">
        <f>+'[1]BASE RED COMERCIAL'!$H47</f>
        <v>LOMAS DEL MIRADOR</v>
      </c>
      <c r="C49" s="7" t="s">
        <v>33</v>
      </c>
      <c r="D49" s="9" t="str">
        <f>+'[1]BASE RED COMERCIAL'!$E47</f>
        <v>AV BDIER J M DE ROSAS</v>
      </c>
      <c r="E49" s="7">
        <f>+'[1]BASE RED COMERCIAL'!$F47</f>
        <v>691</v>
      </c>
      <c r="F49" s="14" t="str">
        <f>+'[1]BASE RED COMERCIAL'!$I47</f>
        <v>B1752ZAA</v>
      </c>
      <c r="G49" s="7" t="str">
        <f>+'[1]BASE RED COMERCIAL'!$D47</f>
        <v>LOMAS DEL MIRADOR</v>
      </c>
      <c r="H49" s="7" t="str">
        <f>+'[1]BASE RED COMERCIAL'!$B47</f>
        <v>BUENOS AIRES</v>
      </c>
      <c r="I49" s="8" t="str">
        <f>+'[1]BASE RED COMERCIAL'!$C47</f>
        <v>LA MATANZA</v>
      </c>
      <c r="J49" s="10"/>
      <c r="K49" s="10"/>
    </row>
    <row r="50" spans="1:11" x14ac:dyDescent="0.25">
      <c r="A50" s="14" t="str">
        <f>+'[1]BASE RED COMERCIAL'!$A48</f>
        <v>B0078</v>
      </c>
      <c r="B50" s="8" t="str">
        <f>+'[1]BASE RED COMERCIAL'!$H48</f>
        <v>REMEDIOS DE ESCALADA</v>
      </c>
      <c r="C50" s="7" t="s">
        <v>33</v>
      </c>
      <c r="D50" s="9" t="str">
        <f>+'[1]BASE RED COMERCIAL'!$E48</f>
        <v>AV PTE H YRIGOYEN</v>
      </c>
      <c r="E50" s="7">
        <f>+'[1]BASE RED COMERCIAL'!$F48</f>
        <v>6133</v>
      </c>
      <c r="F50" s="14" t="str">
        <f>+'[1]BASE RED COMERCIAL'!$I48</f>
        <v>B1826ZAB</v>
      </c>
      <c r="G50" s="7" t="str">
        <f>+'[1]BASE RED COMERCIAL'!$D48</f>
        <v>REMEDIOS DE ESCALADA</v>
      </c>
      <c r="H50" s="7" t="str">
        <f>+'[1]BASE RED COMERCIAL'!$B48</f>
        <v>BUENOS AIRES</v>
      </c>
      <c r="I50" s="8" t="str">
        <f>+'[1]BASE RED COMERCIAL'!$C48</f>
        <v>LANUS</v>
      </c>
      <c r="J50" s="10"/>
      <c r="K50" s="10"/>
    </row>
    <row r="51" spans="1:11" x14ac:dyDescent="0.25">
      <c r="A51" s="14" t="str">
        <f>+'[1]BASE RED COMERCIAL'!$A49</f>
        <v>B0079</v>
      </c>
      <c r="B51" s="8" t="str">
        <f>+'[1]BASE RED COMERCIAL'!$H49</f>
        <v>SAN JUSTO</v>
      </c>
      <c r="C51" s="7" t="s">
        <v>33</v>
      </c>
      <c r="D51" s="9" t="str">
        <f>+'[1]BASE RED COMERCIAL'!$E49</f>
        <v>ALMAFUERTE</v>
      </c>
      <c r="E51" s="7">
        <f>+'[1]BASE RED COMERCIAL'!$F49</f>
        <v>3171</v>
      </c>
      <c r="F51" s="14" t="str">
        <f>+'[1]BASE RED COMERCIAL'!$I49</f>
        <v>B1754ZAB</v>
      </c>
      <c r="G51" s="7" t="str">
        <f>+'[1]BASE RED COMERCIAL'!$D49</f>
        <v>SAN JUSTO</v>
      </c>
      <c r="H51" s="7" t="str">
        <f>+'[1]BASE RED COMERCIAL'!$B49</f>
        <v>BUENOS AIRES</v>
      </c>
      <c r="I51" s="8" t="str">
        <f>+'[1]BASE RED COMERCIAL'!$C49</f>
        <v>LA MATANZA</v>
      </c>
      <c r="J51" s="10"/>
      <c r="K51" s="10"/>
    </row>
    <row r="52" spans="1:11" x14ac:dyDescent="0.25">
      <c r="A52" s="14" t="str">
        <f>+'[1]BASE RED COMERCIAL'!$A50</f>
        <v>B0080</v>
      </c>
      <c r="B52" s="8" t="str">
        <f>+'[1]BASE RED COMERCIAL'!$H50</f>
        <v>LA TABLADA</v>
      </c>
      <c r="C52" s="7" t="s">
        <v>33</v>
      </c>
      <c r="D52" s="9" t="str">
        <f>+'[1]BASE RED COMERCIAL'!$E50</f>
        <v>AV INT CROVARA</v>
      </c>
      <c r="E52" s="7">
        <f>+'[1]BASE RED COMERCIAL'!$F50</f>
        <v>3035</v>
      </c>
      <c r="F52" s="14" t="str">
        <f>+'[1]BASE RED COMERCIAL'!$I50</f>
        <v>B1766ZAA</v>
      </c>
      <c r="G52" s="7" t="str">
        <f>+'[1]BASE RED COMERCIAL'!$D50</f>
        <v>LA TABLADA</v>
      </c>
      <c r="H52" s="7" t="str">
        <f>+'[1]BASE RED COMERCIAL'!$B50</f>
        <v>BUENOS AIRES</v>
      </c>
      <c r="I52" s="8" t="str">
        <f>+'[1]BASE RED COMERCIAL'!$C50</f>
        <v>LA MATANZA</v>
      </c>
      <c r="J52" s="10"/>
      <c r="K52" s="10"/>
    </row>
    <row r="53" spans="1:11" x14ac:dyDescent="0.25">
      <c r="A53" s="14" t="str">
        <f>+'[1]BASE RED COMERCIAL'!$A51</f>
        <v>B0081</v>
      </c>
      <c r="B53" s="8" t="str">
        <f>+'[1]BASE RED COMERCIAL'!$H51</f>
        <v>TAPIALES</v>
      </c>
      <c r="C53" s="7" t="s">
        <v>33</v>
      </c>
      <c r="D53" s="9" t="str">
        <f>+'[1]BASE RED COMERCIAL'!$E51</f>
        <v>EVITA</v>
      </c>
      <c r="E53" s="7">
        <f>+'[1]BASE RED COMERCIAL'!$F51</f>
        <v>13</v>
      </c>
      <c r="F53" s="14" t="str">
        <f>+'[1]BASE RED COMERCIAL'!$I51</f>
        <v>B1770ZAB</v>
      </c>
      <c r="G53" s="7" t="str">
        <f>+'[1]BASE RED COMERCIAL'!$D51</f>
        <v>CIUDAD MADERO</v>
      </c>
      <c r="H53" s="7" t="str">
        <f>+'[1]BASE RED COMERCIAL'!$B51</f>
        <v>BUENOS AIRES</v>
      </c>
      <c r="I53" s="8" t="str">
        <f>+'[1]BASE RED COMERCIAL'!$C51</f>
        <v>LA MATANZA</v>
      </c>
      <c r="J53" s="10"/>
      <c r="K53" s="10"/>
    </row>
    <row r="54" spans="1:11" x14ac:dyDescent="0.25">
      <c r="A54" s="14" t="str">
        <f>+'[1]BASE RED COMERCIAL'!$A52</f>
        <v>B0082</v>
      </c>
      <c r="B54" s="8" t="str">
        <f>+'[1]BASE RED COMERCIAL'!$H52</f>
        <v>TEMPERLEY</v>
      </c>
      <c r="C54" s="7" t="s">
        <v>33</v>
      </c>
      <c r="D54" s="9" t="str">
        <f>+'[1]BASE RED COMERCIAL'!$E52</f>
        <v>AV ALTE G BROWN</v>
      </c>
      <c r="E54" s="7">
        <f>+'[1]BASE RED COMERCIAL'!$F52</f>
        <v>3394</v>
      </c>
      <c r="F54" s="14" t="str">
        <f>+'[1]BASE RED COMERCIAL'!$I52</f>
        <v>B1834ZAB</v>
      </c>
      <c r="G54" s="7" t="str">
        <f>+'[1]BASE RED COMERCIAL'!$D52</f>
        <v>TEMPERLEY</v>
      </c>
      <c r="H54" s="7" t="str">
        <f>+'[1]BASE RED COMERCIAL'!$B52</f>
        <v>BUENOS AIRES</v>
      </c>
      <c r="I54" s="8" t="str">
        <f>+'[1]BASE RED COMERCIAL'!$C52</f>
        <v>LOMAS DE ZAMORA</v>
      </c>
      <c r="J54" s="10"/>
      <c r="K54" s="10"/>
    </row>
    <row r="55" spans="1:11" x14ac:dyDescent="0.25">
      <c r="A55" s="14" t="str">
        <f>+'[1]BASE RED COMERCIAL'!$A53</f>
        <v>B0083</v>
      </c>
      <c r="B55" s="8" t="str">
        <f>+'[1]BASE RED COMERCIAL'!$H53</f>
        <v>VALENTIN ALSINA</v>
      </c>
      <c r="C55" s="7" t="s">
        <v>33</v>
      </c>
      <c r="D55" s="9" t="str">
        <f>+'[1]BASE RED COMERCIAL'!$E53</f>
        <v>JUAN FARREL</v>
      </c>
      <c r="E55" s="7">
        <f>+'[1]BASE RED COMERCIAL'!$F53</f>
        <v>664</v>
      </c>
      <c r="F55" s="14" t="str">
        <f>+'[1]BASE RED COMERCIAL'!$I53</f>
        <v>B1822ZAB</v>
      </c>
      <c r="G55" s="7" t="str">
        <f>+'[1]BASE RED COMERCIAL'!$D53</f>
        <v>VALENTIN ALSINA</v>
      </c>
      <c r="H55" s="7" t="str">
        <f>+'[1]BASE RED COMERCIAL'!$B53</f>
        <v>BUENOS AIRES</v>
      </c>
      <c r="I55" s="8" t="str">
        <f>+'[1]BASE RED COMERCIAL'!$C53</f>
        <v>LANUS</v>
      </c>
      <c r="J55" s="10"/>
      <c r="K55" s="10"/>
    </row>
    <row r="56" spans="1:11" x14ac:dyDescent="0.25">
      <c r="A56" s="14" t="str">
        <f>+'[1]BASE RED COMERCIAL'!$A54</f>
        <v>B0084</v>
      </c>
      <c r="B56" s="8" t="str">
        <f>+'[1]BASE RED COMERCIAL'!$H54</f>
        <v>RAFAEL CALZADA</v>
      </c>
      <c r="C56" s="7" t="s">
        <v>33</v>
      </c>
      <c r="D56" s="9" t="str">
        <f>+'[1]BASE RED COMERCIAL'!$E54</f>
        <v>COLON</v>
      </c>
      <c r="E56" s="7">
        <f>+'[1]BASE RED COMERCIAL'!$F54</f>
        <v>3395</v>
      </c>
      <c r="F56" s="14" t="str">
        <f>+'[1]BASE RED COMERCIAL'!$I54</f>
        <v>B1847ZAA</v>
      </c>
      <c r="G56" s="7" t="str">
        <f>+'[1]BASE RED COMERCIAL'!$D54</f>
        <v>RAFAEL CALZADA</v>
      </c>
      <c r="H56" s="7" t="str">
        <f>+'[1]BASE RED COMERCIAL'!$B54</f>
        <v>BUENOS AIRES</v>
      </c>
      <c r="I56" s="8" t="str">
        <f>+'[1]BASE RED COMERCIAL'!$C54</f>
        <v>ALMIRANTE BROWN</v>
      </c>
      <c r="J56" s="10"/>
      <c r="K56" s="10"/>
    </row>
    <row r="57" spans="1:11" x14ac:dyDescent="0.25">
      <c r="A57" s="14" t="str">
        <f>+'[1]BASE RED COMERCIAL'!$A55</f>
        <v>B0085</v>
      </c>
      <c r="B57" s="8" t="str">
        <f>+'[1]BASE RED COMERCIAL'!$H55</f>
        <v>QUILMES OESTE</v>
      </c>
      <c r="C57" s="7" t="s">
        <v>33</v>
      </c>
      <c r="D57" s="9" t="str">
        <f>+'[1]BASE RED COMERCIAL'!$E55</f>
        <v>12 DE OCTUBRE</v>
      </c>
      <c r="E57" s="7">
        <f>+'[1]BASE RED COMERCIAL'!$F55</f>
        <v>2498</v>
      </c>
      <c r="F57" s="14" t="str">
        <f>+'[1]BASE RED COMERCIAL'!$I55</f>
        <v>B1879ZAA</v>
      </c>
      <c r="G57" s="7" t="str">
        <f>+'[1]BASE RED COMERCIAL'!$D55</f>
        <v>QUILMES OESTE</v>
      </c>
      <c r="H57" s="7" t="str">
        <f>+'[1]BASE RED COMERCIAL'!$B55</f>
        <v>BUENOS AIRES</v>
      </c>
      <c r="I57" s="8" t="str">
        <f>+'[1]BASE RED COMERCIAL'!$C55</f>
        <v>QUILMES</v>
      </c>
      <c r="J57" s="10"/>
      <c r="K57" s="10"/>
    </row>
    <row r="58" spans="1:11" x14ac:dyDescent="0.25">
      <c r="A58" s="14" t="str">
        <f>+'[1]BASE RED COMERCIAL'!$A56</f>
        <v>B0086</v>
      </c>
      <c r="B58" s="8" t="str">
        <f>+'[1]BASE RED COMERCIAL'!$H56</f>
        <v>VILLA DOMINICO</v>
      </c>
      <c r="C58" s="7" t="s">
        <v>33</v>
      </c>
      <c r="D58" s="9" t="str">
        <f>+'[1]BASE RED COMERCIAL'!$E56</f>
        <v>AV PRES BARTOLOME MITRE</v>
      </c>
      <c r="E58" s="7">
        <f>+'[1]BASE RED COMERCIAL'!$F56</f>
        <v>3317</v>
      </c>
      <c r="F58" s="14" t="str">
        <f>+'[1]BASE RED COMERCIAL'!$I56</f>
        <v>B1874ZAA</v>
      </c>
      <c r="G58" s="7" t="str">
        <f>+'[1]BASE RED COMERCIAL'!$D56</f>
        <v>SARANDI</v>
      </c>
      <c r="H58" s="7" t="str">
        <f>+'[1]BASE RED COMERCIAL'!$B56</f>
        <v>BUENOS AIRES</v>
      </c>
      <c r="I58" s="8" t="str">
        <f>+'[1]BASE RED COMERCIAL'!$C56</f>
        <v>AVELLANEDA</v>
      </c>
      <c r="J58" s="10"/>
      <c r="K58" s="10"/>
    </row>
    <row r="59" spans="1:11" x14ac:dyDescent="0.25">
      <c r="A59" s="14" t="str">
        <f>+'[1]BASE RED COMERCIAL'!$A57</f>
        <v>B0087</v>
      </c>
      <c r="B59" s="8" t="str">
        <f>+'[1]BASE RED COMERCIAL'!$H57</f>
        <v>VILLA INDUSTRIALES</v>
      </c>
      <c r="C59" s="7" t="s">
        <v>33</v>
      </c>
      <c r="D59" s="9" t="str">
        <f>+'[1]BASE RED COMERCIAL'!$E57</f>
        <v>CNEL D ELIA</v>
      </c>
      <c r="E59" s="7">
        <f>+'[1]BASE RED COMERCIAL'!$F57</f>
        <v>1638</v>
      </c>
      <c r="F59" s="14" t="str">
        <f>+'[1]BASE RED COMERCIAL'!$I57</f>
        <v>B1824ZAC</v>
      </c>
      <c r="G59" s="7" t="str">
        <f>+'[1]BASE RED COMERCIAL'!$D57</f>
        <v>LANUS OESTE</v>
      </c>
      <c r="H59" s="7" t="str">
        <f>+'[1]BASE RED COMERCIAL'!$B57</f>
        <v>BUENOS AIRES</v>
      </c>
      <c r="I59" s="8" t="str">
        <f>+'[1]BASE RED COMERCIAL'!$C57</f>
        <v>LANUS</v>
      </c>
      <c r="J59" s="10"/>
      <c r="K59" s="10"/>
    </row>
    <row r="60" spans="1:11" x14ac:dyDescent="0.25">
      <c r="A60" s="14" t="str">
        <f>+'[1]BASE RED COMERCIAL'!$A58</f>
        <v>B0088</v>
      </c>
      <c r="B60" s="8" t="str">
        <f>+'[1]BASE RED COMERCIAL'!$H58</f>
        <v>VILLA MADERO</v>
      </c>
      <c r="C60" s="7" t="s">
        <v>33</v>
      </c>
      <c r="D60" s="9" t="str">
        <f>+'[1]BASE RED COMERCIAL'!$E58</f>
        <v>SANCHEZ DE THOMPSON</v>
      </c>
      <c r="E60" s="7">
        <f>+'[1]BASE RED COMERCIAL'!$F58</f>
        <v>10</v>
      </c>
      <c r="F60" s="14" t="str">
        <f>+'[1]BASE RED COMERCIAL'!$I58</f>
        <v>B1768ZAA</v>
      </c>
      <c r="G60" s="7" t="str">
        <f>+'[1]BASE RED COMERCIAL'!$D58</f>
        <v>LA TABLADA</v>
      </c>
      <c r="H60" s="7" t="str">
        <f>+'[1]BASE RED COMERCIAL'!$B58</f>
        <v>BUENOS AIRES</v>
      </c>
      <c r="I60" s="8" t="str">
        <f>+'[1]BASE RED COMERCIAL'!$C58</f>
        <v>LA MATANZA</v>
      </c>
      <c r="J60" s="10"/>
      <c r="K60" s="10"/>
    </row>
    <row r="61" spans="1:11" x14ac:dyDescent="0.25">
      <c r="A61" s="14" t="str">
        <f>+'[1]BASE RED COMERCIAL'!$A59</f>
        <v>B0089</v>
      </c>
      <c r="B61" s="8" t="str">
        <f>+'[1]BASE RED COMERCIAL'!$H59</f>
        <v>VILLA PORVENIR</v>
      </c>
      <c r="C61" s="7" t="s">
        <v>33</v>
      </c>
      <c r="D61" s="9" t="str">
        <f>+'[1]BASE RED COMERCIAL'!$E59</f>
        <v>AV GALICIA</v>
      </c>
      <c r="E61" s="7">
        <f>+'[1]BASE RED COMERCIAL'!$F59</f>
        <v>635</v>
      </c>
      <c r="F61" s="14" t="str">
        <f>+'[1]BASE RED COMERCIAL'!$I59</f>
        <v>B1868ZAA</v>
      </c>
      <c r="G61" s="7" t="str">
        <f>+'[1]BASE RED COMERCIAL'!$D59</f>
        <v>PIÃ‘EYRO</v>
      </c>
      <c r="H61" s="7" t="str">
        <f>+'[1]BASE RED COMERCIAL'!$B59</f>
        <v>BUENOS AIRES</v>
      </c>
      <c r="I61" s="8" t="str">
        <f>+'[1]BASE RED COMERCIAL'!$C59</f>
        <v>AVELLANEDA</v>
      </c>
      <c r="J61" s="10"/>
      <c r="K61" s="10"/>
    </row>
    <row r="62" spans="1:11" x14ac:dyDescent="0.25">
      <c r="A62" s="14" t="str">
        <f>+'[1]BASE RED COMERCIAL'!$A60</f>
        <v>B0090</v>
      </c>
      <c r="B62" s="8" t="str">
        <f>+'[1]BASE RED COMERCIAL'!$H60</f>
        <v>WILDE</v>
      </c>
      <c r="C62" s="7" t="s">
        <v>33</v>
      </c>
      <c r="D62" s="9" t="str">
        <f>+'[1]BASE RED COMERCIAL'!$E60</f>
        <v>BRAGADO</v>
      </c>
      <c r="E62" s="7">
        <f>+'[1]BASE RED COMERCIAL'!$F60</f>
        <v>6185</v>
      </c>
      <c r="F62" s="14" t="str">
        <f>+'[1]BASE RED COMERCIAL'!$I60</f>
        <v>B1875ZAA</v>
      </c>
      <c r="G62" s="7" t="str">
        <f>+'[1]BASE RED COMERCIAL'!$D60</f>
        <v>WILDE</v>
      </c>
      <c r="H62" s="7" t="str">
        <f>+'[1]BASE RED COMERCIAL'!$B60</f>
        <v>BUENOS AIRES</v>
      </c>
      <c r="I62" s="8" t="str">
        <f>+'[1]BASE RED COMERCIAL'!$C60</f>
        <v>AVELLANEDA</v>
      </c>
      <c r="J62" s="10"/>
      <c r="K62" s="10"/>
    </row>
    <row r="63" spans="1:11" x14ac:dyDescent="0.25">
      <c r="A63" s="14" t="str">
        <f>+'[1]BASE RED COMERCIAL'!$A61</f>
        <v>B0091</v>
      </c>
      <c r="B63" s="8" t="str">
        <f>+'[1]BASE RED COMERCIAL'!$H61</f>
        <v>MONTE CHINGOLO</v>
      </c>
      <c r="C63" s="7" t="s">
        <v>33</v>
      </c>
      <c r="D63" s="9" t="str">
        <f>+'[1]BASE RED COMERCIAL'!$E61</f>
        <v>AV CENTENARIO URUGUAYO</v>
      </c>
      <c r="E63" s="7">
        <f>+'[1]BASE RED COMERCIAL'!$F61</f>
        <v>1471</v>
      </c>
      <c r="F63" s="14" t="str">
        <f>+'[1]BASE RED COMERCIAL'!$I61</f>
        <v>B1825ZAA</v>
      </c>
      <c r="G63" s="7" t="str">
        <f>+'[1]BASE RED COMERCIAL'!$D61</f>
        <v>LANUS ESTE</v>
      </c>
      <c r="H63" s="7" t="str">
        <f>+'[1]BASE RED COMERCIAL'!$B61</f>
        <v>BUENOS AIRES</v>
      </c>
      <c r="I63" s="8" t="str">
        <f>+'[1]BASE RED COMERCIAL'!$C61</f>
        <v>LANUS</v>
      </c>
      <c r="J63" s="10"/>
      <c r="K63" s="10"/>
    </row>
    <row r="64" spans="1:11" x14ac:dyDescent="0.25">
      <c r="A64" s="14" t="str">
        <f>+'[1]BASE RED COMERCIAL'!$A62</f>
        <v>B0093</v>
      </c>
      <c r="B64" s="8" t="str">
        <f>+'[1]BASE RED COMERCIAL'!$H62</f>
        <v>EZPELETA</v>
      </c>
      <c r="C64" s="7" t="s">
        <v>33</v>
      </c>
      <c r="D64" s="9" t="str">
        <f>+'[1]BASE RED COMERCIAL'!$E62</f>
        <v>CHILE</v>
      </c>
      <c r="E64" s="7">
        <f>+'[1]BASE RED COMERCIAL'!$F62</f>
        <v>379</v>
      </c>
      <c r="F64" s="14" t="str">
        <f>+'[1]BASE RED COMERCIAL'!$I62</f>
        <v>B1882ZAA</v>
      </c>
      <c r="G64" s="7" t="str">
        <f>+'[1]BASE RED COMERCIAL'!$D62</f>
        <v>EZPELETA ESTE</v>
      </c>
      <c r="H64" s="7" t="str">
        <f>+'[1]BASE RED COMERCIAL'!$B62</f>
        <v>BUENOS AIRES</v>
      </c>
      <c r="I64" s="8" t="str">
        <f>+'[1]BASE RED COMERCIAL'!$C62</f>
        <v>QUILMES</v>
      </c>
      <c r="J64" s="10"/>
      <c r="K64" s="10"/>
    </row>
    <row r="65" spans="1:11" x14ac:dyDescent="0.25">
      <c r="A65" s="14" t="str">
        <f>+'[1]BASE RED COMERCIAL'!$A63</f>
        <v>B0094</v>
      </c>
      <c r="B65" s="8" t="str">
        <f>+'[1]BASE RED COMERCIAL'!$H63</f>
        <v>TURDERA</v>
      </c>
      <c r="C65" s="7" t="s">
        <v>33</v>
      </c>
      <c r="D65" s="9" t="str">
        <f>+'[1]BASE RED COMERCIAL'!$E63</f>
        <v>AV ANTARTIDA ARGENTINA</v>
      </c>
      <c r="E65" s="7">
        <f>+'[1]BASE RED COMERCIAL'!$F63</f>
        <v>45</v>
      </c>
      <c r="F65" s="14" t="str">
        <f>+'[1]BASE RED COMERCIAL'!$I63</f>
        <v>B1833ZAB</v>
      </c>
      <c r="G65" s="7" t="str">
        <f>+'[1]BASE RED COMERCIAL'!$D63</f>
        <v>TURDERA</v>
      </c>
      <c r="H65" s="7" t="str">
        <f>+'[1]BASE RED COMERCIAL'!$B63</f>
        <v>BUENOS AIRES</v>
      </c>
      <c r="I65" s="8" t="str">
        <f>+'[1]BASE RED COMERCIAL'!$C63</f>
        <v>LOMAS DE ZAMORA</v>
      </c>
      <c r="J65" s="10"/>
      <c r="K65" s="10"/>
    </row>
    <row r="66" spans="1:11" x14ac:dyDescent="0.25">
      <c r="A66" s="14" t="str">
        <f>+'[1]BASE RED COMERCIAL'!$A64</f>
        <v>B0095</v>
      </c>
      <c r="B66" s="8" t="str">
        <f>+'[1]BASE RED COMERCIAL'!$H64</f>
        <v>SAN FRANCISCO SOLANO</v>
      </c>
      <c r="C66" s="7" t="s">
        <v>33</v>
      </c>
      <c r="D66" s="9" t="str">
        <f>+'[1]BASE RED COMERCIAL'!$E64</f>
        <v>CALLE 897</v>
      </c>
      <c r="E66" s="7">
        <f>+'[1]BASE RED COMERCIAL'!$F64</f>
        <v>4115</v>
      </c>
      <c r="F66" s="14" t="str">
        <f>+'[1]BASE RED COMERCIAL'!$I64</f>
        <v>B1881ZAA</v>
      </c>
      <c r="G66" s="7" t="str">
        <f>+'[1]BASE RED COMERCIAL'!$D64</f>
        <v>SAN FRANCISCO SOLANO</v>
      </c>
      <c r="H66" s="7" t="str">
        <f>+'[1]BASE RED COMERCIAL'!$B64</f>
        <v>BUENOS AIRES</v>
      </c>
      <c r="I66" s="8" t="str">
        <f>+'[1]BASE RED COMERCIAL'!$C64</f>
        <v>QUILMES</v>
      </c>
      <c r="J66" s="10"/>
      <c r="K66" s="10"/>
    </row>
    <row r="67" spans="1:11" x14ac:dyDescent="0.25">
      <c r="A67" s="14" t="str">
        <f>+'[1]BASE RED COMERCIAL'!$A65</f>
        <v>B0096</v>
      </c>
      <c r="B67" s="8" t="str">
        <f>+'[1]BASE RED COMERCIAL'!$H65</f>
        <v>LAFERRERE</v>
      </c>
      <c r="C67" s="7" t="s">
        <v>33</v>
      </c>
      <c r="D67" s="9" t="str">
        <f>+'[1]BASE RED COMERCIAL'!$E65</f>
        <v>E ECHEVERRIA</v>
      </c>
      <c r="E67" s="7">
        <f>+'[1]BASE RED COMERCIAL'!$F65</f>
        <v>6006</v>
      </c>
      <c r="F67" s="14" t="str">
        <f>+'[1]BASE RED COMERCIAL'!$I65</f>
        <v>B1757ZAB</v>
      </c>
      <c r="G67" s="7" t="str">
        <f>+'[1]BASE RED COMERCIAL'!$D65</f>
        <v>GREGORIO DE LAFERRERE</v>
      </c>
      <c r="H67" s="7" t="str">
        <f>+'[1]BASE RED COMERCIAL'!$B65</f>
        <v>BUENOS AIRES</v>
      </c>
      <c r="I67" s="8" t="str">
        <f>+'[1]BASE RED COMERCIAL'!$C65</f>
        <v>LA MATANZA</v>
      </c>
      <c r="J67" s="10"/>
      <c r="K67" s="10"/>
    </row>
    <row r="68" spans="1:11" x14ac:dyDescent="0.25">
      <c r="A68" s="14" t="str">
        <f>+'[1]BASE RED COMERCIAL'!$A66</f>
        <v>B0097</v>
      </c>
      <c r="B68" s="8" t="str">
        <f>+'[1]BASE RED COMERCIAL'!$H66</f>
        <v>RANELAGH</v>
      </c>
      <c r="C68" s="7" t="s">
        <v>33</v>
      </c>
      <c r="D68" s="9" t="str">
        <f>+'[1]BASE RED COMERCIAL'!$E66</f>
        <v>AV DR ALBERTO SABIN</v>
      </c>
      <c r="E68" s="7">
        <f>+'[1]BASE RED COMERCIAL'!$F66</f>
        <v>2009</v>
      </c>
      <c r="F68" s="14" t="str">
        <f>+'[1]BASE RED COMERCIAL'!$I66</f>
        <v>B1886ZAC</v>
      </c>
      <c r="G68" s="7" t="str">
        <f>+'[1]BASE RED COMERCIAL'!$D66</f>
        <v>RANELAGH</v>
      </c>
      <c r="H68" s="7" t="str">
        <f>+'[1]BASE RED COMERCIAL'!$B66</f>
        <v>BUENOS AIRES</v>
      </c>
      <c r="I68" s="8" t="str">
        <f>+'[1]BASE RED COMERCIAL'!$C66</f>
        <v>BERAZATEGUI</v>
      </c>
      <c r="J68" s="10"/>
      <c r="K68" s="10"/>
    </row>
    <row r="69" spans="1:11" x14ac:dyDescent="0.25">
      <c r="A69" s="14" t="str">
        <f>+'[1]BASE RED COMERCIAL'!$A67</f>
        <v>B0098</v>
      </c>
      <c r="B69" s="8" t="str">
        <f>+'[1]BASE RED COMERCIAL'!$H67</f>
        <v>RAFAEL CASTILLO</v>
      </c>
      <c r="C69" s="7" t="s">
        <v>33</v>
      </c>
      <c r="D69" s="9" t="str">
        <f>+'[1]BASE RED COMERCIAL'!$E67</f>
        <v>SANTA CRUZ</v>
      </c>
      <c r="E69" s="7">
        <f>+'[1]BASE RED COMERCIAL'!$F67</f>
        <v>1071</v>
      </c>
      <c r="F69" s="14" t="str">
        <f>+'[1]BASE RED COMERCIAL'!$I67</f>
        <v>B1755ZAA</v>
      </c>
      <c r="G69" s="7" t="str">
        <f>+'[1]BASE RED COMERCIAL'!$D67</f>
        <v>RAFAEL CASTILLO</v>
      </c>
      <c r="H69" s="7" t="str">
        <f>+'[1]BASE RED COMERCIAL'!$B67</f>
        <v>BUENOS AIRES</v>
      </c>
      <c r="I69" s="8" t="str">
        <f>+'[1]BASE RED COMERCIAL'!$C67</f>
        <v>LA MATANZA</v>
      </c>
      <c r="J69" s="10"/>
      <c r="K69" s="10"/>
    </row>
    <row r="70" spans="1:11" x14ac:dyDescent="0.25">
      <c r="A70" s="14" t="str">
        <f>+'[1]BASE RED COMERCIAL'!$A68</f>
        <v>B0099</v>
      </c>
      <c r="B70" s="8" t="str">
        <f>+'[1]BASE RED COMERCIAL'!$H68</f>
        <v>BURZACO</v>
      </c>
      <c r="C70" s="7" t="s">
        <v>33</v>
      </c>
      <c r="D70" s="9" t="str">
        <f>+'[1]BASE RED COMERCIAL'!$E68</f>
        <v>ROCA</v>
      </c>
      <c r="E70" s="7">
        <f>+'[1]BASE RED COMERCIAL'!$F68</f>
        <v>983</v>
      </c>
      <c r="F70" s="14" t="str">
        <f>+'[1]BASE RED COMERCIAL'!$I68</f>
        <v>B1852ZAA</v>
      </c>
      <c r="G70" s="7" t="str">
        <f>+'[1]BASE RED COMERCIAL'!$D68</f>
        <v>BURZACO</v>
      </c>
      <c r="H70" s="7" t="str">
        <f>+'[1]BASE RED COMERCIAL'!$B68</f>
        <v>BUENOS AIRES</v>
      </c>
      <c r="I70" s="8" t="str">
        <f>+'[1]BASE RED COMERCIAL'!$C68</f>
        <v>ALMIRANTE BROWN</v>
      </c>
      <c r="J70" s="10"/>
      <c r="K70" s="10"/>
    </row>
    <row r="71" spans="1:11" x14ac:dyDescent="0.25">
      <c r="A71" s="14" t="str">
        <f>+'[1]BASE RED COMERCIAL'!$A69</f>
        <v>B0100</v>
      </c>
      <c r="B71" s="8" t="str">
        <f>+'[1]BASE RED COMERCIAL'!$H69</f>
        <v>EZEIZA</v>
      </c>
      <c r="C71" s="7" t="s">
        <v>33</v>
      </c>
      <c r="D71" s="9" t="str">
        <f>+'[1]BASE RED COMERCIAL'!$E69</f>
        <v>FRENCH</v>
      </c>
      <c r="E71" s="7">
        <f>+'[1]BASE RED COMERCIAL'!$F69</f>
        <v>198</v>
      </c>
      <c r="F71" s="14" t="str">
        <f>+'[1]BASE RED COMERCIAL'!$I69</f>
        <v>B1804ZAB</v>
      </c>
      <c r="G71" s="7" t="str">
        <f>+'[1]BASE RED COMERCIAL'!$D69</f>
        <v>EZEIZA</v>
      </c>
      <c r="H71" s="7" t="str">
        <f>+'[1]BASE RED COMERCIAL'!$B69</f>
        <v>BUENOS AIRES</v>
      </c>
      <c r="I71" s="8" t="str">
        <f>+'[1]BASE RED COMERCIAL'!$C69</f>
        <v>EZEIZA</v>
      </c>
      <c r="J71" s="10"/>
      <c r="K71" s="10"/>
    </row>
    <row r="72" spans="1:11" x14ac:dyDescent="0.25">
      <c r="A72" s="14" t="str">
        <f>+'[1]BASE RED COMERCIAL'!$A70</f>
        <v>B0101</v>
      </c>
      <c r="B72" s="8" t="str">
        <f>+'[1]BASE RED COMERCIAL'!$H70</f>
        <v>GLEW</v>
      </c>
      <c r="C72" s="7" t="s">
        <v>33</v>
      </c>
      <c r="D72" s="9" t="str">
        <f>+'[1]BASE RED COMERCIAL'!$E70</f>
        <v>SARMIENTO</v>
      </c>
      <c r="E72" s="7">
        <f>+'[1]BASE RED COMERCIAL'!$F70</f>
        <v>50</v>
      </c>
      <c r="F72" s="14" t="str">
        <f>+'[1]BASE RED COMERCIAL'!$I70</f>
        <v>B1856ZAD</v>
      </c>
      <c r="G72" s="7" t="str">
        <f>+'[1]BASE RED COMERCIAL'!$D70</f>
        <v>GLEW</v>
      </c>
      <c r="H72" s="7" t="str">
        <f>+'[1]BASE RED COMERCIAL'!$B70</f>
        <v>BUENOS AIRES</v>
      </c>
      <c r="I72" s="8" t="str">
        <f>+'[1]BASE RED COMERCIAL'!$C70</f>
        <v>ALMIRANTE BROWN</v>
      </c>
      <c r="J72" s="10"/>
      <c r="K72" s="10"/>
    </row>
    <row r="73" spans="1:11" x14ac:dyDescent="0.25">
      <c r="A73" s="14" t="str">
        <f>+'[1]BASE RED COMERCIAL'!$A71</f>
        <v>B0102</v>
      </c>
      <c r="B73" s="8" t="str">
        <f>+'[1]BASE RED COMERCIAL'!$H71</f>
        <v>GONZALEZ CATAN</v>
      </c>
      <c r="C73" s="7" t="s">
        <v>33</v>
      </c>
      <c r="D73" s="9" t="str">
        <f>+'[1]BASE RED COMERCIAL'!$E71</f>
        <v>DR JOSE EQUIZA</v>
      </c>
      <c r="E73" s="7">
        <f>+'[1]BASE RED COMERCIAL'!$F71</f>
        <v>4491</v>
      </c>
      <c r="F73" s="14" t="str">
        <f>+'[1]BASE RED COMERCIAL'!$I71</f>
        <v>B1759ZAB</v>
      </c>
      <c r="G73" s="7" t="str">
        <f>+'[1]BASE RED COMERCIAL'!$D71</f>
        <v>GONZALEZ CATAN</v>
      </c>
      <c r="H73" s="7" t="str">
        <f>+'[1]BASE RED COMERCIAL'!$B71</f>
        <v>BUENOS AIRES</v>
      </c>
      <c r="I73" s="8" t="str">
        <f>+'[1]BASE RED COMERCIAL'!$C71</f>
        <v>LA MATANZA</v>
      </c>
      <c r="J73" s="10"/>
      <c r="K73" s="10"/>
    </row>
    <row r="74" spans="1:11" x14ac:dyDescent="0.25">
      <c r="A74" s="14" t="str">
        <f>+'[1]BASE RED COMERCIAL'!$A72</f>
        <v>B0103</v>
      </c>
      <c r="B74" s="8" t="str">
        <f>+'[1]BASE RED COMERCIAL'!$H72</f>
        <v>HUDSON</v>
      </c>
      <c r="C74" s="7" t="s">
        <v>33</v>
      </c>
      <c r="D74" s="9" t="str">
        <f>+'[1]BASE RED COMERCIAL'!$E72</f>
        <v>BOMBERO ESTEVEZ</v>
      </c>
      <c r="E74" s="7">
        <f>+'[1]BASE RED COMERCIAL'!$F72</f>
        <v>5443</v>
      </c>
      <c r="F74" s="14" t="str">
        <f>+'[1]BASE RED COMERCIAL'!$I72</f>
        <v>B1885ZAB</v>
      </c>
      <c r="G74" s="7" t="str">
        <f>+'[1]BASE RED COMERCIAL'!$D72</f>
        <v>GUILLERMO E HUDSON</v>
      </c>
      <c r="H74" s="7" t="str">
        <f>+'[1]BASE RED COMERCIAL'!$B72</f>
        <v>BUENOS AIRES</v>
      </c>
      <c r="I74" s="8" t="str">
        <f>+'[1]BASE RED COMERCIAL'!$C72</f>
        <v>BERAZATEGUI</v>
      </c>
      <c r="J74" s="10"/>
      <c r="K74" s="10"/>
    </row>
    <row r="75" spans="1:11" x14ac:dyDescent="0.25">
      <c r="A75" s="14" t="str">
        <f>+'[1]BASE RED COMERCIAL'!$A73</f>
        <v>B0104</v>
      </c>
      <c r="B75" s="8" t="str">
        <f>+'[1]BASE RED COMERCIAL'!$H73</f>
        <v>LLAVALLOL</v>
      </c>
      <c r="C75" s="7" t="s">
        <v>33</v>
      </c>
      <c r="D75" s="9" t="str">
        <f>+'[1]BASE RED COMERCIAL'!$E73</f>
        <v>AV ANTARTIDA ARGENTINA</v>
      </c>
      <c r="E75" s="7">
        <f>+'[1]BASE RED COMERCIAL'!$F73</f>
        <v>1620</v>
      </c>
      <c r="F75" s="14" t="str">
        <f>+'[1]BASE RED COMERCIAL'!$I73</f>
        <v>B1836ZAA</v>
      </c>
      <c r="G75" s="7" t="str">
        <f>+'[1]BASE RED COMERCIAL'!$D73</f>
        <v>LLAVALLOL</v>
      </c>
      <c r="H75" s="7" t="str">
        <f>+'[1]BASE RED COMERCIAL'!$B73</f>
        <v>BUENOS AIRES</v>
      </c>
      <c r="I75" s="8" t="str">
        <f>+'[1]BASE RED COMERCIAL'!$C73</f>
        <v>LOMAS DE ZAMORA</v>
      </c>
      <c r="J75" s="10"/>
      <c r="K75" s="10"/>
    </row>
    <row r="76" spans="1:11" x14ac:dyDescent="0.25">
      <c r="A76" s="14" t="str">
        <f>+'[1]BASE RED COMERCIAL'!$A74</f>
        <v>B0105</v>
      </c>
      <c r="B76" s="8" t="str">
        <f>+'[1]BASE RED COMERCIAL'!$H74</f>
        <v>LONGCHAMPS</v>
      </c>
      <c r="C76" s="7" t="s">
        <v>33</v>
      </c>
      <c r="D76" s="9" t="str">
        <f>+'[1]BASE RED COMERCIAL'!$E74</f>
        <v>DR MANUEL BELGRANO</v>
      </c>
      <c r="E76" s="7">
        <f>+'[1]BASE RED COMERCIAL'!$F74</f>
        <v>1453</v>
      </c>
      <c r="F76" s="14" t="str">
        <f>+'[1]BASE RED COMERCIAL'!$I74</f>
        <v>B1854ZAB</v>
      </c>
      <c r="G76" s="7" t="str">
        <f>+'[1]BASE RED COMERCIAL'!$D74</f>
        <v>LONGCHAMPS</v>
      </c>
      <c r="H76" s="7" t="str">
        <f>+'[1]BASE RED COMERCIAL'!$B74</f>
        <v>BUENOS AIRES</v>
      </c>
      <c r="I76" s="8" t="str">
        <f>+'[1]BASE RED COMERCIAL'!$C74</f>
        <v>ALMIRANTE BROWN</v>
      </c>
      <c r="J76" s="10"/>
      <c r="K76" s="10"/>
    </row>
    <row r="77" spans="1:11" x14ac:dyDescent="0.25">
      <c r="A77" s="14" t="str">
        <f>+'[1]BASE RED COMERCIAL'!$A75</f>
        <v>B0106</v>
      </c>
      <c r="B77" s="8" t="str">
        <f>+'[1]BASE RED COMERCIAL'!$H75</f>
        <v>LUIS GUILLON</v>
      </c>
      <c r="C77" s="7" t="s">
        <v>33</v>
      </c>
      <c r="D77" s="9" t="str">
        <f>+'[1]BASE RED COMERCIAL'!$E75</f>
        <v>BUENOS AIRES</v>
      </c>
      <c r="E77" s="7">
        <f>+'[1]BASE RED COMERCIAL'!$F75</f>
        <v>1758</v>
      </c>
      <c r="F77" s="14" t="str">
        <f>+'[1]BASE RED COMERCIAL'!$I75</f>
        <v>B1838ZAA</v>
      </c>
      <c r="G77" s="7" t="str">
        <f>+'[1]BASE RED COMERCIAL'!$D75</f>
        <v>LUIS GUILLON</v>
      </c>
      <c r="H77" s="7" t="str">
        <f>+'[1]BASE RED COMERCIAL'!$B75</f>
        <v>BUENOS AIRES</v>
      </c>
      <c r="I77" s="8" t="str">
        <f>+'[1]BASE RED COMERCIAL'!$C75</f>
        <v>ESTEBAN ECHEVERRIA</v>
      </c>
      <c r="J77" s="10"/>
      <c r="K77" s="10"/>
    </row>
    <row r="78" spans="1:11" x14ac:dyDescent="0.25">
      <c r="A78" s="14" t="str">
        <f>+'[1]BASE RED COMERCIAL'!$A76</f>
        <v>B0107</v>
      </c>
      <c r="B78" s="8" t="str">
        <f>+'[1]BASE RED COMERCIAL'!$H76</f>
        <v>MONTE GRANDE</v>
      </c>
      <c r="C78" s="7" t="s">
        <v>33</v>
      </c>
      <c r="D78" s="9" t="str">
        <f>+'[1]BASE RED COMERCIAL'!$E76</f>
        <v>VICENTE LOPEZ</v>
      </c>
      <c r="E78" s="7">
        <f>+'[1]BASE RED COMERCIAL'!$F76</f>
        <v>448</v>
      </c>
      <c r="F78" s="14" t="str">
        <f>+'[1]BASE RED COMERCIAL'!$I76</f>
        <v>B1842ZAB</v>
      </c>
      <c r="G78" s="7" t="str">
        <f>+'[1]BASE RED COMERCIAL'!$D76</f>
        <v>MONTE GRANDE</v>
      </c>
      <c r="H78" s="7" t="str">
        <f>+'[1]BASE RED COMERCIAL'!$B76</f>
        <v>BUENOS AIRES</v>
      </c>
      <c r="I78" s="8" t="str">
        <f>+'[1]BASE RED COMERCIAL'!$C76</f>
        <v>ESTEBAN ECHEVERRIA</v>
      </c>
      <c r="J78" s="10"/>
      <c r="K78" s="10"/>
    </row>
    <row r="79" spans="1:11" x14ac:dyDescent="0.25">
      <c r="A79" s="14" t="str">
        <f>+'[1]BASE RED COMERCIAL'!$A77</f>
        <v>B0110</v>
      </c>
      <c r="B79" s="8" t="str">
        <f>+'[1]BASE RED COMERCIAL'!$H77</f>
        <v>BARRIO SAN JOSE</v>
      </c>
      <c r="C79" s="7" t="s">
        <v>33</v>
      </c>
      <c r="D79" s="9" t="str">
        <f>+'[1]BASE RED COMERCIAL'!$E77</f>
        <v>LA CALANDRIA</v>
      </c>
      <c r="E79" s="7">
        <f>+'[1]BASE RED COMERCIAL'!$F77</f>
        <v>3156</v>
      </c>
      <c r="F79" s="14" t="str">
        <f>+'[1]BASE RED COMERCIAL'!$I77</f>
        <v>B1834ZAC</v>
      </c>
      <c r="G79" s="7" t="str">
        <f>+'[1]BASE RED COMERCIAL'!$D77</f>
        <v>TEMPERLEY</v>
      </c>
      <c r="H79" s="7" t="str">
        <f>+'[1]BASE RED COMERCIAL'!$B77</f>
        <v>BUENOS AIRES</v>
      </c>
      <c r="I79" s="8" t="str">
        <f>+'[1]BASE RED COMERCIAL'!$C77</f>
        <v>LOMAS DE ZAMORA</v>
      </c>
      <c r="J79" s="10"/>
      <c r="K79" s="10"/>
    </row>
    <row r="80" spans="1:11" x14ac:dyDescent="0.25">
      <c r="A80" s="14" t="str">
        <f>+'[1]BASE RED COMERCIAL'!$A78</f>
        <v>B0111</v>
      </c>
      <c r="B80" s="8" t="str">
        <f>+'[1]BASE RED COMERCIAL'!$H78</f>
        <v>JUAN MARIA GUTIERREZ</v>
      </c>
      <c r="C80" s="7" t="s">
        <v>33</v>
      </c>
      <c r="D80" s="9" t="str">
        <f>+'[1]BASE RED COMERCIAL'!$E78</f>
        <v>CALLE 455</v>
      </c>
      <c r="E80" s="7">
        <f>+'[1]BASE RED COMERCIAL'!$F78</f>
        <v>721</v>
      </c>
      <c r="F80" s="14" t="str">
        <f>+'[1]BASE RED COMERCIAL'!$I78</f>
        <v>B1890ZAD</v>
      </c>
      <c r="G80" s="7" t="str">
        <f>+'[1]BASE RED COMERCIAL'!$D78</f>
        <v>JUAN MARIA GUTIERREZ</v>
      </c>
      <c r="H80" s="7" t="str">
        <f>+'[1]BASE RED COMERCIAL'!$B78</f>
        <v>BUENOS AIRES</v>
      </c>
      <c r="I80" s="8" t="str">
        <f>+'[1]BASE RED COMERCIAL'!$C78</f>
        <v>BERAZATEGUI</v>
      </c>
      <c r="J80" s="10"/>
      <c r="K80" s="10"/>
    </row>
    <row r="81" spans="1:11" x14ac:dyDescent="0.25">
      <c r="A81" s="14" t="str">
        <f>+'[1]BASE RED COMERCIAL'!$A79</f>
        <v>B0112</v>
      </c>
      <c r="B81" s="8" t="str">
        <f>+'[1]BASE RED COMERCIAL'!$H79</f>
        <v>MERCADO CENTRAL</v>
      </c>
      <c r="C81" s="7" t="s">
        <v>33</v>
      </c>
      <c r="D81" s="9" t="str">
        <f>+'[1]BASE RED COMERCIAL'!$E79</f>
        <v>TTE GRAL PABLO RICCHIERI</v>
      </c>
      <c r="E81" s="7">
        <f>+'[1]BASE RED COMERCIAL'!$F79</f>
        <v>0</v>
      </c>
      <c r="F81" s="14" t="str">
        <f>+'[1]BASE RED COMERCIAL'!$I79</f>
        <v>B1771ZAB</v>
      </c>
      <c r="G81" s="7" t="str">
        <f>+'[1]BASE RED COMERCIAL'!$D79</f>
        <v>TAPIALES</v>
      </c>
      <c r="H81" s="7" t="str">
        <f>+'[1]BASE RED COMERCIAL'!$B79</f>
        <v>BUENOS AIRES</v>
      </c>
      <c r="I81" s="8" t="str">
        <f>+'[1]BASE RED COMERCIAL'!$C79</f>
        <v>LA MATANZA</v>
      </c>
      <c r="J81" s="10"/>
      <c r="K81" s="10"/>
    </row>
    <row r="82" spans="1:11" x14ac:dyDescent="0.25">
      <c r="A82" s="14" t="str">
        <f>+'[1]BASE RED COMERCIAL'!$A80</f>
        <v>B0115</v>
      </c>
      <c r="B82" s="8" t="str">
        <f>+'[1]BASE RED COMERCIAL'!$H80</f>
        <v>CRUCE VARELA</v>
      </c>
      <c r="C82" s="7" t="s">
        <v>33</v>
      </c>
      <c r="D82" s="9" t="str">
        <f>+'[1]BASE RED COMERCIAL'!$E80</f>
        <v>AV CNO GRAL BELGRANO</v>
      </c>
      <c r="E82" s="7">
        <f>+'[1]BASE RED COMERCIAL'!$F80</f>
        <v>6385</v>
      </c>
      <c r="F82" s="14" t="str">
        <f>+'[1]BASE RED COMERCIAL'!$I80</f>
        <v>B1888ZAB</v>
      </c>
      <c r="G82" s="7" t="str">
        <f>+'[1]BASE RED COMERCIAL'!$D80</f>
        <v>FLORENCIO VARELA</v>
      </c>
      <c r="H82" s="7" t="str">
        <f>+'[1]BASE RED COMERCIAL'!$B80</f>
        <v>BUENOS AIRES</v>
      </c>
      <c r="I82" s="8" t="str">
        <f>+'[1]BASE RED COMERCIAL'!$C80</f>
        <v>FLORENCIO VARELA</v>
      </c>
      <c r="J82" s="10"/>
      <c r="K82" s="10"/>
    </row>
    <row r="83" spans="1:11" x14ac:dyDescent="0.25">
      <c r="A83" s="14" t="str">
        <f>+'[1]BASE RED COMERCIAL'!$A81</f>
        <v>B0162</v>
      </c>
      <c r="B83" s="8" t="str">
        <f>+'[1]BASE RED COMERCIAL'!$H81</f>
        <v>CASEROS</v>
      </c>
      <c r="C83" s="7" t="s">
        <v>33</v>
      </c>
      <c r="D83" s="9" t="str">
        <f>+'[1]BASE RED COMERCIAL'!$E81</f>
        <v>AV GRAL J J DE URQUIZA</v>
      </c>
      <c r="E83" s="7">
        <f>+'[1]BASE RED COMERCIAL'!$F81</f>
        <v>4826</v>
      </c>
      <c r="F83" s="14" t="str">
        <f>+'[1]BASE RED COMERCIAL'!$I81</f>
        <v>B1678ZAB</v>
      </c>
      <c r="G83" s="7" t="str">
        <f>+'[1]BASE RED COMERCIAL'!$D81</f>
        <v>CASEROS</v>
      </c>
      <c r="H83" s="7" t="str">
        <f>+'[1]BASE RED COMERCIAL'!$B81</f>
        <v>BUENOS AIRES</v>
      </c>
      <c r="I83" s="8" t="str">
        <f>+'[1]BASE RED COMERCIAL'!$C81</f>
        <v>TRES DE FEBRERO</v>
      </c>
      <c r="J83" s="10"/>
      <c r="K83" s="10"/>
    </row>
    <row r="84" spans="1:11" x14ac:dyDescent="0.25">
      <c r="A84" s="14" t="str">
        <f>+'[1]BASE RED COMERCIAL'!$A82</f>
        <v>B0163</v>
      </c>
      <c r="B84" s="8" t="str">
        <f>+'[1]BASE RED COMERCIAL'!$H82</f>
        <v>CASTELAR</v>
      </c>
      <c r="C84" s="7" t="s">
        <v>33</v>
      </c>
      <c r="D84" s="9" t="str">
        <f>+'[1]BASE RED COMERCIAL'!$E82</f>
        <v>CNEL MARTIN IRIGOYEN</v>
      </c>
      <c r="E84" s="7">
        <f>+'[1]BASE RED COMERCIAL'!$F82</f>
        <v>484</v>
      </c>
      <c r="F84" s="14" t="str">
        <f>+'[1]BASE RED COMERCIAL'!$I82</f>
        <v>B1712ZAA</v>
      </c>
      <c r="G84" s="7" t="str">
        <f>+'[1]BASE RED COMERCIAL'!$D82</f>
        <v>CASTELAR</v>
      </c>
      <c r="H84" s="7" t="str">
        <f>+'[1]BASE RED COMERCIAL'!$B82</f>
        <v>BUENOS AIRES</v>
      </c>
      <c r="I84" s="8" t="str">
        <f>+'[1]BASE RED COMERCIAL'!$C82</f>
        <v>MORON</v>
      </c>
      <c r="J84" s="10"/>
      <c r="K84" s="10"/>
    </row>
    <row r="85" spans="1:11" x14ac:dyDescent="0.25">
      <c r="A85" s="14" t="str">
        <f>+'[1]BASE RED COMERCIAL'!$A83</f>
        <v>B0164</v>
      </c>
      <c r="B85" s="8" t="str">
        <f>+'[1]BASE RED COMERCIAL'!$H83</f>
        <v>CIUDADELA</v>
      </c>
      <c r="C85" s="7" t="s">
        <v>33</v>
      </c>
      <c r="D85" s="9" t="str">
        <f>+'[1]BASE RED COMERCIAL'!$E83</f>
        <v>AV RIVADAVIA</v>
      </c>
      <c r="E85" s="7">
        <f>+'[1]BASE RED COMERCIAL'!$F83</f>
        <v>12580</v>
      </c>
      <c r="F85" s="14" t="str">
        <f>+'[1]BASE RED COMERCIAL'!$I83</f>
        <v>B1702ZAA</v>
      </c>
      <c r="G85" s="7" t="str">
        <f>+'[1]BASE RED COMERCIAL'!$D83</f>
        <v>CIUDADELA</v>
      </c>
      <c r="H85" s="7" t="str">
        <f>+'[1]BASE RED COMERCIAL'!$B83</f>
        <v>BUENOS AIRES</v>
      </c>
      <c r="I85" s="8" t="str">
        <f>+'[1]BASE RED COMERCIAL'!$C83</f>
        <v>TRES DE FEBRERO</v>
      </c>
      <c r="J85" s="10"/>
      <c r="K85" s="10"/>
    </row>
    <row r="86" spans="1:11" x14ac:dyDescent="0.25">
      <c r="A86" s="14" t="str">
        <f>+'[1]BASE RED COMERCIAL'!$A84</f>
        <v>B0166</v>
      </c>
      <c r="B86" s="8" t="str">
        <f>+'[1]BASE RED COMERCIAL'!$H84</f>
        <v>EL PALOMAR</v>
      </c>
      <c r="C86" s="7" t="s">
        <v>33</v>
      </c>
      <c r="D86" s="9" t="str">
        <f>+'[1]BASE RED COMERCIAL'!$E84</f>
        <v>ING GUILLERMO MARCONI</v>
      </c>
      <c r="E86" s="7">
        <f>+'[1]BASE RED COMERCIAL'!$F84</f>
        <v>6595</v>
      </c>
      <c r="F86" s="14" t="str">
        <f>+'[1]BASE RED COMERCIAL'!$I84</f>
        <v>B1685ZAB</v>
      </c>
      <c r="G86" s="7" t="str">
        <f>+'[1]BASE RED COMERCIAL'!$D84</f>
        <v>CIUDAD JARDIN DEL PALOMAR</v>
      </c>
      <c r="H86" s="7" t="str">
        <f>+'[1]BASE RED COMERCIAL'!$B84</f>
        <v>BUENOS AIRES</v>
      </c>
      <c r="I86" s="8" t="str">
        <f>+'[1]BASE RED COMERCIAL'!$C84</f>
        <v>TRES DE FEBRERO</v>
      </c>
      <c r="J86" s="10"/>
      <c r="K86" s="10"/>
    </row>
    <row r="87" spans="1:11" x14ac:dyDescent="0.25">
      <c r="A87" s="14" t="str">
        <f>+'[1]BASE RED COMERCIAL'!$A85</f>
        <v>B0167</v>
      </c>
      <c r="B87" s="8" t="str">
        <f>+'[1]BASE RED COMERCIAL'!$H85</f>
        <v>ITUZAINGO</v>
      </c>
      <c r="C87" s="7" t="s">
        <v>33</v>
      </c>
      <c r="D87" s="9" t="str">
        <f>+'[1]BASE RED COMERCIAL'!$E85</f>
        <v>GRAL FELIX DE OLAZABAL</v>
      </c>
      <c r="E87" s="7">
        <f>+'[1]BASE RED COMERCIAL'!$F85</f>
        <v>728</v>
      </c>
      <c r="F87" s="14" t="str">
        <f>+'[1]BASE RED COMERCIAL'!$I85</f>
        <v>B1714ZAB</v>
      </c>
      <c r="G87" s="7" t="str">
        <f>+'[1]BASE RED COMERCIAL'!$D85</f>
        <v>ITUZAINGO</v>
      </c>
      <c r="H87" s="7" t="str">
        <f>+'[1]BASE RED COMERCIAL'!$B85</f>
        <v>BUENOS AIRES</v>
      </c>
      <c r="I87" s="8" t="str">
        <f>+'[1]BASE RED COMERCIAL'!$C85</f>
        <v>ITUZAINGO</v>
      </c>
      <c r="J87" s="10"/>
      <c r="K87" s="10"/>
    </row>
    <row r="88" spans="1:11" x14ac:dyDescent="0.25">
      <c r="A88" s="14" t="str">
        <f>+'[1]BASE RED COMERCIAL'!$A86</f>
        <v>B0168</v>
      </c>
      <c r="B88" s="8" t="str">
        <f>+'[1]BASE RED COMERCIAL'!$H86</f>
        <v>LIBERTAD</v>
      </c>
      <c r="C88" s="7" t="s">
        <v>33</v>
      </c>
      <c r="D88" s="9" t="str">
        <f>+'[1]BASE RED COMERCIAL'!$E86</f>
        <v>J B JUSTO</v>
      </c>
      <c r="E88" s="7">
        <f>+'[1]BASE RED COMERCIAL'!$F86</f>
        <v>2670</v>
      </c>
      <c r="F88" s="14" t="str">
        <f>+'[1]BASE RED COMERCIAL'!$I86</f>
        <v>B1716ZAA</v>
      </c>
      <c r="G88" s="7" t="str">
        <f>+'[1]BASE RED COMERCIAL'!$D86</f>
        <v>LIBERTAD</v>
      </c>
      <c r="H88" s="7" t="str">
        <f>+'[1]BASE RED COMERCIAL'!$B86</f>
        <v>BUENOS AIRES</v>
      </c>
      <c r="I88" s="8" t="str">
        <f>+'[1]BASE RED COMERCIAL'!$C86</f>
        <v>MERLO</v>
      </c>
      <c r="J88" s="10"/>
      <c r="K88" s="10"/>
    </row>
    <row r="89" spans="1:11" x14ac:dyDescent="0.25">
      <c r="A89" s="14" t="str">
        <f>+'[1]BASE RED COMERCIAL'!$A87</f>
        <v>B0169</v>
      </c>
      <c r="B89" s="8" t="str">
        <f>+'[1]BASE RED COMERCIAL'!$H87</f>
        <v>HAEDO</v>
      </c>
      <c r="C89" s="7" t="s">
        <v>33</v>
      </c>
      <c r="D89" s="9" t="str">
        <f>+'[1]BASE RED COMERCIAL'!$E87</f>
        <v>AV RIVADAVIA</v>
      </c>
      <c r="E89" s="7">
        <f>+'[1]BASE RED COMERCIAL'!$F87</f>
        <v>16380</v>
      </c>
      <c r="F89" s="14" t="str">
        <f>+'[1]BASE RED COMERCIAL'!$I87</f>
        <v>B1706ZAB</v>
      </c>
      <c r="G89" s="7" t="str">
        <f>+'[1]BASE RED COMERCIAL'!$D87</f>
        <v>HAEDO</v>
      </c>
      <c r="H89" s="7" t="str">
        <f>+'[1]BASE RED COMERCIAL'!$B87</f>
        <v>BUENOS AIRES</v>
      </c>
      <c r="I89" s="8" t="str">
        <f>+'[1]BASE RED COMERCIAL'!$C87</f>
        <v>MORON</v>
      </c>
      <c r="J89" s="10"/>
      <c r="K89" s="10"/>
    </row>
    <row r="90" spans="1:11" x14ac:dyDescent="0.25">
      <c r="A90" s="14" t="str">
        <f>+'[1]BASE RED COMERCIAL'!$A88</f>
        <v>B0170</v>
      </c>
      <c r="B90" s="8" t="str">
        <f>+'[1]BASE RED COMERCIAL'!$H88</f>
        <v>MERLO</v>
      </c>
      <c r="C90" s="7" t="s">
        <v>33</v>
      </c>
      <c r="D90" s="9" t="str">
        <f>+'[1]BASE RED COMERCIAL'!$E88</f>
        <v>AV DEL LIBERTADOR</v>
      </c>
      <c r="E90" s="7">
        <f>+'[1]BASE RED COMERCIAL'!$F88</f>
        <v>556</v>
      </c>
      <c r="F90" s="14" t="str">
        <f>+'[1]BASE RED COMERCIAL'!$I88</f>
        <v>B1722ZAB</v>
      </c>
      <c r="G90" s="7" t="str">
        <f>+'[1]BASE RED COMERCIAL'!$D88</f>
        <v>MERLO</v>
      </c>
      <c r="H90" s="7" t="str">
        <f>+'[1]BASE RED COMERCIAL'!$B88</f>
        <v>BUENOS AIRES</v>
      </c>
      <c r="I90" s="8" t="str">
        <f>+'[1]BASE RED COMERCIAL'!$C88</f>
        <v>MERLO</v>
      </c>
      <c r="J90" s="10"/>
      <c r="K90" s="10"/>
    </row>
    <row r="91" spans="1:11" x14ac:dyDescent="0.25">
      <c r="A91" s="14" t="str">
        <f>+'[1]BASE RED COMERCIAL'!$A89</f>
        <v>B0171</v>
      </c>
      <c r="B91" s="8" t="str">
        <f>+'[1]BASE RED COMERCIAL'!$H89</f>
        <v>MORENO</v>
      </c>
      <c r="C91" s="7" t="s">
        <v>33</v>
      </c>
      <c r="D91" s="9" t="str">
        <f>+'[1]BASE RED COMERCIAL'!$E89</f>
        <v>AV BME MITRE</v>
      </c>
      <c r="E91" s="7">
        <f>+'[1]BASE RED COMERCIAL'!$F89</f>
        <v>2402</v>
      </c>
      <c r="F91" s="14" t="str">
        <f>+'[1]BASE RED COMERCIAL'!$I89</f>
        <v>B1744ZAB</v>
      </c>
      <c r="G91" s="7" t="str">
        <f>+'[1]BASE RED COMERCIAL'!$D89</f>
        <v>MORENO</v>
      </c>
      <c r="H91" s="7" t="str">
        <f>+'[1]BASE RED COMERCIAL'!$B89</f>
        <v>BUENOS AIRES</v>
      </c>
      <c r="I91" s="8" t="str">
        <f>+'[1]BASE RED COMERCIAL'!$C89</f>
        <v>MORENO</v>
      </c>
      <c r="J91" s="10"/>
      <c r="K91" s="10"/>
    </row>
    <row r="92" spans="1:11" x14ac:dyDescent="0.25">
      <c r="A92" s="14" t="str">
        <f>+'[1]BASE RED COMERCIAL'!$A90</f>
        <v>B0172</v>
      </c>
      <c r="B92" s="8" t="str">
        <f>+'[1]BASE RED COMERCIAL'!$H90</f>
        <v>RAMOS MEJIA</v>
      </c>
      <c r="C92" s="7" t="s">
        <v>33</v>
      </c>
      <c r="D92" s="9" t="str">
        <f>+'[1]BASE RED COMERCIAL'!$E90</f>
        <v>AV RIVADAVIA</v>
      </c>
      <c r="E92" s="7">
        <f>+'[1]BASE RED COMERCIAL'!$F90</f>
        <v>14178</v>
      </c>
      <c r="F92" s="14" t="str">
        <f>+'[1]BASE RED COMERCIAL'!$I90</f>
        <v>B1704ZAB</v>
      </c>
      <c r="G92" s="7" t="str">
        <f>+'[1]BASE RED COMERCIAL'!$D90</f>
        <v>RAMOS MEJIA</v>
      </c>
      <c r="H92" s="7" t="str">
        <f>+'[1]BASE RED COMERCIAL'!$B90</f>
        <v>BUENOS AIRES</v>
      </c>
      <c r="I92" s="8" t="str">
        <f>+'[1]BASE RED COMERCIAL'!$C90</f>
        <v>LA MATANZA</v>
      </c>
      <c r="J92" s="10"/>
      <c r="K92" s="10"/>
    </row>
    <row r="93" spans="1:11" x14ac:dyDescent="0.25">
      <c r="A93" s="14" t="str">
        <f>+'[1]BASE RED COMERCIAL'!$A91</f>
        <v>B0173</v>
      </c>
      <c r="B93" s="8" t="str">
        <f>+'[1]BASE RED COMERCIAL'!$H91</f>
        <v>SANTOS LUGARES</v>
      </c>
      <c r="C93" s="7" t="s">
        <v>33</v>
      </c>
      <c r="D93" s="9" t="str">
        <f>+'[1]BASE RED COMERCIAL'!$E91</f>
        <v>RODRIGUEZ PEÃ‘A</v>
      </c>
      <c r="E93" s="7">
        <f>+'[1]BASE RED COMERCIAL'!$F91</f>
        <v>1846</v>
      </c>
      <c r="F93" s="14" t="str">
        <f>+'[1]BASE RED COMERCIAL'!$I91</f>
        <v>B1676ZAA</v>
      </c>
      <c r="G93" s="7" t="str">
        <f>+'[1]BASE RED COMERCIAL'!$D91</f>
        <v>SANTOS LUGARES</v>
      </c>
      <c r="H93" s="7" t="str">
        <f>+'[1]BASE RED COMERCIAL'!$B91</f>
        <v>BUENOS AIRES</v>
      </c>
      <c r="I93" s="8" t="str">
        <f>+'[1]BASE RED COMERCIAL'!$C91</f>
        <v>TRES DE FEBRERO</v>
      </c>
      <c r="J93" s="10"/>
      <c r="K93" s="10"/>
    </row>
    <row r="94" spans="1:11" x14ac:dyDescent="0.25">
      <c r="A94" s="14" t="str">
        <f>+'[1]BASE RED COMERCIAL'!$A92</f>
        <v>B0174</v>
      </c>
      <c r="B94" s="8" t="str">
        <f>+'[1]BASE RED COMERCIAL'!$H92</f>
        <v>SAN ANTONIO DE PADUA</v>
      </c>
      <c r="C94" s="7" t="s">
        <v>33</v>
      </c>
      <c r="D94" s="9" t="str">
        <f>+'[1]BASE RED COMERCIAL'!$E92</f>
        <v>DIRECTORIO</v>
      </c>
      <c r="E94" s="7">
        <f>+'[1]BASE RED COMERCIAL'!$F92</f>
        <v>202</v>
      </c>
      <c r="F94" s="14" t="str">
        <f>+'[1]BASE RED COMERCIAL'!$I92</f>
        <v>B1718ZAA</v>
      </c>
      <c r="G94" s="7" t="str">
        <f>+'[1]BASE RED COMERCIAL'!$D92</f>
        <v>SAN ANTONIO DE PADUA</v>
      </c>
      <c r="H94" s="7" t="str">
        <f>+'[1]BASE RED COMERCIAL'!$B92</f>
        <v>BUENOS AIRES</v>
      </c>
      <c r="I94" s="8" t="str">
        <f>+'[1]BASE RED COMERCIAL'!$C92</f>
        <v>MERLO</v>
      </c>
      <c r="J94" s="10"/>
      <c r="K94" s="10"/>
    </row>
    <row r="95" spans="1:11" x14ac:dyDescent="0.25">
      <c r="A95" s="14" t="str">
        <f>+'[1]BASE RED COMERCIAL'!$A93</f>
        <v>B0175</v>
      </c>
      <c r="B95" s="8" t="str">
        <f>+'[1]BASE RED COMERCIAL'!$H93</f>
        <v>VILLA BOSCH</v>
      </c>
      <c r="C95" s="7" t="s">
        <v>33</v>
      </c>
      <c r="D95" s="9" t="str">
        <f>+'[1]BASE RED COMERCIAL'!$E93</f>
        <v>SANTOS VEGA</v>
      </c>
      <c r="E95" s="7">
        <f>+'[1]BASE RED COMERCIAL'!$F93</f>
        <v>6121</v>
      </c>
      <c r="F95" s="14" t="str">
        <f>+'[1]BASE RED COMERCIAL'!$I93</f>
        <v>B1682ZAB</v>
      </c>
      <c r="G95" s="7" t="str">
        <f>+'[1]BASE RED COMERCIAL'!$D93</f>
        <v>VILLA BOSCH</v>
      </c>
      <c r="H95" s="7" t="str">
        <f>+'[1]BASE RED COMERCIAL'!$B93</f>
        <v>BUENOS AIRES</v>
      </c>
      <c r="I95" s="8" t="str">
        <f>+'[1]BASE RED COMERCIAL'!$C93</f>
        <v>TRES DE FEBRERO</v>
      </c>
      <c r="J95" s="10"/>
      <c r="K95" s="10"/>
    </row>
    <row r="96" spans="1:11" x14ac:dyDescent="0.25">
      <c r="A96" s="14" t="str">
        <f>+'[1]BASE RED COMERCIAL'!$A94</f>
        <v>B0176</v>
      </c>
      <c r="B96" s="8" t="str">
        <f>+'[1]BASE RED COMERCIAL'!$H94</f>
        <v>PASO DEL REY</v>
      </c>
      <c r="C96" s="7" t="s">
        <v>33</v>
      </c>
      <c r="D96" s="9" t="str">
        <f>+'[1]BASE RED COMERCIAL'!$E94</f>
        <v>DR S M DEL CARRIL</v>
      </c>
      <c r="E96" s="7">
        <f>+'[1]BASE RED COMERCIAL'!$F94</f>
        <v>52</v>
      </c>
      <c r="F96" s="14" t="str">
        <f>+'[1]BASE RED COMERCIAL'!$I94</f>
        <v>B1742ZAA</v>
      </c>
      <c r="G96" s="7" t="str">
        <f>+'[1]BASE RED COMERCIAL'!$D94</f>
        <v>PASO DEL REY</v>
      </c>
      <c r="H96" s="7" t="str">
        <f>+'[1]BASE RED COMERCIAL'!$B94</f>
        <v>BUENOS AIRES</v>
      </c>
      <c r="I96" s="8" t="str">
        <f>+'[1]BASE RED COMERCIAL'!$C94</f>
        <v>MORENO</v>
      </c>
      <c r="J96" s="10"/>
      <c r="K96" s="10"/>
    </row>
    <row r="97" spans="1:28" x14ac:dyDescent="0.25">
      <c r="A97" s="14" t="str">
        <f>+'[1]BASE RED COMERCIAL'!$A95</f>
        <v>B0177</v>
      </c>
      <c r="B97" s="8" t="str">
        <f>+'[1]BASE RED COMERCIAL'!$H95</f>
        <v>FRANCISCO ALVAREZ</v>
      </c>
      <c r="C97" s="7" t="s">
        <v>33</v>
      </c>
      <c r="D97" s="9" t="str">
        <f>+'[1]BASE RED COMERCIAL'!$E95</f>
        <v>DIARIO LA NACION</v>
      </c>
      <c r="E97" s="7">
        <f>+'[1]BASE RED COMERCIAL'!$F95</f>
        <v>2052</v>
      </c>
      <c r="F97" s="14" t="str">
        <f>+'[1]BASE RED COMERCIAL'!$I95</f>
        <v>B2701ZAC</v>
      </c>
      <c r="G97" s="7" t="str">
        <f>+'[1]BASE RED COMERCIAL'!$D95</f>
        <v>FRANCISCO ALVAREZ</v>
      </c>
      <c r="H97" s="7" t="str">
        <f>+'[1]BASE RED COMERCIAL'!$B95</f>
        <v>BUENOS AIRES</v>
      </c>
      <c r="I97" s="8" t="str">
        <f>+'[1]BASE RED COMERCIAL'!$C95</f>
        <v>MORENO</v>
      </c>
      <c r="J97" s="10"/>
      <c r="K97" s="10"/>
    </row>
    <row r="98" spans="1:28" x14ac:dyDescent="0.25">
      <c r="A98" s="14" t="str">
        <f>+'[1]BASE RED COMERCIAL'!$A96</f>
        <v>B0178</v>
      </c>
      <c r="B98" s="8" t="str">
        <f>+'[1]BASE RED COMERCIAL'!$H96</f>
        <v>MARIANO ACOSTA</v>
      </c>
      <c r="C98" s="7" t="s">
        <v>33</v>
      </c>
      <c r="D98" s="9" t="str">
        <f>+'[1]BASE RED COMERCIAL'!$E96</f>
        <v>TAGLE</v>
      </c>
      <c r="E98" s="7">
        <f>+'[1]BASE RED COMERCIAL'!$F96</f>
        <v>507</v>
      </c>
      <c r="F98" s="14" t="str">
        <f>+'[1]BASE RED COMERCIAL'!$I96</f>
        <v>B2701ZAD</v>
      </c>
      <c r="G98" s="7" t="str">
        <f>+'[1]BASE RED COMERCIAL'!$D96</f>
        <v>MARIANO ACOSTA</v>
      </c>
      <c r="H98" s="7" t="str">
        <f>+'[1]BASE RED COMERCIAL'!$B96</f>
        <v>BUENOS AIRES</v>
      </c>
      <c r="I98" s="8" t="str">
        <f>+'[1]BASE RED COMERCIAL'!$C96</f>
        <v>MERLO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</row>
    <row r="99" spans="1:28" x14ac:dyDescent="0.25">
      <c r="A99" s="14" t="str">
        <f>+'[1]BASE RED COMERCIAL'!$A97</f>
        <v>B0200</v>
      </c>
      <c r="B99" s="8" t="str">
        <f>+'[1]BASE RED COMERCIAL'!$H97</f>
        <v>LA PLATA</v>
      </c>
      <c r="C99" s="7" t="s">
        <v>33</v>
      </c>
      <c r="D99" s="9" t="str">
        <f>+'[1]BASE RED COMERCIAL'!$E97</f>
        <v>AV 51</v>
      </c>
      <c r="E99" s="7">
        <f>+'[1]BASE RED COMERCIAL'!$F97</f>
        <v>456</v>
      </c>
      <c r="F99" s="14" t="str">
        <f>+'[1]BASE RED COMERCIAL'!$I97</f>
        <v>B1902ZAA</v>
      </c>
      <c r="G99" s="7" t="str">
        <f>+'[1]BASE RED COMERCIAL'!$D97</f>
        <v>LA PLATA</v>
      </c>
      <c r="H99" s="7" t="str">
        <f>+'[1]BASE RED COMERCIAL'!$B97</f>
        <v>BUENOS AIRES</v>
      </c>
      <c r="I99" s="8" t="str">
        <f>+'[1]BASE RED COMERCIAL'!$C97</f>
        <v>LA PLATA</v>
      </c>
      <c r="J99" s="10"/>
      <c r="K99" s="10"/>
    </row>
    <row r="100" spans="1:28" x14ac:dyDescent="0.25">
      <c r="A100" s="14" t="str">
        <f>+'[1]BASE RED COMERCIAL'!$A98</f>
        <v>B0201</v>
      </c>
      <c r="B100" s="8" t="str">
        <f>+'[1]BASE RED COMERCIAL'!$H98</f>
        <v>LA PLATA 1</v>
      </c>
      <c r="C100" s="7" t="s">
        <v>33</v>
      </c>
      <c r="D100" s="9" t="str">
        <f>+'[1]BASE RED COMERCIAL'!$E98</f>
        <v>CALLE 48</v>
      </c>
      <c r="E100" s="7">
        <f>+'[1]BASE RED COMERCIAL'!$F98</f>
        <v>915</v>
      </c>
      <c r="F100" s="14" t="str">
        <f>+'[1]BASE RED COMERCIAL'!$I98</f>
        <v>B1900ZAA</v>
      </c>
      <c r="G100" s="7" t="str">
        <f>+'[1]BASE RED COMERCIAL'!$D98</f>
        <v>LA PLATA</v>
      </c>
      <c r="H100" s="7" t="str">
        <f>+'[1]BASE RED COMERCIAL'!$B98</f>
        <v>BUENOS AIRES</v>
      </c>
      <c r="I100" s="8" t="str">
        <f>+'[1]BASE RED COMERCIAL'!$C98</f>
        <v>LA PLATA</v>
      </c>
      <c r="J100" s="10"/>
      <c r="K100" s="10"/>
    </row>
    <row r="101" spans="1:28" x14ac:dyDescent="0.25">
      <c r="A101" s="14" t="str">
        <f>+'[1]BASE RED COMERCIAL'!$A99</f>
        <v>B0202</v>
      </c>
      <c r="B101" s="8" t="str">
        <f>+'[1]BASE RED COMERCIAL'!$H99</f>
        <v>LA PLATA TERMINAL DE OMNIBUS</v>
      </c>
      <c r="C101" s="7" t="s">
        <v>33</v>
      </c>
      <c r="D101" s="9" t="str">
        <f>+'[1]BASE RED COMERCIAL'!$E99</f>
        <v>CALLE 42</v>
      </c>
      <c r="E101" s="7">
        <f>+'[1]BASE RED COMERCIAL'!$F99</f>
        <v>443</v>
      </c>
      <c r="F101" s="14" t="str">
        <f>+'[1]BASE RED COMERCIAL'!$I99</f>
        <v>B1902ZAC</v>
      </c>
      <c r="G101" s="7" t="str">
        <f>+'[1]BASE RED COMERCIAL'!$D99</f>
        <v>LA PLATA</v>
      </c>
      <c r="H101" s="7" t="str">
        <f>+'[1]BASE RED COMERCIAL'!$B99</f>
        <v>BUENOS AIRES</v>
      </c>
      <c r="I101" s="8" t="str">
        <f>+'[1]BASE RED COMERCIAL'!$C99</f>
        <v>LA PLATA</v>
      </c>
      <c r="J101" s="10"/>
      <c r="K101" s="10"/>
    </row>
    <row r="102" spans="1:28" x14ac:dyDescent="0.25">
      <c r="A102" s="14" t="str">
        <f>+'[1]BASE RED COMERCIAL'!$A100</f>
        <v>B0203</v>
      </c>
      <c r="B102" s="8" t="str">
        <f>+'[1]BASE RED COMERCIAL'!$H100</f>
        <v>LA PLATA 3</v>
      </c>
      <c r="C102" s="7" t="s">
        <v>33</v>
      </c>
      <c r="D102" s="9" t="str">
        <f>+'[1]BASE RED COMERCIAL'!$E100</f>
        <v>AV 44</v>
      </c>
      <c r="E102" s="7">
        <f>+'[1]BASE RED COMERCIAL'!$F100</f>
        <v>1871</v>
      </c>
      <c r="F102" s="14" t="str">
        <f>+'[1]BASE RED COMERCIAL'!$I100</f>
        <v>B1908ZAA</v>
      </c>
      <c r="G102" s="7" t="str">
        <f>+'[1]BASE RED COMERCIAL'!$D100</f>
        <v>LA PLATA</v>
      </c>
      <c r="H102" s="7" t="str">
        <f>+'[1]BASE RED COMERCIAL'!$B100</f>
        <v>BUENOS AIRES</v>
      </c>
      <c r="I102" s="8" t="str">
        <f>+'[1]BASE RED COMERCIAL'!$C100</f>
        <v>LA PLATA</v>
      </c>
      <c r="J102" s="10"/>
      <c r="K102" s="10"/>
    </row>
    <row r="103" spans="1:28" x14ac:dyDescent="0.25">
      <c r="A103" s="14" t="str">
        <f>+'[1]BASE RED COMERCIAL'!$A101</f>
        <v>B0204</v>
      </c>
      <c r="B103" s="8" t="str">
        <f>+'[1]BASE RED COMERCIAL'!$H101</f>
        <v>LA PLATA 4</v>
      </c>
      <c r="C103" s="7" t="s">
        <v>33</v>
      </c>
      <c r="D103" s="9" t="str">
        <f>+'[1]BASE RED COMERCIAL'!$E101</f>
        <v>AV 7</v>
      </c>
      <c r="E103" s="7">
        <f>+'[1]BASE RED COMERCIAL'!$F101</f>
        <v>1921</v>
      </c>
      <c r="F103" s="14" t="str">
        <f>+'[1]BASE RED COMERCIAL'!$I101</f>
        <v>B1906ZAA</v>
      </c>
      <c r="G103" s="7" t="str">
        <f>+'[1]BASE RED COMERCIAL'!$D101</f>
        <v>LA PLATA</v>
      </c>
      <c r="H103" s="7" t="str">
        <f>+'[1]BASE RED COMERCIAL'!$B101</f>
        <v>BUENOS AIRES</v>
      </c>
      <c r="I103" s="8" t="str">
        <f>+'[1]BASE RED COMERCIAL'!$C101</f>
        <v>LA PLATA</v>
      </c>
      <c r="J103" s="10"/>
      <c r="K103" s="10"/>
    </row>
    <row r="104" spans="1:28" x14ac:dyDescent="0.25">
      <c r="A104" s="14" t="str">
        <f>+'[1]BASE RED COMERCIAL'!$A102</f>
        <v>B0205</v>
      </c>
      <c r="B104" s="8" t="str">
        <f>+'[1]BASE RED COMERCIAL'!$H102</f>
        <v>LA PLATA 5</v>
      </c>
      <c r="C104" s="7" t="s">
        <v>33</v>
      </c>
      <c r="D104" s="9" t="str">
        <f>+'[1]BASE RED COMERCIAL'!$E102</f>
        <v>CALLE 12</v>
      </c>
      <c r="E104" s="7">
        <f>+'[1]BASE RED COMERCIAL'!$F102</f>
        <v>1493</v>
      </c>
      <c r="F104" s="14" t="str">
        <f>+'[1]BASE RED COMERCIAL'!$I102</f>
        <v>B1900ZAC</v>
      </c>
      <c r="G104" s="7" t="str">
        <f>+'[1]BASE RED COMERCIAL'!$D102</f>
        <v>LA PLATA</v>
      </c>
      <c r="H104" s="7" t="str">
        <f>+'[1]BASE RED COMERCIAL'!$B102</f>
        <v>BUENOS AIRES</v>
      </c>
      <c r="I104" s="8" t="str">
        <f>+'[1]BASE RED COMERCIAL'!$C102</f>
        <v>LA PLATA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</row>
    <row r="105" spans="1:28" x14ac:dyDescent="0.25">
      <c r="A105" s="14" t="str">
        <f>+'[1]BASE RED COMERCIAL'!$A103</f>
        <v>B0206</v>
      </c>
      <c r="B105" s="8" t="str">
        <f>+'[1]BASE RED COMERCIAL'!$H103</f>
        <v>LA PLATA 6</v>
      </c>
      <c r="C105" s="7" t="s">
        <v>33</v>
      </c>
      <c r="D105" s="9" t="str">
        <f>+'[1]BASE RED COMERCIAL'!$E103</f>
        <v>CALLE 138</v>
      </c>
      <c r="E105" s="7">
        <f>+'[1]BASE RED COMERCIAL'!$F103</f>
        <v>1398</v>
      </c>
      <c r="F105" s="14" t="str">
        <f>+'[1]BASE RED COMERCIAL'!$I103</f>
        <v>B1910ZAA</v>
      </c>
      <c r="G105" s="7" t="str">
        <f>+'[1]BASE RED COMERCIAL'!$D103</f>
        <v>LA PLATA</v>
      </c>
      <c r="H105" s="7" t="str">
        <f>+'[1]BASE RED COMERCIAL'!$B103</f>
        <v>BUENOS AIRES</v>
      </c>
      <c r="I105" s="8" t="str">
        <f>+'[1]BASE RED COMERCIAL'!$C103</f>
        <v>LA PLATA</v>
      </c>
      <c r="J105" s="10"/>
      <c r="K105" s="10"/>
    </row>
    <row r="106" spans="1:28" x14ac:dyDescent="0.25">
      <c r="A106" s="14" t="str">
        <f>+'[1]BASE RED COMERCIAL'!$A104</f>
        <v>B0207</v>
      </c>
      <c r="B106" s="8" t="str">
        <f>+'[1]BASE RED COMERCIAL'!$H104</f>
        <v>LA PLATA 7</v>
      </c>
      <c r="C106" s="7" t="s">
        <v>33</v>
      </c>
      <c r="D106" s="9" t="str">
        <f>+'[1]BASE RED COMERCIAL'!$E104</f>
        <v>AV 520</v>
      </c>
      <c r="E106" s="7">
        <f>+'[1]BASE RED COMERCIAL'!$F104</f>
        <v>1422</v>
      </c>
      <c r="F106" s="14" t="str">
        <f>+'[1]BASE RED COMERCIAL'!$I104</f>
        <v>B1900ZAD</v>
      </c>
      <c r="G106" s="7" t="str">
        <f>+'[1]BASE RED COMERCIAL'!$D104</f>
        <v>LA PLATA</v>
      </c>
      <c r="H106" s="7" t="str">
        <f>+'[1]BASE RED COMERCIAL'!$B104</f>
        <v>BUENOS AIRES</v>
      </c>
      <c r="I106" s="8" t="str">
        <f>+'[1]BASE RED COMERCIAL'!$C104</f>
        <v>LA PLATA</v>
      </c>
      <c r="J106" s="10"/>
      <c r="K106" s="10"/>
    </row>
    <row r="107" spans="1:28" x14ac:dyDescent="0.25">
      <c r="A107" s="14" t="str">
        <f>+'[1]BASE RED COMERCIAL'!$A105</f>
        <v>B0209</v>
      </c>
      <c r="B107" s="8" t="str">
        <f>+'[1]BASE RED COMERCIAL'!$H105</f>
        <v>ALEJANDRO KORN</v>
      </c>
      <c r="C107" s="7" t="s">
        <v>33</v>
      </c>
      <c r="D107" s="9" t="str">
        <f>+'[1]BASE RED COMERCIAL'!$E105</f>
        <v>PTE J D PERON</v>
      </c>
      <c r="E107" s="7">
        <f>+'[1]BASE RED COMERCIAL'!$F105</f>
        <v>4984</v>
      </c>
      <c r="F107" s="14" t="str">
        <f>+'[1]BASE RED COMERCIAL'!$I105</f>
        <v>B1864ZAA</v>
      </c>
      <c r="G107" s="7" t="str">
        <f>+'[1]BASE RED COMERCIAL'!$D105</f>
        <v>ALEJANDRO KORN</v>
      </c>
      <c r="H107" s="7" t="str">
        <f>+'[1]BASE RED COMERCIAL'!$B105</f>
        <v>BUENOS AIRES</v>
      </c>
      <c r="I107" s="8" t="str">
        <f>+'[1]BASE RED COMERCIAL'!$C105</f>
        <v>SAN VICENTE</v>
      </c>
      <c r="J107" s="10"/>
      <c r="K107" s="10"/>
    </row>
    <row r="108" spans="1:28" x14ac:dyDescent="0.25">
      <c r="A108" s="14" t="str">
        <f>+'[1]BASE RED COMERCIAL'!$A106</f>
        <v>B0211</v>
      </c>
      <c r="B108" s="8" t="str">
        <f>+'[1]BASE RED COMERCIAL'!$H106</f>
        <v>AYACUCHO</v>
      </c>
      <c r="C108" s="7" t="s">
        <v>33</v>
      </c>
      <c r="D108" s="9" t="str">
        <f>+'[1]BASE RED COMERCIAL'!$E106</f>
        <v>PTE H YRIGOYEN</v>
      </c>
      <c r="E108" s="7">
        <f>+'[1]BASE RED COMERCIAL'!$F106</f>
        <v>744</v>
      </c>
      <c r="F108" s="14" t="str">
        <f>+'[1]BASE RED COMERCIAL'!$I106</f>
        <v>B7150ZAA</v>
      </c>
      <c r="G108" s="7" t="str">
        <f>+'[1]BASE RED COMERCIAL'!$D106</f>
        <v>AYACUCHO</v>
      </c>
      <c r="H108" s="7" t="str">
        <f>+'[1]BASE RED COMERCIAL'!$B106</f>
        <v>BUENOS AIRES</v>
      </c>
      <c r="I108" s="8" t="str">
        <f>+'[1]BASE RED COMERCIAL'!$C106</f>
        <v>AYACUCHO</v>
      </c>
      <c r="J108" s="10"/>
      <c r="K108" s="10"/>
    </row>
    <row r="109" spans="1:28" x14ac:dyDescent="0.25">
      <c r="A109" s="14" t="str">
        <f>+'[1]BASE RED COMERCIAL'!$A107</f>
        <v>B0213</v>
      </c>
      <c r="B109" s="8" t="str">
        <f>+'[1]BASE RED COMERCIAL'!$H107</f>
        <v>BERISSO</v>
      </c>
      <c r="C109" s="7" t="s">
        <v>33</v>
      </c>
      <c r="D109" s="9" t="str">
        <f>+'[1]BASE RED COMERCIAL'!$E107</f>
        <v>CALLAO</v>
      </c>
      <c r="E109" s="7">
        <f>+'[1]BASE RED COMERCIAL'!$F107</f>
        <v>4419</v>
      </c>
      <c r="F109" s="14" t="str">
        <f>+'[1]BASE RED COMERCIAL'!$I107</f>
        <v>B1923ZAA</v>
      </c>
      <c r="G109" s="7" t="str">
        <f>+'[1]BASE RED COMERCIAL'!$D107</f>
        <v>BERISSO</v>
      </c>
      <c r="H109" s="7" t="str">
        <f>+'[1]BASE RED COMERCIAL'!$B107</f>
        <v>BUENOS AIRES</v>
      </c>
      <c r="I109" s="8" t="str">
        <f>+'[1]BASE RED COMERCIAL'!$C107</f>
        <v>BERISSO</v>
      </c>
      <c r="J109" s="10"/>
      <c r="K109" s="10"/>
    </row>
    <row r="110" spans="1:28" x14ac:dyDescent="0.25">
      <c r="A110" s="14" t="str">
        <f>+'[1]BASE RED COMERCIAL'!$A108</f>
        <v>B0214</v>
      </c>
      <c r="B110" s="8" t="str">
        <f>+'[1]BASE RED COMERCIAL'!$H108</f>
        <v>VILLA CACIQUE</v>
      </c>
      <c r="C110" s="7" t="s">
        <v>33</v>
      </c>
      <c r="D110" s="9" t="str">
        <f>+'[1]BASE RED COMERCIAL'!$E108</f>
        <v>URUGUAY</v>
      </c>
      <c r="E110" s="7">
        <f>+'[1]BASE RED COMERCIAL'!$F108</f>
        <v>120</v>
      </c>
      <c r="F110" s="14" t="str">
        <f>+'[1]BASE RED COMERCIAL'!$I108</f>
        <v>B7005ZAA</v>
      </c>
      <c r="G110" s="7" t="str">
        <f>+'[1]BASE RED COMERCIAL'!$D108</f>
        <v>VILLA CACIQUE</v>
      </c>
      <c r="H110" s="7" t="str">
        <f>+'[1]BASE RED COMERCIAL'!$B108</f>
        <v>BUENOS AIRES</v>
      </c>
      <c r="I110" s="8" t="str">
        <f>+'[1]BASE RED COMERCIAL'!$C108</f>
        <v>BENITO JUAREZ</v>
      </c>
      <c r="J110" s="10"/>
      <c r="K110" s="10"/>
    </row>
    <row r="111" spans="1:28" x14ac:dyDescent="0.25">
      <c r="A111" s="14" t="str">
        <f>+'[1]BASE RED COMERCIAL'!$A109</f>
        <v>B0215</v>
      </c>
      <c r="B111" s="8" t="str">
        <f>+'[1]BASE RED COMERCIAL'!$H109</f>
        <v>CAÃ‘UELAS</v>
      </c>
      <c r="C111" s="7" t="s">
        <v>33</v>
      </c>
      <c r="D111" s="9" t="str">
        <f>+'[1]BASE RED COMERCIAL'!$E109</f>
        <v>SAN MARTIN</v>
      </c>
      <c r="E111" s="7">
        <f>+'[1]BASE RED COMERCIAL'!$F109</f>
        <v>466</v>
      </c>
      <c r="F111" s="14" t="str">
        <f>+'[1]BASE RED COMERCIAL'!$I109</f>
        <v>B1814ZAA</v>
      </c>
      <c r="G111" s="7" t="str">
        <f>+'[1]BASE RED COMERCIAL'!$D109</f>
        <v>CAÃ‘UELAS</v>
      </c>
      <c r="H111" s="7" t="str">
        <f>+'[1]BASE RED COMERCIAL'!$B109</f>
        <v>BUENOS AIRES</v>
      </c>
      <c r="I111" s="8" t="str">
        <f>+'[1]BASE RED COMERCIAL'!$C109</f>
        <v>CAÃ‘UELAS</v>
      </c>
      <c r="J111" s="10"/>
      <c r="K111" s="10"/>
    </row>
    <row r="112" spans="1:28" x14ac:dyDescent="0.25">
      <c r="A112" s="14" t="str">
        <f>+'[1]BASE RED COMERCIAL'!$A110</f>
        <v>B0216</v>
      </c>
      <c r="B112" s="8" t="str">
        <f>+'[1]BASE RED COMERCIAL'!$H110</f>
        <v>CACHARI</v>
      </c>
      <c r="C112" s="7" t="s">
        <v>33</v>
      </c>
      <c r="D112" s="9" t="str">
        <f>+'[1]BASE RED COMERCIAL'!$E110</f>
        <v>MANUEL BELGRANO</v>
      </c>
      <c r="E112" s="7">
        <f>+'[1]BASE RED COMERCIAL'!$F110</f>
        <v>1611</v>
      </c>
      <c r="F112" s="14" t="str">
        <f>+'[1]BASE RED COMERCIAL'!$I110</f>
        <v>B7214ZAA</v>
      </c>
      <c r="G112" s="7" t="str">
        <f>+'[1]BASE RED COMERCIAL'!$D110</f>
        <v>CACHARI</v>
      </c>
      <c r="H112" s="7" t="str">
        <f>+'[1]BASE RED COMERCIAL'!$B110</f>
        <v>BUENOS AIRES</v>
      </c>
      <c r="I112" s="8" t="str">
        <f>+'[1]BASE RED COMERCIAL'!$C110</f>
        <v>AZUL</v>
      </c>
      <c r="J112" s="10"/>
      <c r="K112" s="10"/>
    </row>
    <row r="113" spans="1:28" x14ac:dyDescent="0.25">
      <c r="A113" s="14" t="str">
        <f>+'[1]BASE RED COMERCIAL'!$A111</f>
        <v>B0218</v>
      </c>
      <c r="B113" s="8" t="str">
        <f>+'[1]BASE RED COMERCIAL'!$H111</f>
        <v>CASTELLI</v>
      </c>
      <c r="C113" s="7" t="s">
        <v>33</v>
      </c>
      <c r="D113" s="9" t="str">
        <f>+'[1]BASE RED COMERCIAL'!$E111</f>
        <v>RIVADAVIA</v>
      </c>
      <c r="E113" s="7">
        <f>+'[1]BASE RED COMERCIAL'!$F111</f>
        <v>210</v>
      </c>
      <c r="F113" s="14" t="str">
        <f>+'[1]BASE RED COMERCIAL'!$I111</f>
        <v>B7114ZAA</v>
      </c>
      <c r="G113" s="7" t="str">
        <f>+'[1]BASE RED COMERCIAL'!$D111</f>
        <v>CASTELLI</v>
      </c>
      <c r="H113" s="7" t="str">
        <f>+'[1]BASE RED COMERCIAL'!$B111</f>
        <v>BUENOS AIRES</v>
      </c>
      <c r="I113" s="8" t="str">
        <f>+'[1]BASE RED COMERCIAL'!$C111</f>
        <v>CASTELLI</v>
      </c>
      <c r="J113" s="10"/>
      <c r="K113" s="10"/>
    </row>
    <row r="114" spans="1:28" x14ac:dyDescent="0.25">
      <c r="A114" s="14" t="str">
        <f>+'[1]BASE RED COMERCIAL'!$A112</f>
        <v>B0220</v>
      </c>
      <c r="B114" s="8" t="str">
        <f>+'[1]BASE RED COMERCIAL'!$H112</f>
        <v>CHASCOMUS</v>
      </c>
      <c r="C114" s="7" t="s">
        <v>33</v>
      </c>
      <c r="D114" s="9" t="str">
        <f>+'[1]BASE RED COMERCIAL'!$E112</f>
        <v>DORREGO</v>
      </c>
      <c r="E114" s="7">
        <f>+'[1]BASE RED COMERCIAL'!$F112</f>
        <v>211</v>
      </c>
      <c r="F114" s="14" t="str">
        <f>+'[1]BASE RED COMERCIAL'!$I112</f>
        <v>B7130ZAA</v>
      </c>
      <c r="G114" s="7" t="str">
        <f>+'[1]BASE RED COMERCIAL'!$D112</f>
        <v>CHASCOMUS</v>
      </c>
      <c r="H114" s="7" t="str">
        <f>+'[1]BASE RED COMERCIAL'!$B112</f>
        <v>BUENOS AIRES</v>
      </c>
      <c r="I114" s="8" t="str">
        <f>+'[1]BASE RED COMERCIAL'!$C112</f>
        <v>CHASCOMUS</v>
      </c>
      <c r="J114" s="10"/>
      <c r="K114" s="10"/>
    </row>
    <row r="115" spans="1:28" s="10" customFormat="1" x14ac:dyDescent="0.25">
      <c r="A115" s="14" t="str">
        <f>+'[1]BASE RED COMERCIAL'!$A113</f>
        <v>B0222</v>
      </c>
      <c r="B115" s="8" t="str">
        <f>+'[1]BASE RED COMERCIAL'!$H113</f>
        <v>CITY BELL</v>
      </c>
      <c r="C115" s="7" t="s">
        <v>33</v>
      </c>
      <c r="D115" s="9" t="str">
        <f>+'[1]BASE RED COMERCIAL'!$E113</f>
        <v>CALLE 473 BIS</v>
      </c>
      <c r="E115" s="7">
        <f>+'[1]BASE RED COMERCIAL'!$F113</f>
        <v>1357</v>
      </c>
      <c r="F115" s="14" t="str">
        <f>+'[1]BASE RED COMERCIAL'!$I113</f>
        <v>B1896ZAA</v>
      </c>
      <c r="G115" s="7" t="str">
        <f>+'[1]BASE RED COMERCIAL'!$D113</f>
        <v>CITY BELL</v>
      </c>
      <c r="H115" s="7" t="str">
        <f>+'[1]BASE RED COMERCIAL'!$B113</f>
        <v>BUENOS AIRES</v>
      </c>
      <c r="I115" s="8" t="str">
        <f>+'[1]BASE RED COMERCIAL'!$C113</f>
        <v>LA PLATA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x14ac:dyDescent="0.25">
      <c r="A116" s="14" t="str">
        <f>+'[1]BASE RED COMERCIAL'!$A114</f>
        <v>B0224</v>
      </c>
      <c r="B116" s="8" t="str">
        <f>+'[1]BASE RED COMERCIAL'!$H114</f>
        <v>CORONEL BRANDSEN</v>
      </c>
      <c r="C116" s="7" t="s">
        <v>33</v>
      </c>
      <c r="D116" s="9" t="str">
        <f>+'[1]BASE RED COMERCIAL'!$E114</f>
        <v>AV ITUZAINGO</v>
      </c>
      <c r="E116" s="7">
        <f>+'[1]BASE RED COMERCIAL'!$F114</f>
        <v>1167</v>
      </c>
      <c r="F116" s="14" t="str">
        <f>+'[1]BASE RED COMERCIAL'!$I114</f>
        <v>B1980ZAA</v>
      </c>
      <c r="G116" s="7" t="str">
        <f>+'[1]BASE RED COMERCIAL'!$D114</f>
        <v>BRANDSEN</v>
      </c>
      <c r="H116" s="7" t="str">
        <f>+'[1]BASE RED COMERCIAL'!$B114</f>
        <v>BUENOS AIRES</v>
      </c>
      <c r="I116" s="8" t="str">
        <f>+'[1]BASE RED COMERCIAL'!$C114</f>
        <v>BRANDSEN</v>
      </c>
      <c r="J116" s="10"/>
      <c r="K116" s="10"/>
    </row>
    <row r="117" spans="1:28" x14ac:dyDescent="0.25">
      <c r="A117" s="14" t="str">
        <f>+'[1]BASE RED COMERCIAL'!$A115</f>
        <v>B0228</v>
      </c>
      <c r="B117" s="8" t="str">
        <f>+'[1]BASE RED COMERCIAL'!$H115</f>
        <v>DOLORES</v>
      </c>
      <c r="C117" s="7" t="s">
        <v>33</v>
      </c>
      <c r="D117" s="9" t="str">
        <f>+'[1]BASE RED COMERCIAL'!$E115</f>
        <v>BUENOS AIRES</v>
      </c>
      <c r="E117" s="7">
        <f>+'[1]BASE RED COMERCIAL'!$F115</f>
        <v>132</v>
      </c>
      <c r="F117" s="14" t="str">
        <f>+'[1]BASE RED COMERCIAL'!$I115</f>
        <v>B7100ZAA</v>
      </c>
      <c r="G117" s="7" t="str">
        <f>+'[1]BASE RED COMERCIAL'!$D115</f>
        <v>DOLORES</v>
      </c>
      <c r="H117" s="7" t="str">
        <f>+'[1]BASE RED COMERCIAL'!$B115</f>
        <v>BUENOS AIRES</v>
      </c>
      <c r="I117" s="8" t="str">
        <f>+'[1]BASE RED COMERCIAL'!$C115</f>
        <v>DOLORES</v>
      </c>
      <c r="J117" s="10"/>
      <c r="K117" s="10"/>
    </row>
    <row r="118" spans="1:28" x14ac:dyDescent="0.25">
      <c r="A118" s="14" t="str">
        <f>+'[1]BASE RED COMERCIAL'!$A116</f>
        <v>B0232</v>
      </c>
      <c r="B118" s="8" t="str">
        <f>+'[1]BASE RED COMERCIAL'!$H116</f>
        <v>ENSENADA</v>
      </c>
      <c r="C118" s="7" t="s">
        <v>33</v>
      </c>
      <c r="D118" s="9" t="str">
        <f>+'[1]BASE RED COMERCIAL'!$E116</f>
        <v>NUESTRA SRA DE LA MERCED</v>
      </c>
      <c r="E118" s="7">
        <f>+'[1]BASE RED COMERCIAL'!$F116</f>
        <v>110</v>
      </c>
      <c r="F118" s="14" t="str">
        <f>+'[1]BASE RED COMERCIAL'!$I116</f>
        <v>B1925ZAA</v>
      </c>
      <c r="G118" s="7" t="str">
        <f>+'[1]BASE RED COMERCIAL'!$D116</f>
        <v>ENSENADA</v>
      </c>
      <c r="H118" s="7" t="str">
        <f>+'[1]BASE RED COMERCIAL'!$B116</f>
        <v>BUENOS AIRES</v>
      </c>
      <c r="I118" s="8" t="str">
        <f>+'[1]BASE RED COMERCIAL'!$C116</f>
        <v>ENSENADA</v>
      </c>
      <c r="J118" s="10"/>
      <c r="K118" s="10"/>
    </row>
    <row r="119" spans="1:28" x14ac:dyDescent="0.25">
      <c r="A119" s="14" t="str">
        <f>+'[1]BASE RED COMERCIAL'!$A117</f>
        <v>B0234</v>
      </c>
      <c r="B119" s="8" t="str">
        <f>+'[1]BASE RED COMERCIAL'!$H117</f>
        <v>ESCUELA NAVAL RIO SANTIAGO</v>
      </c>
      <c r="C119" s="7" t="s">
        <v>33</v>
      </c>
      <c r="D119" s="9" t="str">
        <f>+'[1]BASE RED COMERCIAL'!$E117</f>
        <v>ESCUELA NAVAL RIO SANTIAGO</v>
      </c>
      <c r="E119" s="7">
        <f>+'[1]BASE RED COMERCIAL'!$F117</f>
        <v>0</v>
      </c>
      <c r="F119" s="14" t="str">
        <f>+'[1]BASE RED COMERCIAL'!$I117</f>
        <v>B1927ZAA</v>
      </c>
      <c r="G119" s="7" t="str">
        <f>+'[1]BASE RED COMERCIAL'!$D117</f>
        <v>ESC NAV MILITAR RIO SANTIAGO</v>
      </c>
      <c r="H119" s="7" t="str">
        <f>+'[1]BASE RED COMERCIAL'!$B117</f>
        <v>BUENOS AIRES</v>
      </c>
      <c r="I119" s="8" t="str">
        <f>+'[1]BASE RED COMERCIAL'!$C117</f>
        <v>ENSENADA</v>
      </c>
      <c r="J119" s="10"/>
      <c r="K119" s="10"/>
    </row>
    <row r="120" spans="1:28" x14ac:dyDescent="0.25">
      <c r="A120" s="14" t="str">
        <f>+'[1]BASE RED COMERCIAL'!$A118</f>
        <v>B0236</v>
      </c>
      <c r="B120" s="8" t="str">
        <f>+'[1]BASE RED COMERCIAL'!$H118</f>
        <v>GENERAL ALVEAR</v>
      </c>
      <c r="C120" s="7" t="s">
        <v>33</v>
      </c>
      <c r="D120" s="9" t="str">
        <f>+'[1]BASE RED COMERCIAL'!$E118</f>
        <v>AV GRAL SAN MARTIN</v>
      </c>
      <c r="E120" s="7">
        <f>+'[1]BASE RED COMERCIAL'!$F118</f>
        <v>1191</v>
      </c>
      <c r="F120" s="14" t="str">
        <f>+'[1]BASE RED COMERCIAL'!$I118</f>
        <v>B7263ZAA</v>
      </c>
      <c r="G120" s="7" t="str">
        <f>+'[1]BASE RED COMERCIAL'!$D118</f>
        <v>GENERAL ALVEAR</v>
      </c>
      <c r="H120" s="7" t="str">
        <f>+'[1]BASE RED COMERCIAL'!$B118</f>
        <v>BUENOS AIRES</v>
      </c>
      <c r="I120" s="8" t="str">
        <f>+'[1]BASE RED COMERCIAL'!$C118</f>
        <v>GENERAL ALVEAR</v>
      </c>
      <c r="J120" s="10"/>
      <c r="K120" s="10"/>
    </row>
    <row r="121" spans="1:28" x14ac:dyDescent="0.25">
      <c r="A121" s="14" t="str">
        <f>+'[1]BASE RED COMERCIAL'!$A119</f>
        <v>B0238</v>
      </c>
      <c r="B121" s="8" t="str">
        <f>+'[1]BASE RED COMERCIAL'!$H119</f>
        <v>GRAL. BELGRANO</v>
      </c>
      <c r="C121" s="7" t="s">
        <v>33</v>
      </c>
      <c r="D121" s="9" t="str">
        <f>+'[1]BASE RED COMERCIAL'!$E119</f>
        <v>AV LARREA</v>
      </c>
      <c r="E121" s="7">
        <f>+'[1]BASE RED COMERCIAL'!$F119</f>
        <v>632</v>
      </c>
      <c r="F121" s="14" t="str">
        <f>+'[1]BASE RED COMERCIAL'!$I119</f>
        <v>B7223ZAA</v>
      </c>
      <c r="G121" s="7" t="str">
        <f>+'[1]BASE RED COMERCIAL'!$D119</f>
        <v>GENERAL BELGRANO</v>
      </c>
      <c r="H121" s="7" t="str">
        <f>+'[1]BASE RED COMERCIAL'!$B119</f>
        <v>BUENOS AIRES</v>
      </c>
      <c r="I121" s="8" t="str">
        <f>+'[1]BASE RED COMERCIAL'!$C119</f>
        <v>GENERAL BELGRANO</v>
      </c>
      <c r="J121" s="10"/>
      <c r="K121" s="10"/>
    </row>
    <row r="122" spans="1:28" x14ac:dyDescent="0.25">
      <c r="A122" s="14" t="str">
        <f>+'[1]BASE RED COMERCIAL'!$A120</f>
        <v>B0240</v>
      </c>
      <c r="B122" s="8" t="str">
        <f>+'[1]BASE RED COMERCIAL'!$H120</f>
        <v>GRAL. CONESA</v>
      </c>
      <c r="C122" s="7" t="s">
        <v>33</v>
      </c>
      <c r="D122" s="9" t="str">
        <f>+'[1]BASE RED COMERCIAL'!$E120</f>
        <v>BDIER J M DE ROSAS</v>
      </c>
      <c r="E122" s="7">
        <f>+'[1]BASE RED COMERCIAL'!$F120</f>
        <v>86</v>
      </c>
      <c r="F122" s="14" t="str">
        <f>+'[1]BASE RED COMERCIAL'!$I120</f>
        <v>B7101ZAA</v>
      </c>
      <c r="G122" s="7" t="str">
        <f>+'[1]BASE RED COMERCIAL'!$D120</f>
        <v>GENERAL CONESA</v>
      </c>
      <c r="H122" s="7" t="str">
        <f>+'[1]BASE RED COMERCIAL'!$B120</f>
        <v>BUENOS AIRES</v>
      </c>
      <c r="I122" s="8" t="str">
        <f>+'[1]BASE RED COMERCIAL'!$C120</f>
        <v>TORDILLO</v>
      </c>
      <c r="J122" s="10"/>
      <c r="K122" s="10"/>
    </row>
    <row r="123" spans="1:28" x14ac:dyDescent="0.25">
      <c r="A123" s="14" t="str">
        <f>+'[1]BASE RED COMERCIAL'!$A121</f>
        <v>B0242</v>
      </c>
      <c r="B123" s="8" t="str">
        <f>+'[1]BASE RED COMERCIAL'!$H121</f>
        <v>GUERNICA</v>
      </c>
      <c r="C123" s="7" t="s">
        <v>33</v>
      </c>
      <c r="D123" s="9" t="str">
        <f>+'[1]BASE RED COMERCIAL'!$E121</f>
        <v>CALLE 5</v>
      </c>
      <c r="E123" s="7">
        <f>+'[1]BASE RED COMERCIAL'!$F121</f>
        <v>260</v>
      </c>
      <c r="F123" s="14" t="str">
        <f>+'[1]BASE RED COMERCIAL'!$I121</f>
        <v>B1862ZAA</v>
      </c>
      <c r="G123" s="7" t="str">
        <f>+'[1]BASE RED COMERCIAL'!$D121</f>
        <v>GUERNICA</v>
      </c>
      <c r="H123" s="7" t="str">
        <f>+'[1]BASE RED COMERCIAL'!$B121</f>
        <v>BUENOS AIRES</v>
      </c>
      <c r="I123" s="8" t="str">
        <f>+'[1]BASE RED COMERCIAL'!$C121</f>
        <v>PRESIDENTE PERON</v>
      </c>
      <c r="J123" s="10"/>
      <c r="K123" s="10"/>
    </row>
    <row r="124" spans="1:28" x14ac:dyDescent="0.25">
      <c r="A124" s="14" t="str">
        <f>+'[1]BASE RED COMERCIAL'!$A122</f>
        <v>B0244</v>
      </c>
      <c r="B124" s="8" t="str">
        <f>+'[1]BASE RED COMERCIAL'!$H122</f>
        <v>JEPPENER</v>
      </c>
      <c r="C124" s="7" t="s">
        <v>33</v>
      </c>
      <c r="D124" s="9" t="str">
        <f>+'[1]BASE RED COMERCIAL'!$E122</f>
        <v>GRAL SAN MARTIN</v>
      </c>
      <c r="E124" s="7">
        <f>+'[1]BASE RED COMERCIAL'!$F122</f>
        <v>562</v>
      </c>
      <c r="F124" s="14" t="str">
        <f>+'[1]BASE RED COMERCIAL'!$I122</f>
        <v>B1986ZAA</v>
      </c>
      <c r="G124" s="7" t="str">
        <f>+'[1]BASE RED COMERCIAL'!$D122</f>
        <v>JEPPENER</v>
      </c>
      <c r="H124" s="7" t="str">
        <f>+'[1]BASE RED COMERCIAL'!$B122</f>
        <v>BUENOS AIRES</v>
      </c>
      <c r="I124" s="8" t="str">
        <f>+'[1]BASE RED COMERCIAL'!$C122</f>
        <v>BRANDSEN</v>
      </c>
      <c r="J124" s="10"/>
      <c r="K124" s="10"/>
    </row>
    <row r="125" spans="1:28" x14ac:dyDescent="0.25">
      <c r="A125" s="14" t="str">
        <f>+'[1]BASE RED COMERCIAL'!$A123</f>
        <v>B0246</v>
      </c>
      <c r="B125" s="8" t="str">
        <f>+'[1]BASE RED COMERCIAL'!$H123</f>
        <v>LAS TONINAS</v>
      </c>
      <c r="C125" s="7" t="s">
        <v>33</v>
      </c>
      <c r="D125" s="9" t="str">
        <f>+'[1]BASE RED COMERCIAL'!$E123</f>
        <v>AV 26</v>
      </c>
      <c r="E125" s="7">
        <f>+'[1]BASE RED COMERCIAL'!$F123</f>
        <v>899</v>
      </c>
      <c r="F125" s="14" t="str">
        <f>+'[1]BASE RED COMERCIAL'!$I123</f>
        <v>B7106ZAA</v>
      </c>
      <c r="G125" s="7" t="str">
        <f>+'[1]BASE RED COMERCIAL'!$D123</f>
        <v>LAS TONINAS</v>
      </c>
      <c r="H125" s="7" t="str">
        <f>+'[1]BASE RED COMERCIAL'!$B123</f>
        <v>BUENOS AIRES</v>
      </c>
      <c r="I125" s="8" t="str">
        <f>+'[1]BASE RED COMERCIAL'!$C123</f>
        <v>LA COSTA</v>
      </c>
      <c r="J125" s="10"/>
      <c r="K125" s="10"/>
    </row>
    <row r="126" spans="1:28" x14ac:dyDescent="0.25">
      <c r="A126" s="14" t="str">
        <f>+'[1]BASE RED COMERCIAL'!$A124</f>
        <v>B0262</v>
      </c>
      <c r="B126" s="8" t="str">
        <f>+'[1]BASE RED COMERCIAL'!$H124</f>
        <v>LAS FLORES</v>
      </c>
      <c r="C126" s="7" t="s">
        <v>33</v>
      </c>
      <c r="D126" s="9" t="str">
        <f>+'[1]BASE RED COMERCIAL'!$E124</f>
        <v>AV AVELLANEDA</v>
      </c>
      <c r="E126" s="7">
        <f>+'[1]BASE RED COMERCIAL'!$F124</f>
        <v>564</v>
      </c>
      <c r="F126" s="14" t="str">
        <f>+'[1]BASE RED COMERCIAL'!$I124</f>
        <v>B7200ZAA</v>
      </c>
      <c r="G126" s="7" t="str">
        <f>+'[1]BASE RED COMERCIAL'!$D124</f>
        <v>LAS FLORES</v>
      </c>
      <c r="H126" s="7" t="str">
        <f>+'[1]BASE RED COMERCIAL'!$B124</f>
        <v>BUENOS AIRES</v>
      </c>
      <c r="I126" s="8" t="str">
        <f>+'[1]BASE RED COMERCIAL'!$C124</f>
        <v>LAS FLORES</v>
      </c>
      <c r="J126" s="10"/>
      <c r="K126" s="10"/>
    </row>
    <row r="127" spans="1:28" x14ac:dyDescent="0.25">
      <c r="A127" s="14" t="str">
        <f>+'[1]BASE RED COMERCIAL'!$A125</f>
        <v>B0264</v>
      </c>
      <c r="B127" s="8" t="str">
        <f>+'[1]BASE RED COMERCIAL'!$H125</f>
        <v>GRAL. LAS HERAS</v>
      </c>
      <c r="C127" s="7" t="s">
        <v>33</v>
      </c>
      <c r="D127" s="9" t="str">
        <f>+'[1]BASE RED COMERCIAL'!$E125</f>
        <v>LAS HERAS</v>
      </c>
      <c r="E127" s="7">
        <f>+'[1]BASE RED COMERCIAL'!$F125</f>
        <v>969</v>
      </c>
      <c r="F127" s="14" t="str">
        <f>+'[1]BASE RED COMERCIAL'!$I125</f>
        <v>B1741ZAA</v>
      </c>
      <c r="G127" s="7" t="str">
        <f>+'[1]BASE RED COMERCIAL'!$D125</f>
        <v>GENERAL LAS HERAS</v>
      </c>
      <c r="H127" s="7" t="str">
        <f>+'[1]BASE RED COMERCIAL'!$B125</f>
        <v>BUENOS AIRES</v>
      </c>
      <c r="I127" s="8" t="str">
        <f>+'[1]BASE RED COMERCIAL'!$C125</f>
        <v>GENERAL LAS HERAS</v>
      </c>
      <c r="J127" s="10"/>
      <c r="K127" s="10"/>
    </row>
    <row r="128" spans="1:28" x14ac:dyDescent="0.25">
      <c r="A128" s="14" t="str">
        <f>+'[1]BASE RED COMERCIAL'!$A126</f>
        <v>B0266</v>
      </c>
      <c r="B128" s="8" t="str">
        <f>+'[1]BASE RED COMERCIAL'!$H126</f>
        <v>LEZAMA</v>
      </c>
      <c r="C128" s="7" t="s">
        <v>33</v>
      </c>
      <c r="D128" s="9" t="str">
        <f>+'[1]BASE RED COMERCIAL'!$E126</f>
        <v>DOMINGO LASTRA</v>
      </c>
      <c r="E128" s="7">
        <f>+'[1]BASE RED COMERCIAL'!$F126</f>
        <v>132</v>
      </c>
      <c r="F128" s="14" t="str">
        <f>+'[1]BASE RED COMERCIAL'!$I126</f>
        <v>B7116ZAA</v>
      </c>
      <c r="G128" s="7" t="str">
        <f>+'[1]BASE RED COMERCIAL'!$D126</f>
        <v>LEZAMA</v>
      </c>
      <c r="H128" s="7" t="str">
        <f>+'[1]BASE RED COMERCIAL'!$B126</f>
        <v>BUENOS AIRES</v>
      </c>
      <c r="I128" s="8" t="str">
        <f>+'[1]BASE RED COMERCIAL'!$C126</f>
        <v>LEZAMA</v>
      </c>
      <c r="J128" s="10"/>
      <c r="K128" s="10"/>
    </row>
    <row r="129" spans="1:11" x14ac:dyDescent="0.25">
      <c r="A129" s="14" t="str">
        <f>+'[1]BASE RED COMERCIAL'!$A127</f>
        <v>B0268</v>
      </c>
      <c r="B129" s="8" t="str">
        <f>+'[1]BASE RED COMERCIAL'!$H127</f>
        <v>LISANDRO OLMOS</v>
      </c>
      <c r="C129" s="7" t="s">
        <v>33</v>
      </c>
      <c r="D129" s="9" t="str">
        <f>+'[1]BASE RED COMERCIAL'!$E127</f>
        <v>AV 44</v>
      </c>
      <c r="E129" s="7">
        <f>+'[1]BASE RED COMERCIAL'!$F127</f>
        <v>5278</v>
      </c>
      <c r="F129" s="14" t="str">
        <f>+'[1]BASE RED COMERCIAL'!$I127</f>
        <v>B1901ZAA</v>
      </c>
      <c r="G129" s="7" t="str">
        <f>+'[1]BASE RED COMERCIAL'!$D127</f>
        <v>LISANDRO OLMOS ETCHEVERRY</v>
      </c>
      <c r="H129" s="7" t="str">
        <f>+'[1]BASE RED COMERCIAL'!$B127</f>
        <v>BUENOS AIRES</v>
      </c>
      <c r="I129" s="8" t="str">
        <f>+'[1]BASE RED COMERCIAL'!$C127</f>
        <v>LA PLATA</v>
      </c>
      <c r="J129" s="10"/>
      <c r="K129" s="10"/>
    </row>
    <row r="130" spans="1:11" x14ac:dyDescent="0.25">
      <c r="A130" s="14" t="str">
        <f>+'[1]BASE RED COMERCIAL'!$A128</f>
        <v>B0270</v>
      </c>
      <c r="B130" s="8" t="str">
        <f>+'[1]BASE RED COMERCIAL'!$H128</f>
        <v>LOBOS</v>
      </c>
      <c r="C130" s="7" t="s">
        <v>33</v>
      </c>
      <c r="D130" s="9" t="str">
        <f>+'[1]BASE RED COMERCIAL'!$E128</f>
        <v>CHACABUCO</v>
      </c>
      <c r="E130" s="7">
        <f>+'[1]BASE RED COMERCIAL'!$F128</f>
        <v>299</v>
      </c>
      <c r="F130" s="14" t="str">
        <f>+'[1]BASE RED COMERCIAL'!$I128</f>
        <v>B7240ZAA</v>
      </c>
      <c r="G130" s="7" t="str">
        <f>+'[1]BASE RED COMERCIAL'!$D128</f>
        <v>LOBOS</v>
      </c>
      <c r="H130" s="7" t="str">
        <f>+'[1]BASE RED COMERCIAL'!$B128</f>
        <v>BUENOS AIRES</v>
      </c>
      <c r="I130" s="8" t="str">
        <f>+'[1]BASE RED COMERCIAL'!$C128</f>
        <v>LOBOS</v>
      </c>
      <c r="J130" s="10"/>
      <c r="K130" s="10"/>
    </row>
    <row r="131" spans="1:11" x14ac:dyDescent="0.25">
      <c r="A131" s="14" t="str">
        <f>+'[1]BASE RED COMERCIAL'!$A129</f>
        <v>B0272</v>
      </c>
      <c r="B131" s="8" t="str">
        <f>+'[1]BASE RED COMERCIAL'!$H129</f>
        <v>MELCHOR ROMERO</v>
      </c>
      <c r="C131" s="7" t="s">
        <v>33</v>
      </c>
      <c r="D131" s="9" t="str">
        <f>+'[1]BASE RED COMERCIAL'!$E129</f>
        <v>CALLE 519</v>
      </c>
      <c r="E131" s="7">
        <f>+'[1]BASE RED COMERCIAL'!$F129</f>
        <v>7476</v>
      </c>
      <c r="F131" s="14" t="str">
        <f>+'[1]BASE RED COMERCIAL'!$I129</f>
        <v>B1903ZAA</v>
      </c>
      <c r="G131" s="7" t="str">
        <f>+'[1]BASE RED COMERCIAL'!$D129</f>
        <v>MELCHOR ROMERO</v>
      </c>
      <c r="H131" s="7" t="str">
        <f>+'[1]BASE RED COMERCIAL'!$B129</f>
        <v>BUENOS AIRES</v>
      </c>
      <c r="I131" s="8" t="str">
        <f>+'[1]BASE RED COMERCIAL'!$C129</f>
        <v>LA PLATA</v>
      </c>
      <c r="J131" s="10"/>
      <c r="K131" s="10"/>
    </row>
    <row r="132" spans="1:11" x14ac:dyDescent="0.25">
      <c r="A132" s="14" t="str">
        <f>+'[1]BASE RED COMERCIAL'!$A130</f>
        <v>B0274</v>
      </c>
      <c r="B132" s="8" t="str">
        <f>+'[1]BASE RED COMERCIAL'!$H130</f>
        <v>MAGDALENA</v>
      </c>
      <c r="C132" s="7" t="s">
        <v>33</v>
      </c>
      <c r="D132" s="9" t="str">
        <f>+'[1]BASE RED COMERCIAL'!$E130</f>
        <v>DR PEDRO GOENAGA</v>
      </c>
      <c r="E132" s="7">
        <f>+'[1]BASE RED COMERCIAL'!$F130</f>
        <v>811</v>
      </c>
      <c r="F132" s="14" t="str">
        <f>+'[1]BASE RED COMERCIAL'!$I130</f>
        <v>B1913ZAA</v>
      </c>
      <c r="G132" s="7" t="str">
        <f>+'[1]BASE RED COMERCIAL'!$D130</f>
        <v>MAGDALENA</v>
      </c>
      <c r="H132" s="7" t="str">
        <f>+'[1]BASE RED COMERCIAL'!$B130</f>
        <v>BUENOS AIRES</v>
      </c>
      <c r="I132" s="8" t="str">
        <f>+'[1]BASE RED COMERCIAL'!$C130</f>
        <v>MAGDALENA</v>
      </c>
      <c r="J132" s="10"/>
      <c r="K132" s="10"/>
    </row>
    <row r="133" spans="1:11" x14ac:dyDescent="0.25">
      <c r="A133" s="14" t="str">
        <f>+'[1]BASE RED COMERCIAL'!$A131</f>
        <v>B0276</v>
      </c>
      <c r="B133" s="8" t="str">
        <f>+'[1]BASE RED COMERCIAL'!$H131</f>
        <v>MARCOS PAZ</v>
      </c>
      <c r="C133" s="7" t="s">
        <v>33</v>
      </c>
      <c r="D133" s="9" t="str">
        <f>+'[1]BASE RED COMERCIAL'!$E131</f>
        <v>DR MANUEL BELGRANO</v>
      </c>
      <c r="E133" s="7">
        <f>+'[1]BASE RED COMERCIAL'!$F131</f>
        <v>2097</v>
      </c>
      <c r="F133" s="14" t="str">
        <f>+'[1]BASE RED COMERCIAL'!$I131</f>
        <v>B1727ZAA</v>
      </c>
      <c r="G133" s="7" t="str">
        <f>+'[1]BASE RED COMERCIAL'!$D131</f>
        <v>MARCOS PAZ</v>
      </c>
      <c r="H133" s="7" t="str">
        <f>+'[1]BASE RED COMERCIAL'!$B131</f>
        <v>BUENOS AIRES</v>
      </c>
      <c r="I133" s="8" t="str">
        <f>+'[1]BASE RED COMERCIAL'!$C131</f>
        <v>MARCOS PAZ</v>
      </c>
      <c r="J133" s="10"/>
      <c r="K133" s="10"/>
    </row>
    <row r="134" spans="1:11" x14ac:dyDescent="0.25">
      <c r="A134" s="14" t="str">
        <f>+'[1]BASE RED COMERCIAL'!$A132</f>
        <v>B0278</v>
      </c>
      <c r="B134" s="8" t="str">
        <f>+'[1]BASE RED COMERCIAL'!$H132</f>
        <v>SAN MIGUEL DEL MONTE</v>
      </c>
      <c r="C134" s="7" t="s">
        <v>33</v>
      </c>
      <c r="D134" s="9" t="str">
        <f>+'[1]BASE RED COMERCIAL'!$E132</f>
        <v>JOSE AICARDI</v>
      </c>
      <c r="E134" s="7">
        <f>+'[1]BASE RED COMERCIAL'!$F132</f>
        <v>878</v>
      </c>
      <c r="F134" s="14" t="str">
        <f>+'[1]BASE RED COMERCIAL'!$I132</f>
        <v>B7220ZAA</v>
      </c>
      <c r="G134" s="7" t="str">
        <f>+'[1]BASE RED COMERCIAL'!$D132</f>
        <v>SAN MIGUEL DEL MONTE</v>
      </c>
      <c r="H134" s="7" t="str">
        <f>+'[1]BASE RED COMERCIAL'!$B132</f>
        <v>BUENOS AIRES</v>
      </c>
      <c r="I134" s="8" t="str">
        <f>+'[1]BASE RED COMERCIAL'!$C132</f>
        <v>MONTE</v>
      </c>
      <c r="J134" s="10"/>
      <c r="K134" s="10"/>
    </row>
    <row r="135" spans="1:11" x14ac:dyDescent="0.25">
      <c r="A135" s="14" t="str">
        <f>+'[1]BASE RED COMERCIAL'!$A133</f>
        <v>B0280</v>
      </c>
      <c r="B135" s="8" t="str">
        <f>+'[1]BASE RED COMERCIAL'!$H133</f>
        <v>MANUEL B. GONNET</v>
      </c>
      <c r="C135" s="7" t="s">
        <v>33</v>
      </c>
      <c r="D135" s="9" t="str">
        <f>+'[1]BASE RED COMERCIAL'!$E133</f>
        <v>CALLE 502</v>
      </c>
      <c r="E135" s="7">
        <f>+'[1]BASE RED COMERCIAL'!$F133</f>
        <v>2032</v>
      </c>
      <c r="F135" s="14" t="str">
        <f>+'[1]BASE RED COMERCIAL'!$I133</f>
        <v>B1897ZAA</v>
      </c>
      <c r="G135" s="7" t="str">
        <f>+'[1]BASE RED COMERCIAL'!$D133</f>
        <v>MANUEL B GONNET</v>
      </c>
      <c r="H135" s="7" t="str">
        <f>+'[1]BASE RED COMERCIAL'!$B133</f>
        <v>BUENOS AIRES</v>
      </c>
      <c r="I135" s="8" t="str">
        <f>+'[1]BASE RED COMERCIAL'!$C133</f>
        <v>LA PLATA</v>
      </c>
      <c r="J135" s="10"/>
      <c r="K135" s="10"/>
    </row>
    <row r="136" spans="1:11" x14ac:dyDescent="0.25">
      <c r="A136" s="14" t="str">
        <f>+'[1]BASE RED COMERCIAL'!$A134</f>
        <v>B0300</v>
      </c>
      <c r="B136" s="8" t="str">
        <f>+'[1]BASE RED COMERCIAL'!$H134</f>
        <v>MERCEDES</v>
      </c>
      <c r="C136" s="7" t="s">
        <v>33</v>
      </c>
      <c r="D136" s="9" t="str">
        <f>+'[1]BASE RED COMERCIAL'!$E134</f>
        <v>AV 29</v>
      </c>
      <c r="E136" s="7">
        <f>+'[1]BASE RED COMERCIAL'!$F134</f>
        <v>645</v>
      </c>
      <c r="F136" s="14" t="str">
        <f>+'[1]BASE RED COMERCIAL'!$I134</f>
        <v>B6600ZAA</v>
      </c>
      <c r="G136" s="7" t="str">
        <f>+'[1]BASE RED COMERCIAL'!$D134</f>
        <v>MERCEDES</v>
      </c>
      <c r="H136" s="7" t="str">
        <f>+'[1]BASE RED COMERCIAL'!$B134</f>
        <v>BUENOS AIRES</v>
      </c>
      <c r="I136" s="8" t="str">
        <f>+'[1]BASE RED COMERCIAL'!$C134</f>
        <v>MERCEDES</v>
      </c>
      <c r="J136" s="10"/>
      <c r="K136" s="10"/>
    </row>
    <row r="137" spans="1:11" x14ac:dyDescent="0.25">
      <c r="A137" s="14" t="str">
        <f>+'[1]BASE RED COMERCIAL'!$A135</f>
        <v>B0305</v>
      </c>
      <c r="B137" s="8" t="str">
        <f>+'[1]BASE RED COMERCIAL'!$H135</f>
        <v>VILLA SAUZE</v>
      </c>
      <c r="C137" s="7" t="s">
        <v>33</v>
      </c>
      <c r="D137" s="9" t="str">
        <f>+'[1]BASE RED COMERCIAL'!$E135</f>
        <v>CORDOBA</v>
      </c>
      <c r="E137" s="7">
        <f>+'[1]BASE RED COMERCIAL'!$F135</f>
        <v>187</v>
      </c>
      <c r="F137" s="14" t="str">
        <f>+'[1]BASE RED COMERCIAL'!$I135</f>
        <v>B6235ZAA</v>
      </c>
      <c r="G137" s="7" t="str">
        <f>+'[1]BASE RED COMERCIAL'!$D135</f>
        <v>VILLA SAUZE</v>
      </c>
      <c r="H137" s="7" t="str">
        <f>+'[1]BASE RED COMERCIAL'!$B135</f>
        <v>BUENOS AIRES</v>
      </c>
      <c r="I137" s="8" t="str">
        <f>+'[1]BASE RED COMERCIAL'!$C135</f>
        <v>GENERAL VILLEGAS</v>
      </c>
      <c r="J137" s="10"/>
      <c r="K137" s="10"/>
    </row>
    <row r="138" spans="1:11" x14ac:dyDescent="0.25">
      <c r="A138" s="14" t="str">
        <f>+'[1]BASE RED COMERCIAL'!$A136</f>
        <v>B0307</v>
      </c>
      <c r="B138" s="8" t="str">
        <f>+'[1]BASE RED COMERCIAL'!$H136</f>
        <v>ALBERTI</v>
      </c>
      <c r="C138" s="7" t="s">
        <v>33</v>
      </c>
      <c r="D138" s="9" t="str">
        <f>+'[1]BASE RED COMERCIAL'!$E136</f>
        <v>SAN MARTIN</v>
      </c>
      <c r="E138" s="7">
        <f>+'[1]BASE RED COMERCIAL'!$F136</f>
        <v>152</v>
      </c>
      <c r="F138" s="14" t="str">
        <f>+'[1]BASE RED COMERCIAL'!$I136</f>
        <v>B6634ZAA</v>
      </c>
      <c r="G138" s="7" t="str">
        <f>+'[1]BASE RED COMERCIAL'!$D136</f>
        <v>ALBERTI</v>
      </c>
      <c r="H138" s="7" t="str">
        <f>+'[1]BASE RED COMERCIAL'!$B136</f>
        <v>BUENOS AIRES</v>
      </c>
      <c r="I138" s="8" t="str">
        <f>+'[1]BASE RED COMERCIAL'!$C136</f>
        <v>ALBERTI</v>
      </c>
      <c r="J138" s="10"/>
      <c r="K138" s="10"/>
    </row>
    <row r="139" spans="1:11" x14ac:dyDescent="0.25">
      <c r="A139" s="14" t="str">
        <f>+'[1]BASE RED COMERCIAL'!$A137</f>
        <v>B0308</v>
      </c>
      <c r="B139" s="8" t="str">
        <f>+'[1]BASE RED COMERCIAL'!$H137</f>
        <v>AMEGHINO</v>
      </c>
      <c r="C139" s="7" t="s">
        <v>33</v>
      </c>
      <c r="D139" s="9" t="str">
        <f>+'[1]BASE RED COMERCIAL'!$E137</f>
        <v>CALLE 9</v>
      </c>
      <c r="E139" s="7">
        <f>+'[1]BASE RED COMERCIAL'!$F137</f>
        <v>670</v>
      </c>
      <c r="F139" s="14" t="str">
        <f>+'[1]BASE RED COMERCIAL'!$I137</f>
        <v>B6064ZAA</v>
      </c>
      <c r="G139" s="7" t="str">
        <f>+'[1]BASE RED COMERCIAL'!$D137</f>
        <v>FLORENTINO AMEGHINO</v>
      </c>
      <c r="H139" s="7" t="str">
        <f>+'[1]BASE RED COMERCIAL'!$B137</f>
        <v>BUENOS AIRES</v>
      </c>
      <c r="I139" s="8" t="str">
        <f>+'[1]BASE RED COMERCIAL'!$C137</f>
        <v>FLORENTINO AMEGHINO</v>
      </c>
      <c r="J139" s="10"/>
      <c r="K139" s="10"/>
    </row>
    <row r="140" spans="1:11" x14ac:dyDescent="0.25">
      <c r="A140" s="14" t="str">
        <f>+'[1]BASE RED COMERCIAL'!$A138</f>
        <v>B0309</v>
      </c>
      <c r="B140" s="8" t="str">
        <f>+'[1]BASE RED COMERCIAL'!$H138</f>
        <v>AMERICA</v>
      </c>
      <c r="C140" s="7" t="s">
        <v>33</v>
      </c>
      <c r="D140" s="9" t="str">
        <f>+'[1]BASE RED COMERCIAL'!$E138</f>
        <v>VIAMONTE</v>
      </c>
      <c r="E140" s="7">
        <f>+'[1]BASE RED COMERCIAL'!$F138</f>
        <v>221</v>
      </c>
      <c r="F140" s="14" t="str">
        <f>+'[1]BASE RED COMERCIAL'!$I138</f>
        <v>B6237ZAA</v>
      </c>
      <c r="G140" s="7" t="str">
        <f>+'[1]BASE RED COMERCIAL'!$D138</f>
        <v>AMERICA</v>
      </c>
      <c r="H140" s="7" t="str">
        <f>+'[1]BASE RED COMERCIAL'!$B138</f>
        <v>BUENOS AIRES</v>
      </c>
      <c r="I140" s="8" t="str">
        <f>+'[1]BASE RED COMERCIAL'!$C138</f>
        <v>RIVADAVIA</v>
      </c>
      <c r="J140" s="10"/>
      <c r="K140" s="10"/>
    </row>
    <row r="141" spans="1:11" x14ac:dyDescent="0.25">
      <c r="A141" s="14" t="str">
        <f>+'[1]BASE RED COMERCIAL'!$A139</f>
        <v>B0310</v>
      </c>
      <c r="B141" s="8" t="str">
        <f>+'[1]BASE RED COMERCIAL'!$H139</f>
        <v>ARENAZA</v>
      </c>
      <c r="C141" s="7" t="s">
        <v>33</v>
      </c>
      <c r="D141" s="9" t="str">
        <f>+'[1]BASE RED COMERCIAL'!$E139</f>
        <v>MALVINAS ARGENTINAS</v>
      </c>
      <c r="E141" s="7">
        <f>+'[1]BASE RED COMERCIAL'!$F139</f>
        <v>264</v>
      </c>
      <c r="F141" s="14" t="str">
        <f>+'[1]BASE RED COMERCIAL'!$I139</f>
        <v>B6075ZAA</v>
      </c>
      <c r="G141" s="7" t="str">
        <f>+'[1]BASE RED COMERCIAL'!$D139</f>
        <v>ARENAZA</v>
      </c>
      <c r="H141" s="7" t="str">
        <f>+'[1]BASE RED COMERCIAL'!$B139</f>
        <v>BUENOS AIRES</v>
      </c>
      <c r="I141" s="8" t="str">
        <f>+'[1]BASE RED COMERCIAL'!$C139</f>
        <v>LINCOLN</v>
      </c>
      <c r="J141" s="10"/>
      <c r="K141" s="10"/>
    </row>
    <row r="142" spans="1:11" x14ac:dyDescent="0.25">
      <c r="A142" s="14" t="str">
        <f>+'[1]BASE RED COMERCIAL'!$A140</f>
        <v>B0311</v>
      </c>
      <c r="B142" s="8" t="str">
        <f>+'[1]BASE RED COMERCIAL'!$H140</f>
        <v>ARRIBEÃ‘OS</v>
      </c>
      <c r="C142" s="7" t="s">
        <v>33</v>
      </c>
      <c r="D142" s="9" t="str">
        <f>+'[1]BASE RED COMERCIAL'!$E140</f>
        <v>DOMINGO SARMIENTO</v>
      </c>
      <c r="E142" s="7">
        <f>+'[1]BASE RED COMERCIAL'!$F140</f>
        <v>30</v>
      </c>
      <c r="F142" s="14" t="str">
        <f>+'[1]BASE RED COMERCIAL'!$I140</f>
        <v>B6007ZAA</v>
      </c>
      <c r="G142" s="7" t="str">
        <f>+'[1]BASE RED COMERCIAL'!$D140</f>
        <v>ARRIBEÃ‘OS</v>
      </c>
      <c r="H142" s="7" t="str">
        <f>+'[1]BASE RED COMERCIAL'!$B140</f>
        <v>BUENOS AIRES</v>
      </c>
      <c r="I142" s="8" t="str">
        <f>+'[1]BASE RED COMERCIAL'!$C140</f>
        <v>GENERAL ARENALES</v>
      </c>
      <c r="J142" s="10"/>
      <c r="K142" s="10"/>
    </row>
    <row r="143" spans="1:11" x14ac:dyDescent="0.25">
      <c r="A143" s="14" t="str">
        <f>+'[1]BASE RED COMERCIAL'!$A141</f>
        <v>B0312</v>
      </c>
      <c r="B143" s="8" t="str">
        <f>+'[1]BASE RED COMERCIAL'!$H141</f>
        <v>ARROYO DULCE</v>
      </c>
      <c r="C143" s="7" t="s">
        <v>33</v>
      </c>
      <c r="D143" s="9" t="str">
        <f>+'[1]BASE RED COMERCIAL'!$E141</f>
        <v>AV RIVADAVIA</v>
      </c>
      <c r="E143" s="7">
        <f>+'[1]BASE RED COMERCIAL'!$F141</f>
        <v>0</v>
      </c>
      <c r="F143" s="14" t="str">
        <f>+'[1]BASE RED COMERCIAL'!$I141</f>
        <v>B2743ZAA</v>
      </c>
      <c r="G143" s="7" t="str">
        <f>+'[1]BASE RED COMERCIAL'!$D141</f>
        <v>ARROYO DULCE</v>
      </c>
      <c r="H143" s="7" t="str">
        <f>+'[1]BASE RED COMERCIAL'!$B141</f>
        <v>BUENOS AIRES</v>
      </c>
      <c r="I143" s="8" t="str">
        <f>+'[1]BASE RED COMERCIAL'!$C141</f>
        <v>SALTO</v>
      </c>
      <c r="J143" s="10"/>
      <c r="K143" s="10"/>
    </row>
    <row r="144" spans="1:11" x14ac:dyDescent="0.25">
      <c r="A144" s="14" t="str">
        <f>+'[1]BASE RED COMERCIAL'!$A142</f>
        <v>B0313</v>
      </c>
      <c r="B144" s="8" t="str">
        <f>+'[1]BASE RED COMERCIAL'!$H142</f>
        <v>ASCENSION</v>
      </c>
      <c r="C144" s="7" t="s">
        <v>33</v>
      </c>
      <c r="D144" s="9" t="str">
        <f>+'[1]BASE RED COMERCIAL'!$E142</f>
        <v>AV LIBERTAD</v>
      </c>
      <c r="E144" s="7">
        <f>+'[1]BASE RED COMERCIAL'!$F142</f>
        <v>36</v>
      </c>
      <c r="F144" s="14" t="str">
        <f>+'[1]BASE RED COMERCIAL'!$I142</f>
        <v>B6003ZAA</v>
      </c>
      <c r="G144" s="7" t="str">
        <f>+'[1]BASE RED COMERCIAL'!$D142</f>
        <v>ASCENCION</v>
      </c>
      <c r="H144" s="7" t="str">
        <f>+'[1]BASE RED COMERCIAL'!$B142</f>
        <v>BUENOS AIRES</v>
      </c>
      <c r="I144" s="8" t="str">
        <f>+'[1]BASE RED COMERCIAL'!$C142</f>
        <v>GENERAL ARENALES</v>
      </c>
      <c r="J144" s="10"/>
      <c r="K144" s="10"/>
    </row>
    <row r="145" spans="1:11" x14ac:dyDescent="0.25">
      <c r="A145" s="14" t="str">
        <f>+'[1]BASE RED COMERCIAL'!$A143</f>
        <v>B0314</v>
      </c>
      <c r="B145" s="8" t="str">
        <f>+'[1]BASE RED COMERCIAL'!$H143</f>
        <v>BAIGORRITA</v>
      </c>
      <c r="C145" s="7" t="s">
        <v>33</v>
      </c>
      <c r="D145" s="9" t="str">
        <f>+'[1]BASE RED COMERCIAL'!$E143</f>
        <v>GRAL SAN MARTIN</v>
      </c>
      <c r="E145" s="7">
        <f>+'[1]BASE RED COMERCIAL'!$F143</f>
        <v>206</v>
      </c>
      <c r="F145" s="14" t="str">
        <f>+'[1]BASE RED COMERCIAL'!$I143</f>
        <v>B6013ZAA</v>
      </c>
      <c r="G145" s="7" t="str">
        <f>+'[1]BASE RED COMERCIAL'!$D143</f>
        <v>BAIGORRITA</v>
      </c>
      <c r="H145" s="7" t="str">
        <f>+'[1]BASE RED COMERCIAL'!$B143</f>
        <v>BUENOS AIRES</v>
      </c>
      <c r="I145" s="8" t="str">
        <f>+'[1]BASE RED COMERCIAL'!$C143</f>
        <v>GENERAL VIAMONTE</v>
      </c>
      <c r="J145" s="10"/>
      <c r="K145" s="10"/>
    </row>
    <row r="146" spans="1:11" x14ac:dyDescent="0.25">
      <c r="A146" s="14" t="str">
        <f>+'[1]BASE RED COMERCIAL'!$A144</f>
        <v>B0315</v>
      </c>
      <c r="B146" s="8" t="str">
        <f>+'[1]BASE RED COMERCIAL'!$H144</f>
        <v>BANDERALO</v>
      </c>
      <c r="C146" s="7" t="s">
        <v>33</v>
      </c>
      <c r="D146" s="9" t="str">
        <f>+'[1]BASE RED COMERCIAL'!$E144</f>
        <v>1 DE SEPTIEMBRE</v>
      </c>
      <c r="E146" s="7">
        <f>+'[1]BASE RED COMERCIAL'!$F144</f>
        <v>105</v>
      </c>
      <c r="F146" s="14" t="str">
        <f>+'[1]BASE RED COMERCIAL'!$I144</f>
        <v>B6244ZAA</v>
      </c>
      <c r="G146" s="7" t="str">
        <f>+'[1]BASE RED COMERCIAL'!$D144</f>
        <v>BANDERALO</v>
      </c>
      <c r="H146" s="7" t="str">
        <f>+'[1]BASE RED COMERCIAL'!$B144</f>
        <v>BUENOS AIRES</v>
      </c>
      <c r="I146" s="8" t="str">
        <f>+'[1]BASE RED COMERCIAL'!$C144</f>
        <v>GENERAL VILLEGAS</v>
      </c>
      <c r="J146" s="10"/>
      <c r="K146" s="10"/>
    </row>
    <row r="147" spans="1:11" x14ac:dyDescent="0.25">
      <c r="A147" s="14" t="str">
        <f>+'[1]BASE RED COMERCIAL'!$A145</f>
        <v>B0316</v>
      </c>
      <c r="B147" s="8" t="str">
        <f>+'[1]BASE RED COMERCIAL'!$H145</f>
        <v>BAYAUCA</v>
      </c>
      <c r="C147" s="7" t="s">
        <v>33</v>
      </c>
      <c r="D147" s="9" t="str">
        <f>+'[1]BASE RED COMERCIAL'!$E145</f>
        <v>15 DE MAYO</v>
      </c>
      <c r="E147" s="7">
        <f>+'[1]BASE RED COMERCIAL'!$F145</f>
        <v>0</v>
      </c>
      <c r="F147" s="14" t="str">
        <f>+'[1]BASE RED COMERCIAL'!$I145</f>
        <v>B6078ZAA</v>
      </c>
      <c r="G147" s="7" t="str">
        <f>+'[1]BASE RED COMERCIAL'!$D145</f>
        <v>BAYAUCA</v>
      </c>
      <c r="H147" s="7" t="str">
        <f>+'[1]BASE RED COMERCIAL'!$B145</f>
        <v>BUENOS AIRES</v>
      </c>
      <c r="I147" s="8" t="str">
        <f>+'[1]BASE RED COMERCIAL'!$C145</f>
        <v>LINCOLN</v>
      </c>
      <c r="J147" s="10"/>
      <c r="K147" s="10"/>
    </row>
    <row r="148" spans="1:11" x14ac:dyDescent="0.25">
      <c r="A148" s="14" t="str">
        <f>+'[1]BASE RED COMERCIAL'!$A146</f>
        <v>B0317</v>
      </c>
      <c r="B148" s="8" t="str">
        <f>+'[1]BASE RED COMERCIAL'!$H146</f>
        <v>BERUTTI</v>
      </c>
      <c r="C148" s="7" t="s">
        <v>33</v>
      </c>
      <c r="D148" s="9" t="str">
        <f>+'[1]BASE RED COMERCIAL'!$E146</f>
        <v>GRAL CORNELIO SAAVEDRA</v>
      </c>
      <c r="E148" s="7">
        <f>+'[1]BASE RED COMERCIAL'!$F146</f>
        <v>551</v>
      </c>
      <c r="F148" s="14" t="str">
        <f>+'[1]BASE RED COMERCIAL'!$I146</f>
        <v>B6424ZAA</v>
      </c>
      <c r="G148" s="7" t="str">
        <f>+'[1]BASE RED COMERCIAL'!$D146</f>
        <v>BERUTI</v>
      </c>
      <c r="H148" s="7" t="str">
        <f>+'[1]BASE RED COMERCIAL'!$B146</f>
        <v>BUENOS AIRES</v>
      </c>
      <c r="I148" s="8" t="str">
        <f>+'[1]BASE RED COMERCIAL'!$C146</f>
        <v>TRENQUE LAUQUEN</v>
      </c>
      <c r="J148" s="10"/>
      <c r="K148" s="10"/>
    </row>
    <row r="149" spans="1:11" x14ac:dyDescent="0.25">
      <c r="A149" s="14" t="str">
        <f>+'[1]BASE RED COMERCIAL'!$A147</f>
        <v>B0318</v>
      </c>
      <c r="B149" s="8" t="str">
        <f>+'[1]BASE RED COMERCIAL'!$H147</f>
        <v>BLAQUIER</v>
      </c>
      <c r="C149" s="7" t="s">
        <v>33</v>
      </c>
      <c r="D149" s="9" t="str">
        <f>+'[1]BASE RED COMERCIAL'!$E147</f>
        <v>CORDOBA</v>
      </c>
      <c r="E149" s="7">
        <f>+'[1]BASE RED COMERCIAL'!$F147</f>
        <v>174</v>
      </c>
      <c r="F149" s="14" t="str">
        <f>+'[1]BASE RED COMERCIAL'!$I147</f>
        <v>B6065ZAA</v>
      </c>
      <c r="G149" s="7" t="str">
        <f>+'[1]BASE RED COMERCIAL'!$D147</f>
        <v>BLAQUIER</v>
      </c>
      <c r="H149" s="7" t="str">
        <f>+'[1]BASE RED COMERCIAL'!$B147</f>
        <v>BUENOS AIRES</v>
      </c>
      <c r="I149" s="8" t="str">
        <f>+'[1]BASE RED COMERCIAL'!$C147</f>
        <v>FLORENTINO AMEGHINO</v>
      </c>
      <c r="J149" s="10"/>
      <c r="K149" s="10"/>
    </row>
    <row r="150" spans="1:11" x14ac:dyDescent="0.25">
      <c r="A150" s="14" t="str">
        <f>+'[1]BASE RED COMERCIAL'!$A148</f>
        <v>B0319</v>
      </c>
      <c r="B150" s="8" t="str">
        <f>+'[1]BASE RED COMERCIAL'!$H148</f>
        <v>BOLIVAR</v>
      </c>
      <c r="C150" s="7" t="s">
        <v>33</v>
      </c>
      <c r="D150" s="9" t="str">
        <f>+'[1]BASE RED COMERCIAL'!$E148</f>
        <v>GRAL ALVEAR</v>
      </c>
      <c r="E150" s="7">
        <f>+'[1]BASE RED COMERCIAL'!$F148</f>
        <v>202</v>
      </c>
      <c r="F150" s="14" t="str">
        <f>+'[1]BASE RED COMERCIAL'!$I148</f>
        <v>B6550ZAA</v>
      </c>
      <c r="G150" s="7" t="str">
        <f>+'[1]BASE RED COMERCIAL'!$D148</f>
        <v>BOLIVAR</v>
      </c>
      <c r="H150" s="7" t="str">
        <f>+'[1]BASE RED COMERCIAL'!$B148</f>
        <v>BUENOS AIRES</v>
      </c>
      <c r="I150" s="8" t="str">
        <f>+'[1]BASE RED COMERCIAL'!$C148</f>
        <v>BOLIVAR</v>
      </c>
      <c r="J150" s="10"/>
      <c r="K150" s="10"/>
    </row>
    <row r="151" spans="1:11" x14ac:dyDescent="0.25">
      <c r="A151" s="14" t="str">
        <f>+'[1]BASE RED COMERCIAL'!$A149</f>
        <v>B0320</v>
      </c>
      <c r="B151" s="8" t="str">
        <f>+'[1]BASE RED COMERCIAL'!$H149</f>
        <v>BRAGADO</v>
      </c>
      <c r="C151" s="7" t="s">
        <v>33</v>
      </c>
      <c r="D151" s="9" t="str">
        <f>+'[1]BASE RED COMERCIAL'!$E149</f>
        <v>DR MANUEL BELGRANO</v>
      </c>
      <c r="E151" s="7">
        <f>+'[1]BASE RED COMERCIAL'!$F149</f>
        <v>1101</v>
      </c>
      <c r="F151" s="14" t="str">
        <f>+'[1]BASE RED COMERCIAL'!$I149</f>
        <v>B6640ZAA</v>
      </c>
      <c r="G151" s="7" t="str">
        <f>+'[1]BASE RED COMERCIAL'!$D149</f>
        <v>BRAGADO</v>
      </c>
      <c r="H151" s="7" t="str">
        <f>+'[1]BASE RED COMERCIAL'!$B149</f>
        <v>BUENOS AIRES</v>
      </c>
      <c r="I151" s="8" t="str">
        <f>+'[1]BASE RED COMERCIAL'!$C149</f>
        <v>BRAGADO</v>
      </c>
      <c r="J151" s="10"/>
      <c r="K151" s="10"/>
    </row>
    <row r="152" spans="1:11" x14ac:dyDescent="0.25">
      <c r="A152" s="14" t="str">
        <f>+'[1]BASE RED COMERCIAL'!$A150</f>
        <v>B0321</v>
      </c>
      <c r="B152" s="8" t="str">
        <f>+'[1]BASE RED COMERCIAL'!$H150</f>
        <v>CAÃ‘ADA SECA</v>
      </c>
      <c r="C152" s="7" t="s">
        <v>33</v>
      </c>
      <c r="D152" s="9" t="str">
        <f>+'[1]BASE RED COMERCIAL'!$E150</f>
        <v>JUAN B ALBERDI</v>
      </c>
      <c r="E152" s="7">
        <f>+'[1]BASE RED COMERCIAL'!$F150</f>
        <v>317</v>
      </c>
      <c r="F152" s="14" t="str">
        <f>+'[1]BASE RED COMERCIAL'!$I150</f>
        <v>B6105ZAA</v>
      </c>
      <c r="G152" s="7" t="str">
        <f>+'[1]BASE RED COMERCIAL'!$D150</f>
        <v>CAÃ‘ADA SECA</v>
      </c>
      <c r="H152" s="7" t="str">
        <f>+'[1]BASE RED COMERCIAL'!$B150</f>
        <v>BUENOS AIRES</v>
      </c>
      <c r="I152" s="8" t="str">
        <f>+'[1]BASE RED COMERCIAL'!$C150</f>
        <v>GENERAL VILLEGAS</v>
      </c>
      <c r="J152" s="10"/>
      <c r="K152" s="10"/>
    </row>
    <row r="153" spans="1:11" x14ac:dyDescent="0.25">
      <c r="A153" s="14" t="str">
        <f>+'[1]BASE RED COMERCIAL'!$A151</f>
        <v>B0322</v>
      </c>
      <c r="B153" s="8" t="str">
        <f>+'[1]BASE RED COMERCIAL'!$H151</f>
        <v>CARLOS CASARES</v>
      </c>
      <c r="C153" s="7" t="s">
        <v>33</v>
      </c>
      <c r="D153" s="9" t="str">
        <f>+'[1]BASE RED COMERCIAL'!$E151</f>
        <v>AV ANTONIO MAYA</v>
      </c>
      <c r="E153" s="7">
        <f>+'[1]BASE RED COMERCIAL'!$F151</f>
        <v>253</v>
      </c>
      <c r="F153" s="14" t="str">
        <f>+'[1]BASE RED COMERCIAL'!$I151</f>
        <v>B6530ZAA</v>
      </c>
      <c r="G153" s="7" t="str">
        <f>+'[1]BASE RED COMERCIAL'!$D151</f>
        <v>CARLOS CASARES</v>
      </c>
      <c r="H153" s="7" t="str">
        <f>+'[1]BASE RED COMERCIAL'!$B151</f>
        <v>BUENOS AIRES</v>
      </c>
      <c r="I153" s="8" t="str">
        <f>+'[1]BASE RED COMERCIAL'!$C151</f>
        <v>CARLOS CASARES</v>
      </c>
      <c r="J153" s="10"/>
      <c r="K153" s="10"/>
    </row>
    <row r="154" spans="1:11" x14ac:dyDescent="0.25">
      <c r="A154" s="14" t="str">
        <f>+'[1]BASE RED COMERCIAL'!$A152</f>
        <v>B0323</v>
      </c>
      <c r="B154" s="8" t="str">
        <f>+'[1]BASE RED COMERCIAL'!$H152</f>
        <v>CARLOS M. NAON</v>
      </c>
      <c r="C154" s="7" t="s">
        <v>33</v>
      </c>
      <c r="D154" s="9" t="str">
        <f>+'[1]BASE RED COMERCIAL'!$E152</f>
        <v>11 DE NOVIEMBRE</v>
      </c>
      <c r="E154" s="7">
        <f>+'[1]BASE RED COMERCIAL'!$F152</f>
        <v>0</v>
      </c>
      <c r="F154" s="14" t="str">
        <f>+'[1]BASE RED COMERCIAL'!$I152</f>
        <v>B6515ZAA</v>
      </c>
      <c r="G154" s="7" t="str">
        <f>+'[1]BASE RED COMERCIAL'!$D152</f>
        <v>CARLOS MARIA NAON</v>
      </c>
      <c r="H154" s="7" t="str">
        <f>+'[1]BASE RED COMERCIAL'!$B152</f>
        <v>BUENOS AIRES</v>
      </c>
      <c r="I154" s="8" t="str">
        <f>+'[1]BASE RED COMERCIAL'!$C152</f>
        <v>9 DE JULIO</v>
      </c>
      <c r="J154" s="10"/>
      <c r="K154" s="10"/>
    </row>
    <row r="155" spans="1:11" x14ac:dyDescent="0.25">
      <c r="A155" s="14" t="str">
        <f>+'[1]BASE RED COMERCIAL'!$A153</f>
        <v>B0324</v>
      </c>
      <c r="B155" s="8" t="str">
        <f>+'[1]BASE RED COMERCIAL'!$H153</f>
        <v>CARLOS TEJEDOR</v>
      </c>
      <c r="C155" s="7" t="s">
        <v>33</v>
      </c>
      <c r="D155" s="9" t="str">
        <f>+'[1]BASE RED COMERCIAL'!$E153</f>
        <v>ESTEBAN Y SGO GARRE</v>
      </c>
      <c r="E155" s="7">
        <f>+'[1]BASE RED COMERCIAL'!$F153</f>
        <v>251</v>
      </c>
      <c r="F155" s="14" t="str">
        <f>+'[1]BASE RED COMERCIAL'!$I153</f>
        <v>B6455ZAA</v>
      </c>
      <c r="G155" s="7" t="str">
        <f>+'[1]BASE RED COMERCIAL'!$D153</f>
        <v>CARLOS TEJEDOR</v>
      </c>
      <c r="H155" s="7" t="str">
        <f>+'[1]BASE RED COMERCIAL'!$B153</f>
        <v>BUENOS AIRES</v>
      </c>
      <c r="I155" s="8" t="str">
        <f>+'[1]BASE RED COMERCIAL'!$C153</f>
        <v>CARLOS TEJEDOR</v>
      </c>
      <c r="J155" s="10"/>
      <c r="K155" s="10"/>
    </row>
    <row r="156" spans="1:11" x14ac:dyDescent="0.25">
      <c r="A156" s="14" t="str">
        <f>+'[1]BASE RED COMERCIAL'!$A154</f>
        <v>B0325</v>
      </c>
      <c r="B156" s="8" t="str">
        <f>+'[1]BASE RED COMERCIAL'!$H154</f>
        <v>CARMEN DE ARECO</v>
      </c>
      <c r="C156" s="7" t="s">
        <v>33</v>
      </c>
      <c r="D156" s="9" t="str">
        <f>+'[1]BASE RED COMERCIAL'!$E154</f>
        <v>AV DOMINGO SARMIENTO</v>
      </c>
      <c r="E156" s="7">
        <f>+'[1]BASE RED COMERCIAL'!$F154</f>
        <v>621</v>
      </c>
      <c r="F156" s="14" t="str">
        <f>+'[1]BASE RED COMERCIAL'!$I154</f>
        <v>B6725ZAA</v>
      </c>
      <c r="G156" s="7" t="str">
        <f>+'[1]BASE RED COMERCIAL'!$D154</f>
        <v>CARMEN DE ARECO</v>
      </c>
      <c r="H156" s="7" t="str">
        <f>+'[1]BASE RED COMERCIAL'!$B154</f>
        <v>BUENOS AIRES</v>
      </c>
      <c r="I156" s="8" t="str">
        <f>+'[1]BASE RED COMERCIAL'!$C154</f>
        <v>CARMEN DE ARECO</v>
      </c>
      <c r="J156" s="10"/>
      <c r="K156" s="10"/>
    </row>
    <row r="157" spans="1:11" x14ac:dyDescent="0.25">
      <c r="A157" s="14" t="str">
        <f>+'[1]BASE RED COMERCIAL'!$A155</f>
        <v>B0327</v>
      </c>
      <c r="B157" s="8" t="str">
        <f>+'[1]BASE RED COMERCIAL'!$H155</f>
        <v>CHACABUCO</v>
      </c>
      <c r="C157" s="7" t="s">
        <v>33</v>
      </c>
      <c r="D157" s="9" t="str">
        <f>+'[1]BASE RED COMERCIAL'!$E155</f>
        <v>JUAN B ALBERDI</v>
      </c>
      <c r="E157" s="7">
        <f>+'[1]BASE RED COMERCIAL'!$F155</f>
        <v>57</v>
      </c>
      <c r="F157" s="14" t="str">
        <f>+'[1]BASE RED COMERCIAL'!$I155</f>
        <v>B6740ZAA</v>
      </c>
      <c r="G157" s="7" t="str">
        <f>+'[1]BASE RED COMERCIAL'!$D155</f>
        <v>CHACABUCO</v>
      </c>
      <c r="H157" s="7" t="str">
        <f>+'[1]BASE RED COMERCIAL'!$B155</f>
        <v>BUENOS AIRES</v>
      </c>
      <c r="I157" s="8" t="str">
        <f>+'[1]BASE RED COMERCIAL'!$C155</f>
        <v>CHACABUCO</v>
      </c>
      <c r="J157" s="10"/>
      <c r="K157" s="10"/>
    </row>
    <row r="158" spans="1:11" x14ac:dyDescent="0.25">
      <c r="A158" s="14" t="str">
        <f>+'[1]BASE RED COMERCIAL'!$A156</f>
        <v>B0328</v>
      </c>
      <c r="B158" s="8" t="str">
        <f>+'[1]BASE RED COMERCIAL'!$H156</f>
        <v>CHIVILCOY</v>
      </c>
      <c r="C158" s="7" t="s">
        <v>33</v>
      </c>
      <c r="D158" s="9" t="str">
        <f>+'[1]BASE RED COMERCIAL'!$E156</f>
        <v>MANUEL BELGRANO</v>
      </c>
      <c r="E158" s="7">
        <f>+'[1]BASE RED COMERCIAL'!$F156</f>
        <v>7</v>
      </c>
      <c r="F158" s="14" t="str">
        <f>+'[1]BASE RED COMERCIAL'!$I156</f>
        <v>B6620ZAA</v>
      </c>
      <c r="G158" s="7" t="str">
        <f>+'[1]BASE RED COMERCIAL'!$D156</f>
        <v>CHIVILCOY</v>
      </c>
      <c r="H158" s="7" t="str">
        <f>+'[1]BASE RED COMERCIAL'!$B156</f>
        <v>BUENOS AIRES</v>
      </c>
      <c r="I158" s="8" t="str">
        <f>+'[1]BASE RED COMERCIAL'!$C156</f>
        <v>CHIVILCOY</v>
      </c>
      <c r="J158" s="10"/>
      <c r="K158" s="10"/>
    </row>
    <row r="159" spans="1:11" x14ac:dyDescent="0.25">
      <c r="A159" s="14" t="str">
        <f>+'[1]BASE RED COMERCIAL'!$A157</f>
        <v>B0330</v>
      </c>
      <c r="B159" s="8" t="str">
        <f>+'[1]BASE RED COMERCIAL'!$H157</f>
        <v>CNEL. CHARLONE</v>
      </c>
      <c r="C159" s="7" t="s">
        <v>33</v>
      </c>
      <c r="D159" s="9" t="str">
        <f>+'[1]BASE RED COMERCIAL'!$E157</f>
        <v>CNEL ANZOATEGUI</v>
      </c>
      <c r="E159" s="7">
        <f>+'[1]BASE RED COMERCIAL'!$F157</f>
        <v>0</v>
      </c>
      <c r="F159" s="14" t="str">
        <f>+'[1]BASE RED COMERCIAL'!$I157</f>
        <v>B6223ZAA</v>
      </c>
      <c r="G159" s="7" t="str">
        <f>+'[1]BASE RED COMERCIAL'!$D157</f>
        <v>CORONEL CHARLONE</v>
      </c>
      <c r="H159" s="7" t="str">
        <f>+'[1]BASE RED COMERCIAL'!$B157</f>
        <v>BUENOS AIRES</v>
      </c>
      <c r="I159" s="8" t="str">
        <f>+'[1]BASE RED COMERCIAL'!$C157</f>
        <v>GENERAL VILLEGAS</v>
      </c>
      <c r="J159" s="10"/>
      <c r="K159" s="10"/>
    </row>
    <row r="160" spans="1:11" x14ac:dyDescent="0.25">
      <c r="A160" s="14" t="str">
        <f>+'[1]BASE RED COMERCIAL'!$A158</f>
        <v>B0331</v>
      </c>
      <c r="B160" s="8" t="str">
        <f>+'[1]BASE RED COMERCIAL'!$H158</f>
        <v>CNEL. GRANADA</v>
      </c>
      <c r="C160" s="7" t="s">
        <v>33</v>
      </c>
      <c r="D160" s="9" t="str">
        <f>+'[1]BASE RED COMERCIAL'!$E158</f>
        <v>ALMAFUERTE</v>
      </c>
      <c r="E160" s="7">
        <f>+'[1]BASE RED COMERCIAL'!$F158</f>
        <v>0</v>
      </c>
      <c r="F160" s="14" t="str">
        <f>+'[1]BASE RED COMERCIAL'!$I158</f>
        <v>B6062ZAA</v>
      </c>
      <c r="G160" s="7" t="str">
        <f>+'[1]BASE RED COMERCIAL'!$D158</f>
        <v>CORONEL GRANADA</v>
      </c>
      <c r="H160" s="7" t="str">
        <f>+'[1]BASE RED COMERCIAL'!$B158</f>
        <v>BUENOS AIRES</v>
      </c>
      <c r="I160" s="8" t="str">
        <f>+'[1]BASE RED COMERCIAL'!$C158</f>
        <v>GENERAL PINTO</v>
      </c>
      <c r="J160" s="10"/>
      <c r="K160" s="10"/>
    </row>
    <row r="161" spans="1:11" x14ac:dyDescent="0.25">
      <c r="A161" s="14" t="str">
        <f>+'[1]BASE RED COMERCIAL'!$A159</f>
        <v>B0332</v>
      </c>
      <c r="B161" s="8" t="str">
        <f>+'[1]BASE RED COMERCIAL'!$H159</f>
        <v>CORONEL MOM</v>
      </c>
      <c r="C161" s="7" t="s">
        <v>33</v>
      </c>
      <c r="D161" s="9" t="str">
        <f>+'[1]BASE RED COMERCIAL'!$E159</f>
        <v>SUIPACHA</v>
      </c>
      <c r="E161" s="7">
        <f>+'[1]BASE RED COMERCIAL'!$F159</f>
        <v>245</v>
      </c>
      <c r="F161" s="14" t="str">
        <f>+'[1]BASE RED COMERCIAL'!$I159</f>
        <v>B6628ZAA</v>
      </c>
      <c r="G161" s="7" t="str">
        <f>+'[1]BASE RED COMERCIAL'!$D159</f>
        <v>CORONEL MOM</v>
      </c>
      <c r="H161" s="7" t="str">
        <f>+'[1]BASE RED COMERCIAL'!$B159</f>
        <v>BUENOS AIRES</v>
      </c>
      <c r="I161" s="8" t="str">
        <f>+'[1]BASE RED COMERCIAL'!$C159</f>
        <v>ALBERTI</v>
      </c>
      <c r="J161" s="10"/>
      <c r="K161" s="10"/>
    </row>
    <row r="162" spans="1:11" x14ac:dyDescent="0.25">
      <c r="A162" s="14" t="str">
        <f>+'[1]BASE RED COMERCIAL'!$A160</f>
        <v>B0333</v>
      </c>
      <c r="B162" s="8" t="str">
        <f>+'[1]BASE RED COMERCIAL'!$H160</f>
        <v>DEL VALLE</v>
      </c>
      <c r="C162" s="7" t="s">
        <v>33</v>
      </c>
      <c r="D162" s="9" t="str">
        <f>+'[1]BASE RED COMERCIAL'!$E160</f>
        <v>GRAL M DE AZCUENAGA</v>
      </c>
      <c r="E162" s="7">
        <f>+'[1]BASE RED COMERCIAL'!$F160</f>
        <v>0</v>
      </c>
      <c r="F162" s="14" t="str">
        <f>+'[1]BASE RED COMERCIAL'!$I160</f>
        <v>B6509ZAA</v>
      </c>
      <c r="G162" s="7" t="str">
        <f>+'[1]BASE RED COMERCIAL'!$D160</f>
        <v>DEL VALLE</v>
      </c>
      <c r="H162" s="7" t="str">
        <f>+'[1]BASE RED COMERCIAL'!$B160</f>
        <v>BUENOS AIRES</v>
      </c>
      <c r="I162" s="8" t="str">
        <f>+'[1]BASE RED COMERCIAL'!$C160</f>
        <v>25 DE MAYO</v>
      </c>
      <c r="J162" s="10"/>
      <c r="K162" s="10"/>
    </row>
    <row r="163" spans="1:11" x14ac:dyDescent="0.25">
      <c r="A163" s="14" t="str">
        <f>+'[1]BASE RED COMERCIAL'!$A161</f>
        <v>B0334</v>
      </c>
      <c r="B163" s="8" t="str">
        <f>+'[1]BASE RED COMERCIAL'!$H161</f>
        <v>DUDIGNAC</v>
      </c>
      <c r="C163" s="7" t="s">
        <v>33</v>
      </c>
      <c r="D163" s="9" t="str">
        <f>+'[1]BASE RED COMERCIAL'!$E161</f>
        <v>DR A SAMPIETRO</v>
      </c>
      <c r="E163" s="7">
        <f>+'[1]BASE RED COMERCIAL'!$F161</f>
        <v>633</v>
      </c>
      <c r="F163" s="14" t="str">
        <f>+'[1]BASE RED COMERCIAL'!$I161</f>
        <v>B6505ZAA</v>
      </c>
      <c r="G163" s="7" t="str">
        <f>+'[1]BASE RED COMERCIAL'!$D161</f>
        <v>DUDIGNAC</v>
      </c>
      <c r="H163" s="7" t="str">
        <f>+'[1]BASE RED COMERCIAL'!$B161</f>
        <v>BUENOS AIRES</v>
      </c>
      <c r="I163" s="8" t="str">
        <f>+'[1]BASE RED COMERCIAL'!$C161</f>
        <v>9 DE JULIO</v>
      </c>
      <c r="J163" s="10"/>
      <c r="K163" s="10"/>
    </row>
    <row r="164" spans="1:11" x14ac:dyDescent="0.25">
      <c r="A164" s="14" t="str">
        <f>+'[1]BASE RED COMERCIAL'!$A162</f>
        <v>B0335</v>
      </c>
      <c r="B164" s="8" t="str">
        <f>+'[1]BASE RED COMERCIAL'!$H162</f>
        <v>EL TRIUNFO</v>
      </c>
      <c r="C164" s="7" t="s">
        <v>33</v>
      </c>
      <c r="D164" s="9" t="str">
        <f>+'[1]BASE RED COMERCIAL'!$E162</f>
        <v>AV GRAL SAN MARTIN</v>
      </c>
      <c r="E164" s="7">
        <f>+'[1]BASE RED COMERCIAL'!$F162</f>
        <v>129</v>
      </c>
      <c r="F164" s="14" t="str">
        <f>+'[1]BASE RED COMERCIAL'!$I162</f>
        <v>B6073ZAA</v>
      </c>
      <c r="G164" s="7" t="str">
        <f>+'[1]BASE RED COMERCIAL'!$D162</f>
        <v>EL TRIUNFO</v>
      </c>
      <c r="H164" s="7" t="str">
        <f>+'[1]BASE RED COMERCIAL'!$B162</f>
        <v>BUENOS AIRES</v>
      </c>
      <c r="I164" s="8" t="str">
        <f>+'[1]BASE RED COMERCIAL'!$C162</f>
        <v>LINCOLN</v>
      </c>
      <c r="J164" s="10"/>
      <c r="K164" s="10"/>
    </row>
    <row r="165" spans="1:11" x14ac:dyDescent="0.25">
      <c r="A165" s="14" t="str">
        <f>+'[1]BASE RED COMERCIAL'!$A163</f>
        <v>B0336</v>
      </c>
      <c r="B165" s="8" t="str">
        <f>+'[1]BASE RED COMERCIAL'!$H163</f>
        <v>E. V. BUNGE</v>
      </c>
      <c r="C165" s="7" t="s">
        <v>33</v>
      </c>
      <c r="D165" s="9" t="str">
        <f>+'[1]BASE RED COMERCIAL'!$E163</f>
        <v>AV EMILIO VICENTE BUNGE</v>
      </c>
      <c r="E165" s="7">
        <f>+'[1]BASE RED COMERCIAL'!$F163</f>
        <v>616</v>
      </c>
      <c r="F165" s="14" t="str">
        <f>+'[1]BASE RED COMERCIAL'!$I163</f>
        <v>B6241ZAA</v>
      </c>
      <c r="G165" s="7" t="str">
        <f>+'[1]BASE RED COMERCIAL'!$D163</f>
        <v>EMILIO BUNGE</v>
      </c>
      <c r="H165" s="7" t="str">
        <f>+'[1]BASE RED COMERCIAL'!$B163</f>
        <v>BUENOS AIRES</v>
      </c>
      <c r="I165" s="8" t="str">
        <f>+'[1]BASE RED COMERCIAL'!$C163</f>
        <v>GENERAL VILLEGAS</v>
      </c>
      <c r="J165" s="10"/>
      <c r="K165" s="10"/>
    </row>
    <row r="166" spans="1:11" x14ac:dyDescent="0.25">
      <c r="A166" s="14" t="str">
        <f>+'[1]BASE RED COMERCIAL'!$A164</f>
        <v>B0337</v>
      </c>
      <c r="B166" s="8" t="str">
        <f>+'[1]BASE RED COMERCIAL'!$H164</f>
        <v>FERRE</v>
      </c>
      <c r="C166" s="7" t="s">
        <v>33</v>
      </c>
      <c r="D166" s="9" t="str">
        <f>+'[1]BASE RED COMERCIAL'!$E164</f>
        <v>BUENOS AIRES</v>
      </c>
      <c r="E166" s="7">
        <f>+'[1]BASE RED COMERCIAL'!$F164</f>
        <v>187</v>
      </c>
      <c r="F166" s="14" t="str">
        <f>+'[1]BASE RED COMERCIAL'!$I164</f>
        <v>B6027ZAA</v>
      </c>
      <c r="G166" s="7" t="str">
        <f>+'[1]BASE RED COMERCIAL'!$D164</f>
        <v>FERRE</v>
      </c>
      <c r="H166" s="7" t="str">
        <f>+'[1]BASE RED COMERCIAL'!$B164</f>
        <v>BUENOS AIRES</v>
      </c>
      <c r="I166" s="8" t="str">
        <f>+'[1]BASE RED COMERCIAL'!$C164</f>
        <v>GENERAL ARENALES</v>
      </c>
      <c r="J166" s="10"/>
      <c r="K166" s="10"/>
    </row>
    <row r="167" spans="1:11" x14ac:dyDescent="0.25">
      <c r="A167" s="14" t="str">
        <f>+'[1]BASE RED COMERCIAL'!$A165</f>
        <v>B0338</v>
      </c>
      <c r="B167" s="8" t="str">
        <f>+'[1]BASE RED COMERCIAL'!$H165</f>
        <v>FORTIN OLAVARRIA</v>
      </c>
      <c r="C167" s="7" t="s">
        <v>33</v>
      </c>
      <c r="D167" s="9" t="str">
        <f>+'[1]BASE RED COMERCIAL'!$E165</f>
        <v>SARMIENTO</v>
      </c>
      <c r="E167" s="7">
        <f>+'[1]BASE RED COMERCIAL'!$F165</f>
        <v>1</v>
      </c>
      <c r="F167" s="14" t="str">
        <f>+'[1]BASE RED COMERCIAL'!$I165</f>
        <v>B6403ZAA</v>
      </c>
      <c r="G167" s="7" t="str">
        <f>+'[1]BASE RED COMERCIAL'!$D165</f>
        <v>FORTIN OLAVARRIA</v>
      </c>
      <c r="H167" s="7" t="str">
        <f>+'[1]BASE RED COMERCIAL'!$B165</f>
        <v>BUENOS AIRES</v>
      </c>
      <c r="I167" s="8" t="str">
        <f>+'[1]BASE RED COMERCIAL'!$C165</f>
        <v>RIVADAVIA</v>
      </c>
      <c r="J167" s="10"/>
      <c r="K167" s="10"/>
    </row>
    <row r="168" spans="1:11" x14ac:dyDescent="0.25">
      <c r="A168" s="14" t="str">
        <f>+'[1]BASE RED COMERCIAL'!$A166</f>
        <v>B0339</v>
      </c>
      <c r="B168" s="8" t="str">
        <f>+'[1]BASE RED COMERCIAL'!$H166</f>
        <v>FRANCISCO MADERO</v>
      </c>
      <c r="C168" s="7" t="s">
        <v>33</v>
      </c>
      <c r="D168" s="9" t="str">
        <f>+'[1]BASE RED COMERCIAL'!$E166</f>
        <v>PTE H YRIGOYEN</v>
      </c>
      <c r="E168" s="7">
        <f>+'[1]BASE RED COMERCIAL'!$F166</f>
        <v>1</v>
      </c>
      <c r="F168" s="14" t="str">
        <f>+'[1]BASE RED COMERCIAL'!$I166</f>
        <v>B6472ZAA</v>
      </c>
      <c r="G168" s="7" t="str">
        <f>+'[1]BASE RED COMERCIAL'!$D166</f>
        <v>FRANCISCO MADERO</v>
      </c>
      <c r="H168" s="7" t="str">
        <f>+'[1]BASE RED COMERCIAL'!$B166</f>
        <v>BUENOS AIRES</v>
      </c>
      <c r="I168" s="8" t="str">
        <f>+'[1]BASE RED COMERCIAL'!$C166</f>
        <v>PEHUAJO</v>
      </c>
      <c r="J168" s="10"/>
      <c r="K168" s="10"/>
    </row>
    <row r="169" spans="1:11" x14ac:dyDescent="0.25">
      <c r="A169" s="14" t="str">
        <f>+'[1]BASE RED COMERCIAL'!$A167</f>
        <v>B0340</v>
      </c>
      <c r="B169" s="8" t="str">
        <f>+'[1]BASE RED COMERCIAL'!$H167</f>
        <v>FRENCH</v>
      </c>
      <c r="C169" s="7" t="s">
        <v>33</v>
      </c>
      <c r="D169" s="9" t="str">
        <f>+'[1]BASE RED COMERCIAL'!$E167</f>
        <v>GRAL SAN MARTIN</v>
      </c>
      <c r="E169" s="7">
        <f>+'[1]BASE RED COMERCIAL'!$F167</f>
        <v>0</v>
      </c>
      <c r="F169" s="14" t="str">
        <f>+'[1]BASE RED COMERCIAL'!$I167</f>
        <v>B6516ZAA</v>
      </c>
      <c r="G169" s="7" t="str">
        <f>+'[1]BASE RED COMERCIAL'!$D167</f>
        <v>FRENCH</v>
      </c>
      <c r="H169" s="7" t="str">
        <f>+'[1]BASE RED COMERCIAL'!$B167</f>
        <v>BUENOS AIRES</v>
      </c>
      <c r="I169" s="8" t="str">
        <f>+'[1]BASE RED COMERCIAL'!$C167</f>
        <v>9 DE JULIO</v>
      </c>
      <c r="J169" s="10"/>
      <c r="K169" s="10"/>
    </row>
    <row r="170" spans="1:11" x14ac:dyDescent="0.25">
      <c r="A170" s="14" t="str">
        <f>+'[1]BASE RED COMERCIAL'!$A168</f>
        <v>B0341</v>
      </c>
      <c r="B170" s="8" t="str">
        <f>+'[1]BASE RED COMERCIAL'!$H168</f>
        <v>GRAL. ARENALES</v>
      </c>
      <c r="C170" s="7" t="s">
        <v>33</v>
      </c>
      <c r="D170" s="9" t="str">
        <f>+'[1]BASE RED COMERCIAL'!$E168</f>
        <v>AV DR VALENTIN CURUTCHET</v>
      </c>
      <c r="E170" s="7">
        <f>+'[1]BASE RED COMERCIAL'!$F168</f>
        <v>145</v>
      </c>
      <c r="F170" s="14" t="str">
        <f>+'[1]BASE RED COMERCIAL'!$I168</f>
        <v>B6005ZAA</v>
      </c>
      <c r="G170" s="7" t="str">
        <f>+'[1]BASE RED COMERCIAL'!$D168</f>
        <v>GENERAL ARENALES</v>
      </c>
      <c r="H170" s="7" t="str">
        <f>+'[1]BASE RED COMERCIAL'!$B168</f>
        <v>BUENOS AIRES</v>
      </c>
      <c r="I170" s="8" t="str">
        <f>+'[1]BASE RED COMERCIAL'!$C168</f>
        <v>GENERAL ARENALES</v>
      </c>
      <c r="J170" s="10"/>
      <c r="K170" s="10"/>
    </row>
    <row r="171" spans="1:11" x14ac:dyDescent="0.25">
      <c r="A171" s="14" t="str">
        <f>+'[1]BASE RED COMERCIAL'!$A169</f>
        <v>B0342</v>
      </c>
      <c r="B171" s="8" t="str">
        <f>+'[1]BASE RED COMERCIAL'!$H169</f>
        <v>GENERAL O BRIEN</v>
      </c>
      <c r="C171" s="7" t="s">
        <v>33</v>
      </c>
      <c r="D171" s="9" t="str">
        <f>+'[1]BASE RED COMERCIAL'!$E169</f>
        <v>25 DE MAYO</v>
      </c>
      <c r="E171" s="7">
        <f>+'[1]BASE RED COMERCIAL'!$F169</f>
        <v>48</v>
      </c>
      <c r="F171" s="14" t="str">
        <f>+'[1]BASE RED COMERCIAL'!$I169</f>
        <v>B6646ZAA</v>
      </c>
      <c r="G171" s="7" t="str">
        <f>+'[1]BASE RED COMERCIAL'!$D169</f>
        <v>GENERAL O BRIEN</v>
      </c>
      <c r="H171" s="7" t="str">
        <f>+'[1]BASE RED COMERCIAL'!$B169</f>
        <v>BUENOS AIRES</v>
      </c>
      <c r="I171" s="8" t="str">
        <f>+'[1]BASE RED COMERCIAL'!$C169</f>
        <v>BRAGADO</v>
      </c>
      <c r="J171" s="10"/>
      <c r="K171" s="10"/>
    </row>
    <row r="172" spans="1:11" x14ac:dyDescent="0.25">
      <c r="A172" s="14" t="str">
        <f>+'[1]BASE RED COMERCIAL'!$A170</f>
        <v>B0343</v>
      </c>
      <c r="B172" s="8" t="str">
        <f>+'[1]BASE RED COMERCIAL'!$H170</f>
        <v>GRAL. PINTO</v>
      </c>
      <c r="C172" s="7" t="s">
        <v>33</v>
      </c>
      <c r="D172" s="9" t="str">
        <f>+'[1]BASE RED COMERCIAL'!$E170</f>
        <v>AV GRAL SAN MARTIN</v>
      </c>
      <c r="E172" s="7">
        <f>+'[1]BASE RED COMERCIAL'!$F170</f>
        <v>339</v>
      </c>
      <c r="F172" s="14" t="str">
        <f>+'[1]BASE RED COMERCIAL'!$I170</f>
        <v>B6050ZAA</v>
      </c>
      <c r="G172" s="7" t="str">
        <f>+'[1]BASE RED COMERCIAL'!$D170</f>
        <v>GENERAL PINTO</v>
      </c>
      <c r="H172" s="7" t="str">
        <f>+'[1]BASE RED COMERCIAL'!$B170</f>
        <v>BUENOS AIRES</v>
      </c>
      <c r="I172" s="8" t="str">
        <f>+'[1]BASE RED COMERCIAL'!$C170</f>
        <v>GENERAL PINTO</v>
      </c>
      <c r="J172" s="10"/>
      <c r="K172" s="10"/>
    </row>
    <row r="173" spans="1:11" x14ac:dyDescent="0.25">
      <c r="A173" s="14" t="str">
        <f>+'[1]BASE RED COMERCIAL'!$A171</f>
        <v>B0344</v>
      </c>
      <c r="B173" s="8" t="str">
        <f>+'[1]BASE RED COMERCIAL'!$H171</f>
        <v>GRAL. RODRIGUEZ</v>
      </c>
      <c r="C173" s="7" t="s">
        <v>33</v>
      </c>
      <c r="D173" s="9" t="str">
        <f>+'[1]BASE RED COMERCIAL'!$E171</f>
        <v>AV DEL LIB G SAN MARTIN</v>
      </c>
      <c r="E173" s="7">
        <f>+'[1]BASE RED COMERCIAL'!$F171</f>
        <v>233</v>
      </c>
      <c r="F173" s="14" t="str">
        <f>+'[1]BASE RED COMERCIAL'!$I171</f>
        <v>B1748ZAA</v>
      </c>
      <c r="G173" s="7" t="str">
        <f>+'[1]BASE RED COMERCIAL'!$D171</f>
        <v>GENERAL RODRIGUEZ</v>
      </c>
      <c r="H173" s="7" t="str">
        <f>+'[1]BASE RED COMERCIAL'!$B171</f>
        <v>BUENOS AIRES</v>
      </c>
      <c r="I173" s="8" t="str">
        <f>+'[1]BASE RED COMERCIAL'!$C171</f>
        <v>GENERAL RODRIGUEZ</v>
      </c>
      <c r="J173" s="10"/>
      <c r="K173" s="10"/>
    </row>
    <row r="174" spans="1:11" x14ac:dyDescent="0.25">
      <c r="A174" s="14" t="str">
        <f>+'[1]BASE RED COMERCIAL'!$A172</f>
        <v>B0345</v>
      </c>
      <c r="B174" s="8" t="str">
        <f>+'[1]BASE RED COMERCIAL'!$H172</f>
        <v>GRAL. VILLEGAS</v>
      </c>
      <c r="C174" s="7" t="s">
        <v>33</v>
      </c>
      <c r="D174" s="9" t="str">
        <f>+'[1]BASE RED COMERCIAL'!$E172</f>
        <v>GRAL SAN MARTIN</v>
      </c>
      <c r="E174" s="7">
        <f>+'[1]BASE RED COMERCIAL'!$F172</f>
        <v>453</v>
      </c>
      <c r="F174" s="14" t="str">
        <f>+'[1]BASE RED COMERCIAL'!$I172</f>
        <v>B6230ZAA</v>
      </c>
      <c r="G174" s="7" t="str">
        <f>+'[1]BASE RED COMERCIAL'!$D172</f>
        <v>GENERAL VILLEGAS</v>
      </c>
      <c r="H174" s="7" t="str">
        <f>+'[1]BASE RED COMERCIAL'!$B172</f>
        <v>BUENOS AIRES</v>
      </c>
      <c r="I174" s="8" t="str">
        <f>+'[1]BASE RED COMERCIAL'!$C172</f>
        <v>GENERAL VILLEGAS</v>
      </c>
      <c r="J174" s="10"/>
      <c r="K174" s="10"/>
    </row>
    <row r="175" spans="1:11" x14ac:dyDescent="0.25">
      <c r="A175" s="14" t="str">
        <f>+'[1]BASE RED COMERCIAL'!$A173</f>
        <v>B0346</v>
      </c>
      <c r="B175" s="8" t="str">
        <f>+'[1]BASE RED COMERCIAL'!$H173</f>
        <v>GERMANIA</v>
      </c>
      <c r="C175" s="7" t="s">
        <v>33</v>
      </c>
      <c r="D175" s="9" t="str">
        <f>+'[1]BASE RED COMERCIAL'!$E173</f>
        <v>BUENOS AIRES</v>
      </c>
      <c r="E175" s="7">
        <f>+'[1]BASE RED COMERCIAL'!$F173</f>
        <v>677</v>
      </c>
      <c r="F175" s="14" t="str">
        <f>+'[1]BASE RED COMERCIAL'!$I173</f>
        <v>B6053ZAA</v>
      </c>
      <c r="G175" s="7" t="str">
        <f>+'[1]BASE RED COMERCIAL'!$D173</f>
        <v>GERMANIA</v>
      </c>
      <c r="H175" s="7" t="str">
        <f>+'[1]BASE RED COMERCIAL'!$B173</f>
        <v>BUENOS AIRES</v>
      </c>
      <c r="I175" s="8" t="str">
        <f>+'[1]BASE RED COMERCIAL'!$C173</f>
        <v>GENERAL PINTO</v>
      </c>
      <c r="J175" s="10"/>
      <c r="K175" s="10"/>
    </row>
    <row r="176" spans="1:11" x14ac:dyDescent="0.25">
      <c r="A176" s="14" t="str">
        <f>+'[1]BASE RED COMERCIAL'!$A174</f>
        <v>B0347</v>
      </c>
      <c r="B176" s="8" t="str">
        <f>+'[1]BASE RED COMERCIAL'!$H174</f>
        <v>GOB. UGARTE</v>
      </c>
      <c r="C176" s="7" t="s">
        <v>33</v>
      </c>
      <c r="D176" s="9" t="str">
        <f>+'[1]BASE RED COMERCIAL'!$E174</f>
        <v>GRAL M BELGRANO</v>
      </c>
      <c r="E176" s="7">
        <f>+'[1]BASE RED COMERCIAL'!$F174</f>
        <v>209</v>
      </c>
      <c r="F176" s="14" t="str">
        <f>+'[1]BASE RED COMERCIAL'!$I174</f>
        <v>B6621ZAA</v>
      </c>
      <c r="G176" s="7" t="str">
        <f>+'[1]BASE RED COMERCIAL'!$D174</f>
        <v>GOBERNADOR UGARTE</v>
      </c>
      <c r="H176" s="7" t="str">
        <f>+'[1]BASE RED COMERCIAL'!$B174</f>
        <v>BUENOS AIRES</v>
      </c>
      <c r="I176" s="8" t="str">
        <f>+'[1]BASE RED COMERCIAL'!$C174</f>
        <v>25 DE MAYO</v>
      </c>
      <c r="J176" s="10"/>
      <c r="K176" s="10"/>
    </row>
    <row r="177" spans="1:28" x14ac:dyDescent="0.25">
      <c r="A177" s="14" t="str">
        <f>+'[1]BASE RED COMERCIAL'!$A175</f>
        <v>B0348</v>
      </c>
      <c r="B177" s="8" t="str">
        <f>+'[1]BASE RED COMERCIAL'!$H175</f>
        <v>GONZALEZ MORENO</v>
      </c>
      <c r="C177" s="7" t="s">
        <v>33</v>
      </c>
      <c r="D177" s="9" t="str">
        <f>+'[1]BASE RED COMERCIAL'!$E175</f>
        <v>DR PEDRO BARGERO</v>
      </c>
      <c r="E177" s="7">
        <f>+'[1]BASE RED COMERCIAL'!$F175</f>
        <v>499</v>
      </c>
      <c r="F177" s="14" t="str">
        <f>+'[1]BASE RED COMERCIAL'!$I175</f>
        <v>B6239ZAA</v>
      </c>
      <c r="G177" s="7" t="str">
        <f>+'[1]BASE RED COMERCIAL'!$D175</f>
        <v>GONZALEZ MORENO</v>
      </c>
      <c r="H177" s="7" t="str">
        <f>+'[1]BASE RED COMERCIAL'!$B175</f>
        <v>BUENOS AIRES</v>
      </c>
      <c r="I177" s="8" t="str">
        <f>+'[1]BASE RED COMERCIAL'!$C175</f>
        <v>RIVADAVIA</v>
      </c>
      <c r="J177" s="10"/>
      <c r="K177" s="10"/>
    </row>
    <row r="178" spans="1:28" x14ac:dyDescent="0.25">
      <c r="A178" s="14" t="str">
        <f>+'[1]BASE RED COMERCIAL'!$A176</f>
        <v>B0349</v>
      </c>
      <c r="B178" s="8" t="str">
        <f>+'[1]BASE RED COMERCIAL'!$H176</f>
        <v>SAN BERNARDO</v>
      </c>
      <c r="C178" s="7" t="s">
        <v>33</v>
      </c>
      <c r="D178" s="9" t="str">
        <f>+'[1]BASE RED COMERCIAL'!$E176</f>
        <v>PTE GRAL JULIO A ROCA</v>
      </c>
      <c r="E178" s="7">
        <f>+'[1]BASE RED COMERCIAL'!$F176</f>
        <v>0</v>
      </c>
      <c r="F178" s="14" t="str">
        <f>+'[1]BASE RED COMERCIAL'!$I176</f>
        <v>B6476ZAA</v>
      </c>
      <c r="G178" s="7" t="str">
        <f>+'[1]BASE RED COMERCIAL'!$D176</f>
        <v>SAN BERNARDO</v>
      </c>
      <c r="H178" s="7" t="str">
        <f>+'[1]BASE RED COMERCIAL'!$B176</f>
        <v>BUENOS AIRES</v>
      </c>
      <c r="I178" s="8" t="str">
        <f>+'[1]BASE RED COMERCIAL'!$C176</f>
        <v>PEHUAJO</v>
      </c>
      <c r="J178" s="10"/>
      <c r="K178" s="10"/>
    </row>
    <row r="179" spans="1:28" x14ac:dyDescent="0.25">
      <c r="A179" s="14" t="str">
        <f>+'[1]BASE RED COMERCIAL'!$A177</f>
        <v>B0350</v>
      </c>
      <c r="B179" s="8" t="str">
        <f>+'[1]BASE RED COMERCIAL'!$H177</f>
        <v>HENDERSON</v>
      </c>
      <c r="C179" s="7" t="s">
        <v>33</v>
      </c>
      <c r="D179" s="9" t="str">
        <f>+'[1]BASE RED COMERCIAL'!$E177</f>
        <v>ALMAFUERTE</v>
      </c>
      <c r="E179" s="7">
        <f>+'[1]BASE RED COMERCIAL'!$F177</f>
        <v>601</v>
      </c>
      <c r="F179" s="14" t="str">
        <f>+'[1]BASE RED COMERCIAL'!$I177</f>
        <v>B6465ZAA</v>
      </c>
      <c r="G179" s="7" t="str">
        <f>+'[1]BASE RED COMERCIAL'!$D177</f>
        <v>HENDERSON</v>
      </c>
      <c r="H179" s="7" t="str">
        <f>+'[1]BASE RED COMERCIAL'!$B177</f>
        <v>BUENOS AIRES</v>
      </c>
      <c r="I179" s="8" t="str">
        <f>+'[1]BASE RED COMERCIAL'!$C177</f>
        <v>HIPOLITO YRIGOYEN</v>
      </c>
      <c r="J179" s="10"/>
      <c r="K179" s="10"/>
    </row>
    <row r="180" spans="1:28" x14ac:dyDescent="0.25">
      <c r="A180" s="14" t="str">
        <f>+'[1]BASE RED COMERCIAL'!$A178</f>
        <v>B0351</v>
      </c>
      <c r="B180" s="8" t="str">
        <f>+'[1]BASE RED COMERCIAL'!$H178</f>
        <v>INES INDART</v>
      </c>
      <c r="C180" s="7" t="s">
        <v>33</v>
      </c>
      <c r="D180" s="9" t="str">
        <f>+'[1]BASE RED COMERCIAL'!$E178</f>
        <v>TORNATORE</v>
      </c>
      <c r="E180" s="7">
        <f>+'[1]BASE RED COMERCIAL'!$F178</f>
        <v>128</v>
      </c>
      <c r="F180" s="14" t="str">
        <f>+'[1]BASE RED COMERCIAL'!$I178</f>
        <v>B2747ZAA</v>
      </c>
      <c r="G180" s="7" t="str">
        <f>+'[1]BASE RED COMERCIAL'!$D178</f>
        <v>INES INDART</v>
      </c>
      <c r="H180" s="7" t="str">
        <f>+'[1]BASE RED COMERCIAL'!$B178</f>
        <v>BUENOS AIRES</v>
      </c>
      <c r="I180" s="8" t="str">
        <f>+'[1]BASE RED COMERCIAL'!$C178</f>
        <v>SALTO</v>
      </c>
      <c r="J180" s="10"/>
      <c r="K180" s="10"/>
    </row>
    <row r="181" spans="1:28" x14ac:dyDescent="0.25">
      <c r="A181" s="14" t="str">
        <f>+'[1]BASE RED COMERCIAL'!$A179</f>
        <v>B0352</v>
      </c>
      <c r="B181" s="8" t="str">
        <f>+'[1]BASE RED COMERCIAL'!$H179</f>
        <v>J. M . JAUREGUI</v>
      </c>
      <c r="C181" s="7" t="s">
        <v>33</v>
      </c>
      <c r="D181" s="9" t="str">
        <f>+'[1]BASE RED COMERCIAL'!$E179</f>
        <v>DEL COLEGIO</v>
      </c>
      <c r="E181" s="7">
        <f>+'[1]BASE RED COMERCIAL'!$F179</f>
        <v>248</v>
      </c>
      <c r="F181" s="14" t="str">
        <f>+'[1]BASE RED COMERCIAL'!$I179</f>
        <v>B6706ZAA</v>
      </c>
      <c r="G181" s="7" t="str">
        <f>+'[1]BASE RED COMERCIAL'!$D179</f>
        <v>JAUREGUI JOSE MARIA</v>
      </c>
      <c r="H181" s="7" t="str">
        <f>+'[1]BASE RED COMERCIAL'!$B179</f>
        <v>BUENOS AIRES</v>
      </c>
      <c r="I181" s="8" t="str">
        <f>+'[1]BASE RED COMERCIAL'!$C179</f>
        <v>LUJAN</v>
      </c>
      <c r="J181" s="10"/>
      <c r="K181" s="10"/>
    </row>
    <row r="182" spans="1:28" x14ac:dyDescent="0.25">
      <c r="A182" s="14" t="str">
        <f>+'[1]BASE RED COMERCIAL'!$A180</f>
        <v>B0353</v>
      </c>
      <c r="B182" s="8" t="str">
        <f>+'[1]BASE RED COMERCIAL'!$H180</f>
        <v>J. B. ALBERDI</v>
      </c>
      <c r="C182" s="7" t="s">
        <v>33</v>
      </c>
      <c r="D182" s="9" t="str">
        <f>+'[1]BASE RED COMERCIAL'!$E180</f>
        <v>B RIVADAVIA</v>
      </c>
      <c r="E182" s="7">
        <f>+'[1]BASE RED COMERCIAL'!$F180</f>
        <v>250</v>
      </c>
      <c r="F182" s="14" t="str">
        <f>+'[1]BASE RED COMERCIAL'!$I180</f>
        <v>B6034ZAA</v>
      </c>
      <c r="G182" s="7" t="str">
        <f>+'[1]BASE RED COMERCIAL'!$D180</f>
        <v>JUAN BAUTISTA ALBERDI</v>
      </c>
      <c r="H182" s="7" t="str">
        <f>+'[1]BASE RED COMERCIAL'!$B180</f>
        <v>BUENOS AIRES</v>
      </c>
      <c r="I182" s="8" t="str">
        <f>+'[1]BASE RED COMERCIAL'!$C180</f>
        <v>LEANDRO N ALEM</v>
      </c>
      <c r="J182" s="10"/>
      <c r="K182" s="10"/>
    </row>
    <row r="183" spans="1:28" x14ac:dyDescent="0.25">
      <c r="A183" s="14" t="str">
        <f>+'[1]BASE RED COMERCIAL'!$A181</f>
        <v>B0354</v>
      </c>
      <c r="B183" s="8" t="str">
        <f>+'[1]BASE RED COMERCIAL'!$H181</f>
        <v>J. J. PASO</v>
      </c>
      <c r="C183" s="7" t="s">
        <v>33</v>
      </c>
      <c r="D183" s="9" t="str">
        <f>+'[1]BASE RED COMERCIAL'!$E181</f>
        <v>GUIDO SPANO</v>
      </c>
      <c r="E183" s="7">
        <f>+'[1]BASE RED COMERCIAL'!$F181</f>
        <v>323</v>
      </c>
      <c r="F183" s="14" t="str">
        <f>+'[1]BASE RED COMERCIAL'!$I181</f>
        <v>B6474ZAB</v>
      </c>
      <c r="G183" s="7" t="str">
        <f>+'[1]BASE RED COMERCIAL'!$D181</f>
        <v>JUAN JOSE PASO</v>
      </c>
      <c r="H183" s="7" t="str">
        <f>+'[1]BASE RED COMERCIAL'!$B181</f>
        <v>BUENOS AIRES</v>
      </c>
      <c r="I183" s="8" t="str">
        <f>+'[1]BASE RED COMERCIAL'!$C181</f>
        <v>PEHUAJO</v>
      </c>
      <c r="J183" s="10"/>
      <c r="K183" s="10"/>
    </row>
    <row r="184" spans="1:28" x14ac:dyDescent="0.25">
      <c r="A184" s="14" t="str">
        <f>+'[1]BASE RED COMERCIAL'!$A182</f>
        <v>B0355</v>
      </c>
      <c r="B184" s="8" t="str">
        <f>+'[1]BASE RED COMERCIAL'!$H182</f>
        <v>JUNIN</v>
      </c>
      <c r="C184" s="7" t="s">
        <v>33</v>
      </c>
      <c r="D184" s="9" t="str">
        <f>+'[1]BASE RED COMERCIAL'!$E182</f>
        <v>AV RIVADAVIA</v>
      </c>
      <c r="E184" s="7">
        <f>+'[1]BASE RED COMERCIAL'!$F182</f>
        <v>5</v>
      </c>
      <c r="F184" s="14" t="str">
        <f>+'[1]BASE RED COMERCIAL'!$I182</f>
        <v>B6000ZAA</v>
      </c>
      <c r="G184" s="7" t="str">
        <f>+'[1]BASE RED COMERCIAL'!$D182</f>
        <v>JUNIN</v>
      </c>
      <c r="H184" s="7" t="str">
        <f>+'[1]BASE RED COMERCIAL'!$B182</f>
        <v>BUENOS AIRES</v>
      </c>
      <c r="I184" s="8" t="str">
        <f>+'[1]BASE RED COMERCIAL'!$C182</f>
        <v>JUNIN</v>
      </c>
      <c r="J184" s="10"/>
      <c r="K184" s="10"/>
    </row>
    <row r="185" spans="1:28" x14ac:dyDescent="0.25">
      <c r="A185" s="14" t="str">
        <f>+'[1]BASE RED COMERCIAL'!$A183</f>
        <v>B0359</v>
      </c>
      <c r="B185" s="8" t="str">
        <f>+'[1]BASE RED COMERCIAL'!$H183</f>
        <v>LEANDRO N. ALEM</v>
      </c>
      <c r="C185" s="7" t="s">
        <v>33</v>
      </c>
      <c r="D185" s="9" t="str">
        <f>+'[1]BASE RED COMERCIAL'!$E183</f>
        <v>TENIENTE MAXIMO LAYERA</v>
      </c>
      <c r="E185" s="7">
        <f>+'[1]BASE RED COMERCIAL'!$F183</f>
        <v>573</v>
      </c>
      <c r="F185" s="14" t="str">
        <f>+'[1]BASE RED COMERCIAL'!$I183</f>
        <v>B6032ZAA</v>
      </c>
      <c r="G185" s="7" t="str">
        <f>+'[1]BASE RED COMERCIAL'!$D183</f>
        <v>LEANDRO N ALEM</v>
      </c>
      <c r="H185" s="7" t="str">
        <f>+'[1]BASE RED COMERCIAL'!$B183</f>
        <v>BUENOS AIRES</v>
      </c>
      <c r="I185" s="8" t="str">
        <f>+'[1]BASE RED COMERCIAL'!$C183</f>
        <v>LEANDRO N ALEM</v>
      </c>
      <c r="J185" s="10"/>
      <c r="K185" s="10"/>
    </row>
    <row r="186" spans="1:28" s="10" customFormat="1" x14ac:dyDescent="0.25">
      <c r="A186" s="14" t="str">
        <f>+'[1]BASE RED COMERCIAL'!$A184</f>
        <v>B0360</v>
      </c>
      <c r="B186" s="8" t="str">
        <f>+'[1]BASE RED COMERCIAL'!$H184</f>
        <v>LINCOLN</v>
      </c>
      <c r="C186" s="7" t="s">
        <v>33</v>
      </c>
      <c r="D186" s="9" t="str">
        <f>+'[1]BASE RED COMERCIAL'!$E184</f>
        <v>AV 25 DE MAYO</v>
      </c>
      <c r="E186" s="7">
        <f>+'[1]BASE RED COMERCIAL'!$F184</f>
        <v>98</v>
      </c>
      <c r="F186" s="14" t="str">
        <f>+'[1]BASE RED COMERCIAL'!$I184</f>
        <v>B6070ZAA</v>
      </c>
      <c r="G186" s="7" t="str">
        <f>+'[1]BASE RED COMERCIAL'!$D184</f>
        <v>LINCOLN</v>
      </c>
      <c r="H186" s="7" t="str">
        <f>+'[1]BASE RED COMERCIAL'!$B184</f>
        <v>BUENOS AIRES</v>
      </c>
      <c r="I186" s="8" t="str">
        <f>+'[1]BASE RED COMERCIAL'!$C184</f>
        <v>LINCOLN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14" t="str">
        <f>+'[1]BASE RED COMERCIAL'!$A185</f>
        <v>B0361</v>
      </c>
      <c r="B187" s="8" t="str">
        <f>+'[1]BASE RED COMERCIAL'!$H185</f>
        <v>LOS TOLDOS</v>
      </c>
      <c r="C187" s="7" t="s">
        <v>33</v>
      </c>
      <c r="D187" s="9" t="str">
        <f>+'[1]BASE RED COMERCIAL'!$E185</f>
        <v>AVELLANEDA</v>
      </c>
      <c r="E187" s="7">
        <f>+'[1]BASE RED COMERCIAL'!$F185</f>
        <v>464</v>
      </c>
      <c r="F187" s="14" t="str">
        <f>+'[1]BASE RED COMERCIAL'!$I185</f>
        <v>B6015ZAA</v>
      </c>
      <c r="G187" s="7" t="str">
        <f>+'[1]BASE RED COMERCIAL'!$D185</f>
        <v>LOS TOLDOS</v>
      </c>
      <c r="H187" s="7" t="str">
        <f>+'[1]BASE RED COMERCIAL'!$B185</f>
        <v>BUENOS AIRES</v>
      </c>
      <c r="I187" s="8" t="str">
        <f>+'[1]BASE RED COMERCIAL'!$C185</f>
        <v>GENERAL VIAMONTE</v>
      </c>
      <c r="J187" s="10"/>
      <c r="K187" s="10"/>
    </row>
    <row r="188" spans="1:28" x14ac:dyDescent="0.25">
      <c r="A188" s="14" t="str">
        <f>+'[1]BASE RED COMERCIAL'!$A186</f>
        <v>B0362</v>
      </c>
      <c r="B188" s="8" t="str">
        <f>+'[1]BASE RED COMERCIAL'!$H186</f>
        <v>LUJAN</v>
      </c>
      <c r="C188" s="7" t="s">
        <v>33</v>
      </c>
      <c r="D188" s="9" t="str">
        <f>+'[1]BASE RED COMERCIAL'!$E186</f>
        <v>BME MITRE</v>
      </c>
      <c r="E188" s="7">
        <f>+'[1]BASE RED COMERCIAL'!$F186</f>
        <v>571</v>
      </c>
      <c r="F188" s="14" t="str">
        <f>+'[1]BASE RED COMERCIAL'!$I186</f>
        <v>B6700ZAA</v>
      </c>
      <c r="G188" s="7" t="str">
        <f>+'[1]BASE RED COMERCIAL'!$D186</f>
        <v>LUJAN</v>
      </c>
      <c r="H188" s="7" t="str">
        <f>+'[1]BASE RED COMERCIAL'!$B186</f>
        <v>BUENOS AIRES</v>
      </c>
      <c r="I188" s="8" t="str">
        <f>+'[1]BASE RED COMERCIAL'!$C186</f>
        <v>LUJAN</v>
      </c>
      <c r="J188" s="10"/>
      <c r="K188" s="10"/>
    </row>
    <row r="189" spans="1:28" x14ac:dyDescent="0.25">
      <c r="A189" s="14" t="str">
        <f>+'[1]BASE RED COMERCIAL'!$A187</f>
        <v>B0363</v>
      </c>
      <c r="B189" s="8" t="str">
        <f>+'[1]BASE RED COMERCIAL'!$H187</f>
        <v>MECHITA</v>
      </c>
      <c r="C189" s="7" t="s">
        <v>33</v>
      </c>
      <c r="D189" s="9" t="str">
        <f>+'[1]BASE RED COMERCIAL'!$E187</f>
        <v>AV QUINTANA</v>
      </c>
      <c r="E189" s="7">
        <f>+'[1]BASE RED COMERCIAL'!$F187</f>
        <v>2015</v>
      </c>
      <c r="F189" s="14" t="str">
        <f>+'[1]BASE RED COMERCIAL'!$I187</f>
        <v>B6648ZAA</v>
      </c>
      <c r="G189" s="7" t="str">
        <f>+'[1]BASE RED COMERCIAL'!$D187</f>
        <v>MECHITA</v>
      </c>
      <c r="H189" s="7" t="str">
        <f>+'[1]BASE RED COMERCIAL'!$B187</f>
        <v>BUENOS AIRES</v>
      </c>
      <c r="I189" s="8" t="str">
        <f>+'[1]BASE RED COMERCIAL'!$C187</f>
        <v>BRAGADO</v>
      </c>
      <c r="J189" s="10"/>
      <c r="K189" s="10"/>
    </row>
    <row r="190" spans="1:28" x14ac:dyDescent="0.25">
      <c r="A190" s="14" t="str">
        <f>+'[1]BASE RED COMERCIAL'!$A188</f>
        <v>B0365</v>
      </c>
      <c r="B190" s="8" t="str">
        <f>+'[1]BASE RED COMERCIAL'!$H188</f>
        <v>MOCTEZUMA</v>
      </c>
      <c r="C190" s="7" t="s">
        <v>33</v>
      </c>
      <c r="D190" s="9" t="str">
        <f>+'[1]BASE RED COMERCIAL'!$E188</f>
        <v>AV SAN MARTIN</v>
      </c>
      <c r="E190" s="7">
        <f>+'[1]BASE RED COMERCIAL'!$F188</f>
        <v>0</v>
      </c>
      <c r="F190" s="14" t="str">
        <f>+'[1]BASE RED COMERCIAL'!$I188</f>
        <v>B6531ZAA</v>
      </c>
      <c r="G190" s="7" t="str">
        <f>+'[1]BASE RED COMERCIAL'!$D188</f>
        <v>MOCTEZUMA</v>
      </c>
      <c r="H190" s="7" t="str">
        <f>+'[1]BASE RED COMERCIAL'!$B188</f>
        <v>BUENOS AIRES</v>
      </c>
      <c r="I190" s="8" t="str">
        <f>+'[1]BASE RED COMERCIAL'!$C188</f>
        <v>CARLOS CASARES</v>
      </c>
      <c r="J190" s="10"/>
      <c r="K190" s="10"/>
    </row>
    <row r="191" spans="1:28" x14ac:dyDescent="0.25">
      <c r="A191" s="14" t="str">
        <f>+'[1]BASE RED COMERCIAL'!$A189</f>
        <v>B0366</v>
      </c>
      <c r="B191" s="8" t="str">
        <f>+'[1]BASE RED COMERCIAL'!$H189</f>
        <v>MONES CAZON</v>
      </c>
      <c r="C191" s="7" t="s">
        <v>33</v>
      </c>
      <c r="D191" s="9" t="str">
        <f>+'[1]BASE RED COMERCIAL'!$E189</f>
        <v>DARDO ROCHA</v>
      </c>
      <c r="E191" s="7">
        <f>+'[1]BASE RED COMERCIAL'!$F189</f>
        <v>395</v>
      </c>
      <c r="F191" s="14" t="str">
        <f>+'[1]BASE RED COMERCIAL'!$I189</f>
        <v>B6469ZAA</v>
      </c>
      <c r="G191" s="7" t="str">
        <f>+'[1]BASE RED COMERCIAL'!$D189</f>
        <v>MONES CAZON</v>
      </c>
      <c r="H191" s="7" t="str">
        <f>+'[1]BASE RED COMERCIAL'!$B189</f>
        <v>BUENOS AIRES</v>
      </c>
      <c r="I191" s="8" t="str">
        <f>+'[1]BASE RED COMERCIAL'!$C189</f>
        <v>PEHUAJO</v>
      </c>
      <c r="J191" s="10"/>
      <c r="K191" s="10"/>
    </row>
    <row r="192" spans="1:28" x14ac:dyDescent="0.25">
      <c r="A192" s="14" t="str">
        <f>+'[1]BASE RED COMERCIAL'!$A190</f>
        <v>B0367</v>
      </c>
      <c r="B192" s="8" t="str">
        <f>+'[1]BASE RED COMERCIAL'!$H190</f>
        <v>MORSE</v>
      </c>
      <c r="C192" s="7" t="s">
        <v>33</v>
      </c>
      <c r="D192" s="9" t="str">
        <f>+'[1]BASE RED COMERCIAL'!$E190</f>
        <v>AV DE LOS TILOS</v>
      </c>
      <c r="E192" s="7">
        <f>+'[1]BASE RED COMERCIAL'!$F190</f>
        <v>53</v>
      </c>
      <c r="F192" s="14" t="str">
        <f>+'[1]BASE RED COMERCIAL'!$I190</f>
        <v>B6049ZAA</v>
      </c>
      <c r="G192" s="7" t="str">
        <f>+'[1]BASE RED COMERCIAL'!$D190</f>
        <v>MORSE</v>
      </c>
      <c r="H192" s="7" t="str">
        <f>+'[1]BASE RED COMERCIAL'!$B190</f>
        <v>BUENOS AIRES</v>
      </c>
      <c r="I192" s="8" t="str">
        <f>+'[1]BASE RED COMERCIAL'!$C190</f>
        <v>JUNIN</v>
      </c>
      <c r="J192" s="10"/>
      <c r="K192" s="10"/>
    </row>
    <row r="193" spans="1:28" x14ac:dyDescent="0.25">
      <c r="A193" s="14" t="str">
        <f>+'[1]BASE RED COMERCIAL'!$A191</f>
        <v>B0368</v>
      </c>
      <c r="B193" s="8" t="str">
        <f>+'[1]BASE RED COMERCIAL'!$H191</f>
        <v>N. DE LA RIESTRA</v>
      </c>
      <c r="C193" s="7" t="s">
        <v>33</v>
      </c>
      <c r="D193" s="9" t="str">
        <f>+'[1]BASE RED COMERCIAL'!$E191</f>
        <v>BENIGNO LUGONES</v>
      </c>
      <c r="E193" s="7">
        <f>+'[1]BASE RED COMERCIAL'!$F191</f>
        <v>234</v>
      </c>
      <c r="F193" s="14" t="str">
        <f>+'[1]BASE RED COMERCIAL'!$I191</f>
        <v>B6663ZAA</v>
      </c>
      <c r="G193" s="7" t="str">
        <f>+'[1]BASE RED COMERCIAL'!$D191</f>
        <v>NORBERTO DE LA RIESTRA</v>
      </c>
      <c r="H193" s="7" t="str">
        <f>+'[1]BASE RED COMERCIAL'!$B191</f>
        <v>BUENOS AIRES</v>
      </c>
      <c r="I193" s="8" t="str">
        <f>+'[1]BASE RED COMERCIAL'!$C191</f>
        <v>25 DE MAYO</v>
      </c>
      <c r="J193" s="10"/>
      <c r="K193" s="10"/>
    </row>
    <row r="194" spans="1:28" x14ac:dyDescent="0.25">
      <c r="A194" s="14" t="str">
        <f>+'[1]BASE RED COMERCIAL'!$A192</f>
        <v>B0369</v>
      </c>
      <c r="B194" s="8" t="str">
        <f>+'[1]BASE RED COMERCIAL'!$H192</f>
        <v>9 DE JULIO</v>
      </c>
      <c r="C194" s="7" t="s">
        <v>33</v>
      </c>
      <c r="D194" s="9" t="str">
        <f>+'[1]BASE RED COMERCIAL'!$E192</f>
        <v>AV BME MITRE</v>
      </c>
      <c r="E194" s="7">
        <f>+'[1]BASE RED COMERCIAL'!$F192</f>
        <v>794</v>
      </c>
      <c r="F194" s="14" t="str">
        <f>+'[1]BASE RED COMERCIAL'!$I192</f>
        <v>B6500ZAA</v>
      </c>
      <c r="G194" s="7" t="str">
        <f>+'[1]BASE RED COMERCIAL'!$D192</f>
        <v>9 DE JULIO</v>
      </c>
      <c r="H194" s="7" t="str">
        <f>+'[1]BASE RED COMERCIAL'!$B192</f>
        <v>BUENOS AIRES</v>
      </c>
      <c r="I194" s="8" t="str">
        <f>+'[1]BASE RED COMERCIAL'!$C192</f>
        <v>9 DE JULIO</v>
      </c>
      <c r="J194" s="10"/>
      <c r="K194" s="10"/>
    </row>
    <row r="195" spans="1:28" x14ac:dyDescent="0.25">
      <c r="A195" s="14" t="str">
        <f>+'[1]BASE RED COMERCIAL'!$A193</f>
        <v>B0370</v>
      </c>
      <c r="B195" s="8" t="str">
        <f>+'[1]BASE RED COMERCIAL'!$H193</f>
        <v>OPEN DOOR</v>
      </c>
      <c r="C195" s="7" t="s">
        <v>33</v>
      </c>
      <c r="D195" s="9" t="str">
        <f>+'[1]BASE RED COMERCIAL'!$E193</f>
        <v>AV DR DOMINGO CABRED</v>
      </c>
      <c r="E195" s="7">
        <f>+'[1]BASE RED COMERCIAL'!$F193</f>
        <v>589</v>
      </c>
      <c r="F195" s="14" t="str">
        <f>+'[1]BASE RED COMERCIAL'!$I193</f>
        <v>B6708ZAA</v>
      </c>
      <c r="G195" s="7" t="str">
        <f>+'[1]BASE RED COMERCIAL'!$D193</f>
        <v>OPEN DOOR</v>
      </c>
      <c r="H195" s="7" t="str">
        <f>+'[1]BASE RED COMERCIAL'!$B193</f>
        <v>BUENOS AIRES</v>
      </c>
      <c r="I195" s="8" t="str">
        <f>+'[1]BASE RED COMERCIAL'!$C193</f>
        <v>LUJAN</v>
      </c>
      <c r="J195" s="10"/>
      <c r="K195" s="10"/>
    </row>
    <row r="196" spans="1:28" x14ac:dyDescent="0.25">
      <c r="A196" s="14" t="str">
        <f>+'[1]BASE RED COMERCIAL'!$A194</f>
        <v>B0371</v>
      </c>
      <c r="B196" s="8" t="str">
        <f>+'[1]BASE RED COMERCIAL'!$H194</f>
        <v>O HIGGINS</v>
      </c>
      <c r="C196" s="7" t="s">
        <v>33</v>
      </c>
      <c r="D196" s="9" t="str">
        <f>+'[1]BASE RED COMERCIAL'!$E194</f>
        <v>GRAL NICOLAS LEVALLE</v>
      </c>
      <c r="E196" s="7">
        <f>+'[1]BASE RED COMERCIAL'!$F194</f>
        <v>176</v>
      </c>
      <c r="F196" s="14" t="str">
        <f>+'[1]BASE RED COMERCIAL'!$I194</f>
        <v>B6748ZAA</v>
      </c>
      <c r="G196" s="7" t="str">
        <f>+'[1]BASE RED COMERCIAL'!$D194</f>
        <v>O HIGGINS</v>
      </c>
      <c r="H196" s="7" t="str">
        <f>+'[1]BASE RED COMERCIAL'!$B194</f>
        <v>BUENOS AIRES</v>
      </c>
      <c r="I196" s="8" t="str">
        <f>+'[1]BASE RED COMERCIAL'!$C194</f>
        <v>CHACABUCO</v>
      </c>
      <c r="J196" s="10"/>
      <c r="K196" s="10"/>
    </row>
    <row r="197" spans="1:28" x14ac:dyDescent="0.25">
      <c r="A197" s="14" t="str">
        <f>+'[1]BASE RED COMERCIAL'!$A195</f>
        <v>B0372</v>
      </c>
      <c r="B197" s="8" t="str">
        <f>+'[1]BASE RED COMERCIAL'!$H195</f>
        <v>PASTEUR</v>
      </c>
      <c r="C197" s="7" t="s">
        <v>33</v>
      </c>
      <c r="D197" s="9" t="str">
        <f>+'[1]BASE RED COMERCIAL'!$E195</f>
        <v>AV DR OSVALDO MONTES</v>
      </c>
      <c r="E197" s="7">
        <f>+'[1]BASE RED COMERCIAL'!$F195</f>
        <v>635</v>
      </c>
      <c r="F197" s="14" t="str">
        <f>+'[1]BASE RED COMERCIAL'!$I195</f>
        <v>B6077ZAA</v>
      </c>
      <c r="G197" s="7" t="str">
        <f>+'[1]BASE RED COMERCIAL'!$D195</f>
        <v>PASTEUR</v>
      </c>
      <c r="H197" s="7" t="str">
        <f>+'[1]BASE RED COMERCIAL'!$B195</f>
        <v>BUENOS AIRES</v>
      </c>
      <c r="I197" s="8" t="str">
        <f>+'[1]BASE RED COMERCIAL'!$C195</f>
        <v>LINCOLN</v>
      </c>
      <c r="J197" s="10"/>
      <c r="K197" s="10"/>
    </row>
    <row r="198" spans="1:28" x14ac:dyDescent="0.25">
      <c r="A198" s="14" t="str">
        <f>+'[1]BASE RED COMERCIAL'!$A196</f>
        <v>B0373</v>
      </c>
      <c r="B198" s="8" t="str">
        <f>+'[1]BASE RED COMERCIAL'!$H196</f>
        <v>PEDERNALES</v>
      </c>
      <c r="C198" s="7" t="s">
        <v>33</v>
      </c>
      <c r="D198" s="9" t="str">
        <f>+'[1]BASE RED COMERCIAL'!$E196</f>
        <v>DR MANUEL BELGRANO</v>
      </c>
      <c r="E198" s="7">
        <f>+'[1]BASE RED COMERCIAL'!$F196</f>
        <v>401</v>
      </c>
      <c r="F198" s="14" t="str">
        <f>+'[1]BASE RED COMERCIAL'!$I196</f>
        <v>B6665ZAA</v>
      </c>
      <c r="G198" s="7" t="str">
        <f>+'[1]BASE RED COMERCIAL'!$D196</f>
        <v>PEDERNALES</v>
      </c>
      <c r="H198" s="7" t="str">
        <f>+'[1]BASE RED COMERCIAL'!$B196</f>
        <v>BUENOS AIRES</v>
      </c>
      <c r="I198" s="8" t="str">
        <f>+'[1]BASE RED COMERCIAL'!$C196</f>
        <v>25 DE MAYO</v>
      </c>
      <c r="J198" s="10"/>
      <c r="K198" s="10"/>
    </row>
    <row r="199" spans="1:28" x14ac:dyDescent="0.25">
      <c r="A199" s="14" t="str">
        <f>+'[1]BASE RED COMERCIAL'!$A197</f>
        <v>B0374</v>
      </c>
      <c r="B199" s="8" t="str">
        <f>+'[1]BASE RED COMERCIAL'!$H197</f>
        <v>PEHUAJO</v>
      </c>
      <c r="C199" s="7" t="s">
        <v>33</v>
      </c>
      <c r="D199" s="9" t="str">
        <f>+'[1]BASE RED COMERCIAL'!$E197</f>
        <v>RIVAROLA</v>
      </c>
      <c r="E199" s="7">
        <f>+'[1]BASE RED COMERCIAL'!$F197</f>
        <v>345</v>
      </c>
      <c r="F199" s="14" t="str">
        <f>+'[1]BASE RED COMERCIAL'!$I197</f>
        <v>B6450ZAA</v>
      </c>
      <c r="G199" s="7" t="str">
        <f>+'[1]BASE RED COMERCIAL'!$D197</f>
        <v>PEHUAJO</v>
      </c>
      <c r="H199" s="7" t="str">
        <f>+'[1]BASE RED COMERCIAL'!$B197</f>
        <v>BUENOS AIRES</v>
      </c>
      <c r="I199" s="8" t="str">
        <f>+'[1]BASE RED COMERCIAL'!$C197</f>
        <v>PEHUAJO</v>
      </c>
      <c r="J199" s="10"/>
      <c r="K199" s="10"/>
    </row>
    <row r="200" spans="1:28" x14ac:dyDescent="0.25">
      <c r="A200" s="14" t="str">
        <f>+'[1]BASE RED COMERCIAL'!$A198</f>
        <v>B0375</v>
      </c>
      <c r="B200" s="8" t="str">
        <f>+'[1]BASE RED COMERCIAL'!$H198</f>
        <v>PELLEGRINI</v>
      </c>
      <c r="C200" s="7" t="s">
        <v>33</v>
      </c>
      <c r="D200" s="9" t="str">
        <f>+'[1]BASE RED COMERCIAL'!$E198</f>
        <v>SAN MARTIN</v>
      </c>
      <c r="E200" s="7">
        <f>+'[1]BASE RED COMERCIAL'!$F198</f>
        <v>197</v>
      </c>
      <c r="F200" s="14" t="str">
        <f>+'[1]BASE RED COMERCIAL'!$I198</f>
        <v>B6346ZAA</v>
      </c>
      <c r="G200" s="7" t="str">
        <f>+'[1]BASE RED COMERCIAL'!$D198</f>
        <v>PELLEGRINI</v>
      </c>
      <c r="H200" s="7" t="str">
        <f>+'[1]BASE RED COMERCIAL'!$B198</f>
        <v>BUENOS AIRES</v>
      </c>
      <c r="I200" s="8" t="str">
        <f>+'[1]BASE RED COMERCIAL'!$C198</f>
        <v>PELLEGRINI</v>
      </c>
      <c r="J200" s="10"/>
      <c r="K200" s="10"/>
    </row>
    <row r="201" spans="1:28" x14ac:dyDescent="0.25">
      <c r="A201" s="14" t="str">
        <f>+'[1]BASE RED COMERCIAL'!$A199</f>
        <v>B0376</v>
      </c>
      <c r="B201" s="8" t="str">
        <f>+'[1]BASE RED COMERCIAL'!$H199</f>
        <v>PIEDRITAS</v>
      </c>
      <c r="C201" s="7" t="s">
        <v>33</v>
      </c>
      <c r="D201" s="9" t="str">
        <f>+'[1]BASE RED COMERCIAL'!$E199</f>
        <v>SANTA FE</v>
      </c>
      <c r="E201" s="7">
        <f>+'[1]BASE RED COMERCIAL'!$F199</f>
        <v>624</v>
      </c>
      <c r="F201" s="14" t="str">
        <f>+'[1]BASE RED COMERCIAL'!$I199</f>
        <v>B6249ZAA</v>
      </c>
      <c r="G201" s="7" t="str">
        <f>+'[1]BASE RED COMERCIAL'!$D199</f>
        <v>PIEDRITAS</v>
      </c>
      <c r="H201" s="7" t="str">
        <f>+'[1]BASE RED COMERCIAL'!$B199</f>
        <v>BUENOS AIRES</v>
      </c>
      <c r="I201" s="8" t="str">
        <f>+'[1]BASE RED COMERCIAL'!$C199</f>
        <v>GENERAL VILLEGAS</v>
      </c>
      <c r="J201" s="10"/>
      <c r="K201" s="10"/>
    </row>
    <row r="202" spans="1:28" x14ac:dyDescent="0.25">
      <c r="A202" s="14" t="str">
        <f>+'[1]BASE RED COMERCIAL'!$A200</f>
        <v>B0377</v>
      </c>
      <c r="B202" s="8" t="str">
        <f>+'[1]BASE RED COMERCIAL'!$H200</f>
        <v>PIROVANO</v>
      </c>
      <c r="C202" s="7" t="s">
        <v>33</v>
      </c>
      <c r="D202" s="9" t="str">
        <f>+'[1]BASE RED COMERCIAL'!$E200</f>
        <v>MARCOS TAMBORENEA</v>
      </c>
      <c r="E202" s="7">
        <f>+'[1]BASE RED COMERCIAL'!$F200</f>
        <v>214</v>
      </c>
      <c r="F202" s="14" t="str">
        <f>+'[1]BASE RED COMERCIAL'!$I200</f>
        <v>B6551ZAA</v>
      </c>
      <c r="G202" s="7" t="str">
        <f>+'[1]BASE RED COMERCIAL'!$D200</f>
        <v>PIROVANO</v>
      </c>
      <c r="H202" s="7" t="str">
        <f>+'[1]BASE RED COMERCIAL'!$B200</f>
        <v>BUENOS AIRES</v>
      </c>
      <c r="I202" s="8" t="str">
        <f>+'[1]BASE RED COMERCIAL'!$C200</f>
        <v>BOLIVAR</v>
      </c>
      <c r="J202" s="10"/>
      <c r="K202" s="10"/>
    </row>
    <row r="203" spans="1:28" x14ac:dyDescent="0.25">
      <c r="A203" s="14" t="str">
        <f>+'[1]BASE RED COMERCIAL'!$A201</f>
        <v>B0379</v>
      </c>
      <c r="B203" s="8" t="str">
        <f>+'[1]BASE RED COMERCIAL'!$H201</f>
        <v>QUENUMA</v>
      </c>
      <c r="C203" s="7" t="s">
        <v>33</v>
      </c>
      <c r="D203" s="9" t="str">
        <f>+'[1]BASE RED COMERCIAL'!$E201</f>
        <v>BENEITEZ SINFORIANO</v>
      </c>
      <c r="E203" s="7">
        <f>+'[1]BASE RED COMERCIAL'!$F201</f>
        <v>3</v>
      </c>
      <c r="F203" s="14" t="str">
        <f>+'[1]BASE RED COMERCIAL'!$I201</f>
        <v>B6335ZAA</v>
      </c>
      <c r="G203" s="7" t="str">
        <f>+'[1]BASE RED COMERCIAL'!$D201</f>
        <v>QUENUMA</v>
      </c>
      <c r="H203" s="7" t="str">
        <f>+'[1]BASE RED COMERCIAL'!$B201</f>
        <v>BUENOS AIRES</v>
      </c>
      <c r="I203" s="8" t="str">
        <f>+'[1]BASE RED COMERCIAL'!$C201</f>
        <v>SALLIQUELO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</row>
    <row r="204" spans="1:28" x14ac:dyDescent="0.25">
      <c r="A204" s="14" t="str">
        <f>+'[1]BASE RED COMERCIAL'!$A202</f>
        <v>B0380</v>
      </c>
      <c r="B204" s="8" t="str">
        <f>+'[1]BASE RED COMERCIAL'!$H202</f>
        <v>QUIROGA</v>
      </c>
      <c r="C204" s="7" t="s">
        <v>33</v>
      </c>
      <c r="D204" s="9" t="str">
        <f>+'[1]BASE RED COMERCIAL'!$E202</f>
        <v>SAN LUIS</v>
      </c>
      <c r="E204" s="7">
        <f>+'[1]BASE RED COMERCIAL'!$F202</f>
        <v>517</v>
      </c>
      <c r="F204" s="14" t="str">
        <f>+'[1]BASE RED COMERCIAL'!$I202</f>
        <v>B6560ZAA</v>
      </c>
      <c r="G204" s="7" t="str">
        <f>+'[1]BASE RED COMERCIAL'!$D202</f>
        <v>QUIROGA</v>
      </c>
      <c r="H204" s="7" t="str">
        <f>+'[1]BASE RED COMERCIAL'!$B202</f>
        <v>BUENOS AIRES</v>
      </c>
      <c r="I204" s="8" t="str">
        <f>+'[1]BASE RED COMERCIAL'!$C202</f>
        <v>9 DE JULIO</v>
      </c>
      <c r="J204" s="10"/>
      <c r="K204" s="10"/>
    </row>
    <row r="205" spans="1:28" x14ac:dyDescent="0.25">
      <c r="A205" s="14" t="str">
        <f>+'[1]BASE RED COMERCIAL'!$A203</f>
        <v>B0381</v>
      </c>
      <c r="B205" s="8" t="str">
        <f>+'[1]BASE RED COMERCIAL'!$H203</f>
        <v>RAFAEL OBLIGADO</v>
      </c>
      <c r="C205" s="7" t="s">
        <v>33</v>
      </c>
      <c r="D205" s="9" t="str">
        <f>+'[1]BASE RED COMERCIAL'!$E203</f>
        <v>AV LUIS SAAVEDRA</v>
      </c>
      <c r="E205" s="7">
        <f>+'[1]BASE RED COMERCIAL'!$F203</f>
        <v>146</v>
      </c>
      <c r="F205" s="14" t="str">
        <f>+'[1]BASE RED COMERCIAL'!$I203</f>
        <v>B6001ZAA</v>
      </c>
      <c r="G205" s="7" t="str">
        <f>+'[1]BASE RED COMERCIAL'!$D203</f>
        <v>RAFAEL OBLIGADO</v>
      </c>
      <c r="H205" s="7" t="str">
        <f>+'[1]BASE RED COMERCIAL'!$B203</f>
        <v>BUENOS AIRES</v>
      </c>
      <c r="I205" s="8" t="str">
        <f>+'[1]BASE RED COMERCIAL'!$C203</f>
        <v>ROJAS</v>
      </c>
      <c r="J205" s="10"/>
      <c r="K205" s="10"/>
    </row>
    <row r="206" spans="1:28" x14ac:dyDescent="0.25">
      <c r="A206" s="14" t="str">
        <f>+'[1]BASE RED COMERCIAL'!$A204</f>
        <v>B0382</v>
      </c>
      <c r="B206" s="8" t="str">
        <f>+'[1]BASE RED COMERCIAL'!$H204</f>
        <v>RAWSON</v>
      </c>
      <c r="C206" s="7" t="s">
        <v>33</v>
      </c>
      <c r="D206" s="9" t="str">
        <f>+'[1]BASE RED COMERCIAL'!$E204</f>
        <v>RIVADAVIA</v>
      </c>
      <c r="E206" s="7">
        <f>+'[1]BASE RED COMERCIAL'!$F204</f>
        <v>156</v>
      </c>
      <c r="F206" s="14" t="str">
        <f>+'[1]BASE RED COMERCIAL'!$I204</f>
        <v>B6734ZAA</v>
      </c>
      <c r="G206" s="7" t="str">
        <f>+'[1]BASE RED COMERCIAL'!$D204</f>
        <v>RAWSON</v>
      </c>
      <c r="H206" s="7" t="str">
        <f>+'[1]BASE RED COMERCIAL'!$B204</f>
        <v>BUENOS AIRES</v>
      </c>
      <c r="I206" s="8" t="str">
        <f>+'[1]BASE RED COMERCIAL'!$C204</f>
        <v>CHACABUCO</v>
      </c>
      <c r="J206" s="10"/>
      <c r="K206" s="10"/>
    </row>
    <row r="207" spans="1:28" x14ac:dyDescent="0.25">
      <c r="A207" s="14" t="str">
        <f>+'[1]BASE RED COMERCIAL'!$A205</f>
        <v>B0383</v>
      </c>
      <c r="B207" s="8" t="str">
        <f>+'[1]BASE RED COMERCIAL'!$H205</f>
        <v>ROBERTS</v>
      </c>
      <c r="C207" s="7" t="s">
        <v>33</v>
      </c>
      <c r="D207" s="9" t="str">
        <f>+'[1]BASE RED COMERCIAL'!$E205</f>
        <v>ANDREA DUGGAN</v>
      </c>
      <c r="E207" s="7">
        <f>+'[1]BASE RED COMERCIAL'!$F205</f>
        <v>1340</v>
      </c>
      <c r="F207" s="14" t="str">
        <f>+'[1]BASE RED COMERCIAL'!$I205</f>
        <v>B6079ZAA</v>
      </c>
      <c r="G207" s="7" t="str">
        <f>+'[1]BASE RED COMERCIAL'!$D205</f>
        <v>ROBERTS</v>
      </c>
      <c r="H207" s="7" t="str">
        <f>+'[1]BASE RED COMERCIAL'!$B205</f>
        <v>BUENOS AIRES</v>
      </c>
      <c r="I207" s="8" t="str">
        <f>+'[1]BASE RED COMERCIAL'!$C205</f>
        <v>LINCOLN</v>
      </c>
      <c r="J207" s="10"/>
      <c r="K207" s="10"/>
    </row>
    <row r="208" spans="1:28" x14ac:dyDescent="0.25">
      <c r="A208" s="14" t="str">
        <f>+'[1]BASE RED COMERCIAL'!$A206</f>
        <v>B0384</v>
      </c>
      <c r="B208" s="8" t="str">
        <f>+'[1]BASE RED COMERCIAL'!$H206</f>
        <v>ROJAS</v>
      </c>
      <c r="C208" s="7" t="s">
        <v>33</v>
      </c>
      <c r="D208" s="9" t="str">
        <f>+'[1]BASE RED COMERCIAL'!$E206</f>
        <v>AV 25 DE MAYO</v>
      </c>
      <c r="E208" s="7">
        <f>+'[1]BASE RED COMERCIAL'!$F206</f>
        <v>597</v>
      </c>
      <c r="F208" s="14" t="str">
        <f>+'[1]BASE RED COMERCIAL'!$I206</f>
        <v>B2705ZAA</v>
      </c>
      <c r="G208" s="7" t="str">
        <f>+'[1]BASE RED COMERCIAL'!$D206</f>
        <v>ROJAS</v>
      </c>
      <c r="H208" s="7" t="str">
        <f>+'[1]BASE RED COMERCIAL'!$B206</f>
        <v>BUENOS AIRES</v>
      </c>
      <c r="I208" s="8" t="str">
        <f>+'[1]BASE RED COMERCIAL'!$C206</f>
        <v>ROJAS</v>
      </c>
      <c r="J208" s="10"/>
      <c r="K208" s="10"/>
    </row>
    <row r="209" spans="1:11" x14ac:dyDescent="0.25">
      <c r="A209" s="14" t="str">
        <f>+'[1]BASE RED COMERCIAL'!$A207</f>
        <v>B0385</v>
      </c>
      <c r="B209" s="8" t="str">
        <f>+'[1]BASE RED COMERCIAL'!$H207</f>
        <v>SALLIQUELO</v>
      </c>
      <c r="C209" s="7" t="s">
        <v>33</v>
      </c>
      <c r="D209" s="9" t="str">
        <f>+'[1]BASE RED COMERCIAL'!$E207</f>
        <v>AV HUGO STROEDER</v>
      </c>
      <c r="E209" s="7">
        <f>+'[1]BASE RED COMERCIAL'!$F207</f>
        <v>5</v>
      </c>
      <c r="F209" s="14" t="str">
        <f>+'[1]BASE RED COMERCIAL'!$I207</f>
        <v>B6339ZAA</v>
      </c>
      <c r="G209" s="7" t="str">
        <f>+'[1]BASE RED COMERCIAL'!$D207</f>
        <v>SALLIQUELO</v>
      </c>
      <c r="H209" s="7" t="str">
        <f>+'[1]BASE RED COMERCIAL'!$B207</f>
        <v>BUENOS AIRES</v>
      </c>
      <c r="I209" s="8" t="str">
        <f>+'[1]BASE RED COMERCIAL'!$C207</f>
        <v>SALLIQUELO</v>
      </c>
      <c r="J209" s="10"/>
      <c r="K209" s="10"/>
    </row>
    <row r="210" spans="1:11" x14ac:dyDescent="0.25">
      <c r="A210" s="14" t="str">
        <f>+'[1]BASE RED COMERCIAL'!$A208</f>
        <v>B0386</v>
      </c>
      <c r="B210" s="8" t="str">
        <f>+'[1]BASE RED COMERCIAL'!$H208</f>
        <v>SALTO</v>
      </c>
      <c r="C210" s="7" t="s">
        <v>33</v>
      </c>
      <c r="D210" s="9" t="str">
        <f>+'[1]BASE RED COMERCIAL'!$E208</f>
        <v>SARMIENTO</v>
      </c>
      <c r="E210" s="7">
        <f>+'[1]BASE RED COMERCIAL'!$F208</f>
        <v>86</v>
      </c>
      <c r="F210" s="14" t="str">
        <f>+'[1]BASE RED COMERCIAL'!$I208</f>
        <v>B2741ZAA</v>
      </c>
      <c r="G210" s="7" t="str">
        <f>+'[1]BASE RED COMERCIAL'!$D208</f>
        <v>SALTO</v>
      </c>
      <c r="H210" s="7" t="str">
        <f>+'[1]BASE RED COMERCIAL'!$B208</f>
        <v>BUENOS AIRES</v>
      </c>
      <c r="I210" s="8" t="str">
        <f>+'[1]BASE RED COMERCIAL'!$C208</f>
        <v>SALTO</v>
      </c>
      <c r="J210" s="10"/>
      <c r="K210" s="10"/>
    </row>
    <row r="211" spans="1:11" x14ac:dyDescent="0.25">
      <c r="A211" s="14" t="str">
        <f>+'[1]BASE RED COMERCIAL'!$A209</f>
        <v>B0387</v>
      </c>
      <c r="B211" s="8" t="str">
        <f>+'[1]BASE RED COMERCIAL'!$H209</f>
        <v>SAN ANDRES DE GILES</v>
      </c>
      <c r="C211" s="7" t="s">
        <v>33</v>
      </c>
      <c r="D211" s="9" t="str">
        <f>+'[1]BASE RED COMERCIAL'!$E209</f>
        <v>MAESTRO SOULE SAN MARTIN</v>
      </c>
      <c r="E211" s="7">
        <f>+'[1]BASE RED COMERCIAL'!$F209</f>
        <v>501</v>
      </c>
      <c r="F211" s="14" t="str">
        <f>+'[1]BASE RED COMERCIAL'!$I209</f>
        <v>B6720ZAA</v>
      </c>
      <c r="G211" s="7" t="str">
        <f>+'[1]BASE RED COMERCIAL'!$D209</f>
        <v>SAN ANDRES DE GILES</v>
      </c>
      <c r="H211" s="7" t="str">
        <f>+'[1]BASE RED COMERCIAL'!$B209</f>
        <v>BUENOS AIRES</v>
      </c>
      <c r="I211" s="8" t="str">
        <f>+'[1]BASE RED COMERCIAL'!$C209</f>
        <v>SAN ANDRES DE GILES</v>
      </c>
      <c r="J211" s="10"/>
      <c r="K211" s="10"/>
    </row>
    <row r="212" spans="1:11" x14ac:dyDescent="0.25">
      <c r="A212" s="14" t="str">
        <f>+'[1]BASE RED COMERCIAL'!$A210</f>
        <v>B0388</v>
      </c>
      <c r="B212" s="8" t="str">
        <f>+'[1]BASE RED COMERCIAL'!$H210</f>
        <v>SANTA REGINA</v>
      </c>
      <c r="C212" s="7" t="s">
        <v>33</v>
      </c>
      <c r="D212" s="9" t="str">
        <f>+'[1]BASE RED COMERCIAL'!$E210</f>
        <v>LIBERTAD</v>
      </c>
      <c r="E212" s="7">
        <f>+'[1]BASE RED COMERCIAL'!$F210</f>
        <v>0</v>
      </c>
      <c r="F212" s="14" t="str">
        <f>+'[1]BASE RED COMERCIAL'!$I210</f>
        <v>B6107ZAA</v>
      </c>
      <c r="G212" s="7" t="str">
        <f>+'[1]BASE RED COMERCIAL'!$D210</f>
        <v>SANTA REGINA</v>
      </c>
      <c r="H212" s="7" t="str">
        <f>+'[1]BASE RED COMERCIAL'!$B210</f>
        <v>BUENOS AIRES</v>
      </c>
      <c r="I212" s="8" t="str">
        <f>+'[1]BASE RED COMERCIAL'!$C210</f>
        <v>GENERAL VILLEGAS</v>
      </c>
      <c r="J212" s="10"/>
      <c r="K212" s="10"/>
    </row>
    <row r="213" spans="1:11" x14ac:dyDescent="0.25">
      <c r="A213" s="14" t="str">
        <f>+'[1]BASE RED COMERCIAL'!$A211</f>
        <v>B0389</v>
      </c>
      <c r="B213" s="8" t="str">
        <f>+'[1]BASE RED COMERCIAL'!$H211</f>
        <v>SUIPACHA</v>
      </c>
      <c r="C213" s="7" t="s">
        <v>33</v>
      </c>
      <c r="D213" s="9" t="str">
        <f>+'[1]BASE RED COMERCIAL'!$E211</f>
        <v>SAN MARTIN</v>
      </c>
      <c r="E213" s="7">
        <f>+'[1]BASE RED COMERCIAL'!$F211</f>
        <v>213</v>
      </c>
      <c r="F213" s="14" t="str">
        <f>+'[1]BASE RED COMERCIAL'!$I211</f>
        <v>B6612ZAA</v>
      </c>
      <c r="G213" s="7" t="str">
        <f>+'[1]BASE RED COMERCIAL'!$D211</f>
        <v>SUIPACHA</v>
      </c>
      <c r="H213" s="7" t="str">
        <f>+'[1]BASE RED COMERCIAL'!$B211</f>
        <v>BUENOS AIRES</v>
      </c>
      <c r="I213" s="8" t="str">
        <f>+'[1]BASE RED COMERCIAL'!$C211</f>
        <v>SUIPACHA</v>
      </c>
      <c r="J213" s="10"/>
      <c r="K213" s="10"/>
    </row>
    <row r="214" spans="1:11" x14ac:dyDescent="0.25">
      <c r="A214" s="14" t="str">
        <f>+'[1]BASE RED COMERCIAL'!$A212</f>
        <v>B0390</v>
      </c>
      <c r="B214" s="8" t="str">
        <f>+'[1]BASE RED COMERCIAL'!$H212</f>
        <v>TIMOTE</v>
      </c>
      <c r="C214" s="7" t="s">
        <v>33</v>
      </c>
      <c r="D214" s="9" t="str">
        <f>+'[1]BASE RED COMERCIAL'!$E212</f>
        <v>LEOPOLDO LUGONES</v>
      </c>
      <c r="E214" s="7">
        <f>+'[1]BASE RED COMERCIAL'!$F212</f>
        <v>268</v>
      </c>
      <c r="F214" s="14" t="str">
        <f>+'[1]BASE RED COMERCIAL'!$I212</f>
        <v>B6457ZAA</v>
      </c>
      <c r="G214" s="7" t="str">
        <f>+'[1]BASE RED COMERCIAL'!$D212</f>
        <v>TIMOTE</v>
      </c>
      <c r="H214" s="7" t="str">
        <f>+'[1]BASE RED COMERCIAL'!$B212</f>
        <v>BUENOS AIRES</v>
      </c>
      <c r="I214" s="8" t="str">
        <f>+'[1]BASE RED COMERCIAL'!$C212</f>
        <v>CARLOS TEJEDOR</v>
      </c>
      <c r="J214" s="10"/>
      <c r="K214" s="10"/>
    </row>
    <row r="215" spans="1:11" x14ac:dyDescent="0.25">
      <c r="A215" s="14" t="str">
        <f>+'[1]BASE RED COMERCIAL'!$A213</f>
        <v>B0391</v>
      </c>
      <c r="B215" s="8" t="str">
        <f>+'[1]BASE RED COMERCIAL'!$H213</f>
        <v>TORRES</v>
      </c>
      <c r="C215" s="7" t="s">
        <v>33</v>
      </c>
      <c r="D215" s="9" t="str">
        <f>+'[1]BASE RED COMERCIAL'!$E213</f>
        <v>JOSE MARIA CRIADO ALONSO</v>
      </c>
      <c r="E215" s="7">
        <f>+'[1]BASE RED COMERCIAL'!$F213</f>
        <v>757</v>
      </c>
      <c r="F215" s="14" t="str">
        <f>+'[1]BASE RED COMERCIAL'!$I213</f>
        <v>B6703ZAA</v>
      </c>
      <c r="G215" s="7" t="str">
        <f>+'[1]BASE RED COMERCIAL'!$D213</f>
        <v>TORRES</v>
      </c>
      <c r="H215" s="7" t="str">
        <f>+'[1]BASE RED COMERCIAL'!$B213</f>
        <v>BUENOS AIRES</v>
      </c>
      <c r="I215" s="8" t="str">
        <f>+'[1]BASE RED COMERCIAL'!$C213</f>
        <v>LUJAN</v>
      </c>
      <c r="J215" s="10"/>
      <c r="K215" s="10"/>
    </row>
    <row r="216" spans="1:11" x14ac:dyDescent="0.25">
      <c r="A216" s="14" t="str">
        <f>+'[1]BASE RED COMERCIAL'!$A214</f>
        <v>B0392</v>
      </c>
      <c r="B216" s="8" t="str">
        <f>+'[1]BASE RED COMERCIAL'!$H214</f>
        <v>30 DE AGOSTO</v>
      </c>
      <c r="C216" s="7" t="s">
        <v>33</v>
      </c>
      <c r="D216" s="9" t="str">
        <f>+'[1]BASE RED COMERCIAL'!$E214</f>
        <v>ARISTOBULO DEL VALLE</v>
      </c>
      <c r="E216" s="7">
        <f>+'[1]BASE RED COMERCIAL'!$F214</f>
        <v>48</v>
      </c>
      <c r="F216" s="14" t="str">
        <f>+'[1]BASE RED COMERCIAL'!$I214</f>
        <v>B6405ZAA</v>
      </c>
      <c r="G216" s="7" t="str">
        <f>+'[1]BASE RED COMERCIAL'!$D214</f>
        <v>30 DE AGOSTO</v>
      </c>
      <c r="H216" s="7" t="str">
        <f>+'[1]BASE RED COMERCIAL'!$B214</f>
        <v>BUENOS AIRES</v>
      </c>
      <c r="I216" s="8" t="str">
        <f>+'[1]BASE RED COMERCIAL'!$C214</f>
        <v>TRENQUE LAUQUEN</v>
      </c>
      <c r="J216" s="10"/>
      <c r="K216" s="10"/>
    </row>
    <row r="217" spans="1:11" x14ac:dyDescent="0.25">
      <c r="A217" s="14" t="str">
        <f>+'[1]BASE RED COMERCIAL'!$A215</f>
        <v>B0393</v>
      </c>
      <c r="B217" s="8" t="str">
        <f>+'[1]BASE RED COMERCIAL'!$H215</f>
        <v>TRENQUE LAUQUEN</v>
      </c>
      <c r="C217" s="7" t="s">
        <v>33</v>
      </c>
      <c r="D217" s="9" t="str">
        <f>+'[1]BASE RED COMERCIAL'!$E215</f>
        <v>AV PTE GRAL JULIO A ROCA</v>
      </c>
      <c r="E217" s="7">
        <f>+'[1]BASE RED COMERCIAL'!$F215</f>
        <v>542</v>
      </c>
      <c r="F217" s="14" t="str">
        <f>+'[1]BASE RED COMERCIAL'!$I215</f>
        <v>B6400ZAA</v>
      </c>
      <c r="G217" s="7" t="str">
        <f>+'[1]BASE RED COMERCIAL'!$D215</f>
        <v>TRENQUE LAUQUEN</v>
      </c>
      <c r="H217" s="7" t="str">
        <f>+'[1]BASE RED COMERCIAL'!$B215</f>
        <v>BUENOS AIRES</v>
      </c>
      <c r="I217" s="8" t="str">
        <f>+'[1]BASE RED COMERCIAL'!$C215</f>
        <v>TRENQUE LAUQUEN</v>
      </c>
      <c r="J217" s="10"/>
      <c r="K217" s="10"/>
    </row>
    <row r="218" spans="1:11" x14ac:dyDescent="0.25">
      <c r="A218" s="14" t="str">
        <f>+'[1]BASE RED COMERCIAL'!$A216</f>
        <v>B0394</v>
      </c>
      <c r="B218" s="8" t="str">
        <f>+'[1]BASE RED COMERCIAL'!$H216</f>
        <v>TRES ALGARROBOS</v>
      </c>
      <c r="C218" s="7" t="s">
        <v>33</v>
      </c>
      <c r="D218" s="9" t="str">
        <f>+'[1]BASE RED COMERCIAL'!$E216</f>
        <v>PTE H YRIGOYEN</v>
      </c>
      <c r="E218" s="7">
        <f>+'[1]BASE RED COMERCIAL'!$F216</f>
        <v>455</v>
      </c>
      <c r="F218" s="14" t="str">
        <f>+'[1]BASE RED COMERCIAL'!$I216</f>
        <v>B6231ZAA</v>
      </c>
      <c r="G218" s="7" t="str">
        <f>+'[1]BASE RED COMERCIAL'!$D216</f>
        <v>TRES ALGARROBOS</v>
      </c>
      <c r="H218" s="7" t="str">
        <f>+'[1]BASE RED COMERCIAL'!$B216</f>
        <v>BUENOS AIRES</v>
      </c>
      <c r="I218" s="8" t="str">
        <f>+'[1]BASE RED COMERCIAL'!$C216</f>
        <v>CARLOS TEJEDOR</v>
      </c>
      <c r="J218" s="10"/>
      <c r="K218" s="10"/>
    </row>
    <row r="219" spans="1:11" x14ac:dyDescent="0.25">
      <c r="A219" s="14" t="str">
        <f>+'[1]BASE RED COMERCIAL'!$A217</f>
        <v>B0395</v>
      </c>
      <c r="B219" s="8" t="str">
        <f>+'[1]BASE RED COMERCIAL'!$H217</f>
        <v>TRES LOMAS</v>
      </c>
      <c r="C219" s="7" t="s">
        <v>33</v>
      </c>
      <c r="D219" s="9" t="str">
        <f>+'[1]BASE RED COMERCIAL'!$E217</f>
        <v>9 DE JULIO</v>
      </c>
      <c r="E219" s="7">
        <f>+'[1]BASE RED COMERCIAL'!$F217</f>
        <v>649</v>
      </c>
      <c r="F219" s="14" t="str">
        <f>+'[1]BASE RED COMERCIAL'!$I217</f>
        <v>B6409ZAA</v>
      </c>
      <c r="G219" s="7" t="str">
        <f>+'[1]BASE RED COMERCIAL'!$D217</f>
        <v>TRES LOMAS</v>
      </c>
      <c r="H219" s="7" t="str">
        <f>+'[1]BASE RED COMERCIAL'!$B217</f>
        <v>BUENOS AIRES</v>
      </c>
      <c r="I219" s="8" t="str">
        <f>+'[1]BASE RED COMERCIAL'!$C217</f>
        <v>TRES LOMAS</v>
      </c>
      <c r="J219" s="10"/>
      <c r="K219" s="10"/>
    </row>
    <row r="220" spans="1:11" x14ac:dyDescent="0.25">
      <c r="A220" s="14" t="str">
        <f>+'[1]BASE RED COMERCIAL'!$A218</f>
        <v>B0396</v>
      </c>
      <c r="B220" s="8" t="str">
        <f>+'[1]BASE RED COMERCIAL'!$H218</f>
        <v>URDAMPILLETA</v>
      </c>
      <c r="C220" s="7" t="s">
        <v>33</v>
      </c>
      <c r="D220" s="9" t="str">
        <f>+'[1]BASE RED COMERCIAL'!$E218</f>
        <v>AV B RIVADAVIA</v>
      </c>
      <c r="E220" s="7">
        <f>+'[1]BASE RED COMERCIAL'!$F218</f>
        <v>299</v>
      </c>
      <c r="F220" s="14" t="str">
        <f>+'[1]BASE RED COMERCIAL'!$I218</f>
        <v>B6553ZAA</v>
      </c>
      <c r="G220" s="7" t="str">
        <f>+'[1]BASE RED COMERCIAL'!$D218</f>
        <v>URDAMPILLETA</v>
      </c>
      <c r="H220" s="7" t="str">
        <f>+'[1]BASE RED COMERCIAL'!$B218</f>
        <v>BUENOS AIRES</v>
      </c>
      <c r="I220" s="8" t="str">
        <f>+'[1]BASE RED COMERCIAL'!$C218</f>
        <v>BOLIVAR</v>
      </c>
      <c r="J220" s="10"/>
      <c r="K220" s="10"/>
    </row>
    <row r="221" spans="1:11" x14ac:dyDescent="0.25">
      <c r="A221" s="14" t="str">
        <f>+'[1]BASE RED COMERCIAL'!$A219</f>
        <v>B0397</v>
      </c>
      <c r="B221" s="8" t="str">
        <f>+'[1]BASE RED COMERCIAL'!$H219</f>
        <v>VEDIA</v>
      </c>
      <c r="C221" s="7" t="s">
        <v>33</v>
      </c>
      <c r="D221" s="9" t="str">
        <f>+'[1]BASE RED COMERCIAL'!$E219</f>
        <v>AV RODOLFO DUNCKLER</v>
      </c>
      <c r="E221" s="7">
        <f>+'[1]BASE RED COMERCIAL'!$F219</f>
        <v>102</v>
      </c>
      <c r="F221" s="14" t="str">
        <f>+'[1]BASE RED COMERCIAL'!$I219</f>
        <v>B6030ZAA</v>
      </c>
      <c r="G221" s="7" t="str">
        <f>+'[1]BASE RED COMERCIAL'!$D219</f>
        <v>VEDIA</v>
      </c>
      <c r="H221" s="7" t="str">
        <f>+'[1]BASE RED COMERCIAL'!$B219</f>
        <v>BUENOS AIRES</v>
      </c>
      <c r="I221" s="8" t="str">
        <f>+'[1]BASE RED COMERCIAL'!$C219</f>
        <v>LEANDRO N ALEM</v>
      </c>
      <c r="J221" s="10"/>
      <c r="K221" s="10"/>
    </row>
    <row r="222" spans="1:11" x14ac:dyDescent="0.25">
      <c r="A222" s="14" t="str">
        <f>+'[1]BASE RED COMERCIAL'!$A220</f>
        <v>B0398</v>
      </c>
      <c r="B222" s="8" t="str">
        <f>+'[1]BASE RED COMERCIAL'!$H220</f>
        <v>25 DE MAYO</v>
      </c>
      <c r="C222" s="7" t="s">
        <v>33</v>
      </c>
      <c r="D222" s="9" t="str">
        <f>+'[1]BASE RED COMERCIAL'!$E220</f>
        <v>CALLE 11</v>
      </c>
      <c r="E222" s="7">
        <f>+'[1]BASE RED COMERCIAL'!$F220</f>
        <v>825</v>
      </c>
      <c r="F222" s="14" t="str">
        <f>+'[1]BASE RED COMERCIAL'!$I220</f>
        <v>B6660ZAA</v>
      </c>
      <c r="G222" s="7" t="str">
        <f>+'[1]BASE RED COMERCIAL'!$D220</f>
        <v>25 DE MAYO</v>
      </c>
      <c r="H222" s="7" t="str">
        <f>+'[1]BASE RED COMERCIAL'!$B220</f>
        <v>BUENOS AIRES</v>
      </c>
      <c r="I222" s="8" t="str">
        <f>+'[1]BASE RED COMERCIAL'!$C220</f>
        <v>25 DE MAYO</v>
      </c>
      <c r="J222" s="10"/>
      <c r="K222" s="10"/>
    </row>
    <row r="223" spans="1:11" x14ac:dyDescent="0.25">
      <c r="A223" s="14" t="str">
        <f>+'[1]BASE RED COMERCIAL'!$A221</f>
        <v>B0399</v>
      </c>
      <c r="B223" s="8" t="str">
        <f>+'[1]BASE RED COMERCIAL'!$H221</f>
        <v>VILLA MOQUEHUA</v>
      </c>
      <c r="C223" s="7" t="s">
        <v>33</v>
      </c>
      <c r="D223" s="9" t="str">
        <f>+'[1]BASE RED COMERCIAL'!$E221</f>
        <v>YAPEYU</v>
      </c>
      <c r="E223" s="7">
        <f>+'[1]BASE RED COMERCIAL'!$F221</f>
        <v>396</v>
      </c>
      <c r="F223" s="14" t="str">
        <f>+'[1]BASE RED COMERCIAL'!$I221</f>
        <v>B6625ZAA</v>
      </c>
      <c r="G223" s="7" t="str">
        <f>+'[1]BASE RED COMERCIAL'!$D221</f>
        <v>VILLA MOQUEHUA</v>
      </c>
      <c r="H223" s="7" t="str">
        <f>+'[1]BASE RED COMERCIAL'!$B221</f>
        <v>BUENOS AIRES</v>
      </c>
      <c r="I223" s="8" t="str">
        <f>+'[1]BASE RED COMERCIAL'!$C221</f>
        <v>CHIVILCOY</v>
      </c>
      <c r="J223" s="10"/>
      <c r="K223" s="10"/>
    </row>
    <row r="224" spans="1:11" x14ac:dyDescent="0.25">
      <c r="A224" s="14" t="str">
        <f>+'[1]BASE RED COMERCIAL'!$A222</f>
        <v>B0400</v>
      </c>
      <c r="B224" s="8" t="str">
        <f>+'[1]BASE RED COMERCIAL'!$H222</f>
        <v>PERGAMINO</v>
      </c>
      <c r="C224" s="7" t="s">
        <v>33</v>
      </c>
      <c r="D224" s="9" t="str">
        <f>+'[1]BASE RED COMERCIAL'!$E222</f>
        <v>MERCED</v>
      </c>
      <c r="E224" s="7">
        <f>+'[1]BASE RED COMERCIAL'!$F222</f>
        <v>173</v>
      </c>
      <c r="F224" s="14" t="str">
        <f>+'[1]BASE RED COMERCIAL'!$I222</f>
        <v>B2700ZAA</v>
      </c>
      <c r="G224" s="7" t="str">
        <f>+'[1]BASE RED COMERCIAL'!$D222</f>
        <v>PERGAMINO</v>
      </c>
      <c r="H224" s="7" t="str">
        <f>+'[1]BASE RED COMERCIAL'!$B222</f>
        <v>BUENOS AIRES</v>
      </c>
      <c r="I224" s="8" t="str">
        <f>+'[1]BASE RED COMERCIAL'!$C222</f>
        <v>PERGAMINO</v>
      </c>
      <c r="J224" s="10"/>
      <c r="K224" s="10"/>
    </row>
    <row r="225" spans="1:11" x14ac:dyDescent="0.25">
      <c r="A225" s="14" t="str">
        <f>+'[1]BASE RED COMERCIAL'!$A223</f>
        <v>B0402</v>
      </c>
      <c r="B225" s="8" t="str">
        <f>+'[1]BASE RED COMERCIAL'!$H223</f>
        <v>ACEVEDO</v>
      </c>
      <c r="C225" s="7" t="s">
        <v>33</v>
      </c>
      <c r="D225" s="9" t="str">
        <f>+'[1]BASE RED COMERCIAL'!$E223</f>
        <v>AV CENTENARIO</v>
      </c>
      <c r="E225" s="7">
        <f>+'[1]BASE RED COMERCIAL'!$F223</f>
        <v>589</v>
      </c>
      <c r="F225" s="14" t="str">
        <f>+'[1]BASE RED COMERCIAL'!$I223</f>
        <v>B2717ZAA</v>
      </c>
      <c r="G225" s="7" t="str">
        <f>+'[1]BASE RED COMERCIAL'!$D223</f>
        <v>ACEVEDO</v>
      </c>
      <c r="H225" s="7" t="str">
        <f>+'[1]BASE RED COMERCIAL'!$B223</f>
        <v>BUENOS AIRES</v>
      </c>
      <c r="I225" s="8" t="str">
        <f>+'[1]BASE RED COMERCIAL'!$C223</f>
        <v>PERGAMINO</v>
      </c>
      <c r="J225" s="10"/>
      <c r="K225" s="10"/>
    </row>
    <row r="226" spans="1:11" x14ac:dyDescent="0.25">
      <c r="A226" s="14" t="str">
        <f>+'[1]BASE RED COMERCIAL'!$A224</f>
        <v>B0404</v>
      </c>
      <c r="B226" s="8" t="str">
        <f>+'[1]BASE RED COMERCIAL'!$H224</f>
        <v>ALSINA</v>
      </c>
      <c r="C226" s="7" t="s">
        <v>33</v>
      </c>
      <c r="D226" s="9" t="str">
        <f>+'[1]BASE RED COMERCIAL'!$E224</f>
        <v>AV GRAL SAN MARTIN</v>
      </c>
      <c r="E226" s="7">
        <f>+'[1]BASE RED COMERCIAL'!$F224</f>
        <v>280</v>
      </c>
      <c r="F226" s="14" t="str">
        <f>+'[1]BASE RED COMERCIAL'!$I224</f>
        <v>B2938ZAA</v>
      </c>
      <c r="G226" s="7" t="str">
        <f>+'[1]BASE RED COMERCIAL'!$D224</f>
        <v>ALSINA</v>
      </c>
      <c r="H226" s="7" t="str">
        <f>+'[1]BASE RED COMERCIAL'!$B224</f>
        <v>BUENOS AIRES</v>
      </c>
      <c r="I226" s="8" t="str">
        <f>+'[1]BASE RED COMERCIAL'!$C224</f>
        <v>BARADERO</v>
      </c>
      <c r="J226" s="10"/>
      <c r="K226" s="10"/>
    </row>
    <row r="227" spans="1:11" x14ac:dyDescent="0.25">
      <c r="A227" s="14" t="str">
        <f>+'[1]BASE RED COMERCIAL'!$A225</f>
        <v>B0406</v>
      </c>
      <c r="B227" s="8" t="str">
        <f>+'[1]BASE RED COMERCIAL'!$H225</f>
        <v>ARRECIFES</v>
      </c>
      <c r="C227" s="7" t="s">
        <v>33</v>
      </c>
      <c r="D227" s="9" t="str">
        <f>+'[1]BASE RED COMERCIAL'!$E225</f>
        <v>AV DR MANUEL BELGRANO</v>
      </c>
      <c r="E227" s="7">
        <f>+'[1]BASE RED COMERCIAL'!$F225</f>
        <v>42</v>
      </c>
      <c r="F227" s="14" t="str">
        <f>+'[1]BASE RED COMERCIAL'!$I225</f>
        <v>B2740ZAA</v>
      </c>
      <c r="G227" s="7" t="str">
        <f>+'[1]BASE RED COMERCIAL'!$D225</f>
        <v>ARRECIFES</v>
      </c>
      <c r="H227" s="7" t="str">
        <f>+'[1]BASE RED COMERCIAL'!$B225</f>
        <v>BUENOS AIRES</v>
      </c>
      <c r="I227" s="8" t="str">
        <f>+'[1]BASE RED COMERCIAL'!$C225</f>
        <v>ARRECIFES</v>
      </c>
      <c r="J227" s="10"/>
      <c r="K227" s="10"/>
    </row>
    <row r="228" spans="1:11" x14ac:dyDescent="0.25">
      <c r="A228" s="14" t="str">
        <f>+'[1]BASE RED COMERCIAL'!$A226</f>
        <v>B0408</v>
      </c>
      <c r="B228" s="8" t="str">
        <f>+'[1]BASE RED COMERCIAL'!$H226</f>
        <v>BARADERO</v>
      </c>
      <c r="C228" s="7" t="s">
        <v>33</v>
      </c>
      <c r="D228" s="9" t="str">
        <f>+'[1]BASE RED COMERCIAL'!$E226</f>
        <v>PEDRO M ARAOZ</v>
      </c>
      <c r="E228" s="7">
        <f>+'[1]BASE RED COMERCIAL'!$F226</f>
        <v>999</v>
      </c>
      <c r="F228" s="14" t="str">
        <f>+'[1]BASE RED COMERCIAL'!$I226</f>
        <v>B2942ZAA</v>
      </c>
      <c r="G228" s="7" t="str">
        <f>+'[1]BASE RED COMERCIAL'!$D226</f>
        <v>BARADERO</v>
      </c>
      <c r="H228" s="7" t="str">
        <f>+'[1]BASE RED COMERCIAL'!$B226</f>
        <v>BUENOS AIRES</v>
      </c>
      <c r="I228" s="8" t="str">
        <f>+'[1]BASE RED COMERCIAL'!$C226</f>
        <v>BARADERO</v>
      </c>
      <c r="J228" s="10"/>
      <c r="K228" s="10"/>
    </row>
    <row r="229" spans="1:11" x14ac:dyDescent="0.25">
      <c r="A229" s="14" t="str">
        <f>+'[1]BASE RED COMERCIAL'!$A227</f>
        <v>B0412</v>
      </c>
      <c r="B229" s="8" t="str">
        <f>+'[1]BASE RED COMERCIAL'!$H227</f>
        <v>CAMPANA</v>
      </c>
      <c r="C229" s="7" t="s">
        <v>33</v>
      </c>
      <c r="D229" s="9" t="str">
        <f>+'[1]BASE RED COMERCIAL'!$E227</f>
        <v>SAN MARTIN</v>
      </c>
      <c r="E229" s="7">
        <f>+'[1]BASE RED COMERCIAL'!$F227</f>
        <v>274</v>
      </c>
      <c r="F229" s="14" t="str">
        <f>+'[1]BASE RED COMERCIAL'!$I227</f>
        <v>B2804ZAA</v>
      </c>
      <c r="G229" s="7" t="str">
        <f>+'[1]BASE RED COMERCIAL'!$D227</f>
        <v>CAMPANA</v>
      </c>
      <c r="H229" s="7" t="str">
        <f>+'[1]BASE RED COMERCIAL'!$B227</f>
        <v>BUENOS AIRES</v>
      </c>
      <c r="I229" s="8" t="str">
        <f>+'[1]BASE RED COMERCIAL'!$C227</f>
        <v>CAMPANA</v>
      </c>
      <c r="J229" s="10"/>
      <c r="K229" s="10"/>
    </row>
    <row r="230" spans="1:11" x14ac:dyDescent="0.25">
      <c r="A230" s="14" t="str">
        <f>+'[1]BASE RED COMERCIAL'!$A228</f>
        <v>B0414</v>
      </c>
      <c r="B230" s="8" t="str">
        <f>+'[1]BASE RED COMERCIAL'!$H228</f>
        <v>CAPILLA DEL SEÃ‘OR</v>
      </c>
      <c r="C230" s="7" t="s">
        <v>33</v>
      </c>
      <c r="D230" s="9" t="str">
        <f>+'[1]BASE RED COMERCIAL'!$E228</f>
        <v>PTE H YRIGOYEN</v>
      </c>
      <c r="E230" s="7">
        <f>+'[1]BASE RED COMERCIAL'!$F228</f>
        <v>709</v>
      </c>
      <c r="F230" s="14" t="str">
        <f>+'[1]BASE RED COMERCIAL'!$I228</f>
        <v>B2812ZAA</v>
      </c>
      <c r="G230" s="7" t="str">
        <f>+'[1]BASE RED COMERCIAL'!$D228</f>
        <v>CAPILLA DEL SEÃ‘OR</v>
      </c>
      <c r="H230" s="7" t="str">
        <f>+'[1]BASE RED COMERCIAL'!$B228</f>
        <v>BUENOS AIRES</v>
      </c>
      <c r="I230" s="8" t="str">
        <f>+'[1]BASE RED COMERCIAL'!$C228</f>
        <v>EXALTACION DE LA CRUZ</v>
      </c>
      <c r="J230" s="10"/>
      <c r="K230" s="10"/>
    </row>
    <row r="231" spans="1:11" x14ac:dyDescent="0.25">
      <c r="A231" s="14" t="str">
        <f>+'[1]BASE RED COMERCIAL'!$A229</f>
        <v>B0416</v>
      </c>
      <c r="B231" s="8" t="str">
        <f>+'[1]BASE RED COMERCIAL'!$H229</f>
        <v>CAP. SARMIENTO</v>
      </c>
      <c r="C231" s="7" t="s">
        <v>33</v>
      </c>
      <c r="D231" s="9" t="str">
        <f>+'[1]BASE RED COMERCIAL'!$E229</f>
        <v>AV BME MITRE</v>
      </c>
      <c r="E231" s="7">
        <f>+'[1]BASE RED COMERCIAL'!$F229</f>
        <v>272</v>
      </c>
      <c r="F231" s="14" t="str">
        <f>+'[1]BASE RED COMERCIAL'!$I229</f>
        <v>B2752ZAA</v>
      </c>
      <c r="G231" s="7" t="str">
        <f>+'[1]BASE RED COMERCIAL'!$D229</f>
        <v>CAPITAN SARMIENTO</v>
      </c>
      <c r="H231" s="7" t="str">
        <f>+'[1]BASE RED COMERCIAL'!$B229</f>
        <v>BUENOS AIRES</v>
      </c>
      <c r="I231" s="8" t="str">
        <f>+'[1]BASE RED COMERCIAL'!$C229</f>
        <v>CAPITAN SARMIENTO</v>
      </c>
      <c r="J231" s="10"/>
      <c r="K231" s="10"/>
    </row>
    <row r="232" spans="1:11" x14ac:dyDescent="0.25">
      <c r="A232" s="14" t="str">
        <f>+'[1]BASE RED COMERCIAL'!$A230</f>
        <v>B0418</v>
      </c>
      <c r="B232" s="8" t="str">
        <f>+'[1]BASE RED COMERCIAL'!$H230</f>
        <v>COLON</v>
      </c>
      <c r="C232" s="7" t="s">
        <v>33</v>
      </c>
      <c r="D232" s="9" t="str">
        <f>+'[1]BASE RED COMERCIAL'!$E230</f>
        <v>CALLE 47</v>
      </c>
      <c r="E232" s="7">
        <f>+'[1]BASE RED COMERCIAL'!$F230</f>
        <v>850</v>
      </c>
      <c r="F232" s="14" t="str">
        <f>+'[1]BASE RED COMERCIAL'!$I230</f>
        <v>B2720ZAA</v>
      </c>
      <c r="G232" s="7" t="str">
        <f>+'[1]BASE RED COMERCIAL'!$D230</f>
        <v>COLON</v>
      </c>
      <c r="H232" s="7" t="str">
        <f>+'[1]BASE RED COMERCIAL'!$B230</f>
        <v>BUENOS AIRES</v>
      </c>
      <c r="I232" s="8" t="str">
        <f>+'[1]BASE RED COMERCIAL'!$C230</f>
        <v>COLON</v>
      </c>
      <c r="J232" s="10"/>
      <c r="K232" s="10"/>
    </row>
    <row r="233" spans="1:11" x14ac:dyDescent="0.25">
      <c r="A233" s="14" t="str">
        <f>+'[1]BASE RED COMERCIAL'!$A231</f>
        <v>B0420</v>
      </c>
      <c r="B233" s="8" t="str">
        <f>+'[1]BASE RED COMERCIAL'!$H231</f>
        <v>CONESA</v>
      </c>
      <c r="C233" s="7" t="s">
        <v>33</v>
      </c>
      <c r="D233" s="9" t="str">
        <f>+'[1]BASE RED COMERCIAL'!$E231</f>
        <v>FORMOSA</v>
      </c>
      <c r="E233" s="7">
        <f>+'[1]BASE RED COMERCIAL'!$F231</f>
        <v>88</v>
      </c>
      <c r="F233" s="14" t="str">
        <f>+'[1]BASE RED COMERCIAL'!$I231</f>
        <v>B2907ZAA</v>
      </c>
      <c r="G233" s="7" t="str">
        <f>+'[1]BASE RED COMERCIAL'!$D231</f>
        <v>GENERAL CONESA</v>
      </c>
      <c r="H233" s="7" t="str">
        <f>+'[1]BASE RED COMERCIAL'!$B231</f>
        <v>BUENOS AIRES</v>
      </c>
      <c r="I233" s="8" t="str">
        <f>+'[1]BASE RED COMERCIAL'!$C231</f>
        <v>SAN NICOLAS</v>
      </c>
      <c r="J233" s="10"/>
      <c r="K233" s="10"/>
    </row>
    <row r="234" spans="1:11" x14ac:dyDescent="0.25">
      <c r="A234" s="14" t="str">
        <f>+'[1]BASE RED COMERCIAL'!$A232</f>
        <v>B0422</v>
      </c>
      <c r="B234" s="8" t="str">
        <f>+'[1]BASE RED COMERCIAL'!$H232</f>
        <v>EL PARAISO</v>
      </c>
      <c r="C234" s="7" t="s">
        <v>33</v>
      </c>
      <c r="D234" s="9" t="str">
        <f>+'[1]BASE RED COMERCIAL'!$E232</f>
        <v>ELOY VELAZ</v>
      </c>
      <c r="E234" s="7">
        <f>+'[1]BASE RED COMERCIAL'!$F232</f>
        <v>0</v>
      </c>
      <c r="F234" s="14" t="str">
        <f>+'[1]BASE RED COMERCIAL'!$I232</f>
        <v>B2916ZAA</v>
      </c>
      <c r="G234" s="7" t="str">
        <f>+'[1]BASE RED COMERCIAL'!$D232</f>
        <v>EL PARAISO</v>
      </c>
      <c r="H234" s="7" t="str">
        <f>+'[1]BASE RED COMERCIAL'!$B232</f>
        <v>BUENOS AIRES</v>
      </c>
      <c r="I234" s="8" t="str">
        <f>+'[1]BASE RED COMERCIAL'!$C232</f>
        <v>RAMALLO</v>
      </c>
      <c r="J234" s="10"/>
      <c r="K234" s="10"/>
    </row>
    <row r="235" spans="1:11" x14ac:dyDescent="0.25">
      <c r="A235" s="14" t="str">
        <f>+'[1]BASE RED COMERCIAL'!$A233</f>
        <v>B0424</v>
      </c>
      <c r="B235" s="8" t="str">
        <f>+'[1]BASE RED COMERCIAL'!$H233</f>
        <v>EL SOCORRO</v>
      </c>
      <c r="C235" s="7" t="s">
        <v>33</v>
      </c>
      <c r="D235" s="9" t="str">
        <f>+'[1]BASE RED COMERCIAL'!$E233</f>
        <v>JOSE LORENZO MORENO</v>
      </c>
      <c r="E235" s="7">
        <f>+'[1]BASE RED COMERCIAL'!$F233</f>
        <v>630</v>
      </c>
      <c r="F235" s="14" t="str">
        <f>+'[1]BASE RED COMERCIAL'!$I233</f>
        <v>B2715ZAA</v>
      </c>
      <c r="G235" s="7" t="str">
        <f>+'[1]BASE RED COMERCIAL'!$D233</f>
        <v>EL SOCORRO</v>
      </c>
      <c r="H235" s="7" t="str">
        <f>+'[1]BASE RED COMERCIAL'!$B233</f>
        <v>BUENOS AIRES</v>
      </c>
      <c r="I235" s="8" t="str">
        <f>+'[1]BASE RED COMERCIAL'!$C233</f>
        <v>PERGAMINO</v>
      </c>
      <c r="J235" s="10"/>
      <c r="K235" s="10"/>
    </row>
    <row r="236" spans="1:11" x14ac:dyDescent="0.25">
      <c r="A236" s="14" t="str">
        <f>+'[1]BASE RED COMERCIAL'!$A234</f>
        <v>B0426</v>
      </c>
      <c r="B236" s="8" t="str">
        <f>+'[1]BASE RED COMERCIAL'!$H234</f>
        <v>ESCOBAR</v>
      </c>
      <c r="C236" s="7" t="s">
        <v>33</v>
      </c>
      <c r="D236" s="9" t="str">
        <f>+'[1]BASE RED COMERCIAL'!$E234</f>
        <v>RIVADAVIA</v>
      </c>
      <c r="E236" s="7">
        <f>+'[1]BASE RED COMERCIAL'!$F234</f>
        <v>302</v>
      </c>
      <c r="F236" s="14" t="str">
        <f>+'[1]BASE RED COMERCIAL'!$I234</f>
        <v>B1625ZAA</v>
      </c>
      <c r="G236" s="7" t="str">
        <f>+'[1]BASE RED COMERCIAL'!$D234</f>
        <v>BELEN DE ESCOBAR</v>
      </c>
      <c r="H236" s="7" t="str">
        <f>+'[1]BASE RED COMERCIAL'!$B234</f>
        <v>BUENOS AIRES</v>
      </c>
      <c r="I236" s="8" t="str">
        <f>+'[1]BASE RED COMERCIAL'!$C234</f>
        <v>ESCOBAR</v>
      </c>
      <c r="J236" s="10"/>
      <c r="K236" s="10"/>
    </row>
    <row r="237" spans="1:11" x14ac:dyDescent="0.25">
      <c r="A237" s="14" t="str">
        <f>+'[1]BASE RED COMERCIAL'!$A235</f>
        <v>B0428</v>
      </c>
      <c r="B237" s="8" t="str">
        <f>+'[1]BASE RED COMERCIAL'!$H235</f>
        <v>GARIN</v>
      </c>
      <c r="C237" s="7" t="s">
        <v>33</v>
      </c>
      <c r="D237" s="9" t="str">
        <f>+'[1]BASE RED COMERCIAL'!$E235</f>
        <v>CASTELAR</v>
      </c>
      <c r="E237" s="7">
        <f>+'[1]BASE RED COMERCIAL'!$F235</f>
        <v>974</v>
      </c>
      <c r="F237" s="14" t="str">
        <f>+'[1]BASE RED COMERCIAL'!$I235</f>
        <v>B1619ZAA</v>
      </c>
      <c r="G237" s="7" t="str">
        <f>+'[1]BASE RED COMERCIAL'!$D235</f>
        <v>GARIN</v>
      </c>
      <c r="H237" s="7" t="str">
        <f>+'[1]BASE RED COMERCIAL'!$B235</f>
        <v>BUENOS AIRES</v>
      </c>
      <c r="I237" s="8" t="str">
        <f>+'[1]BASE RED COMERCIAL'!$C235</f>
        <v>ESCOBAR</v>
      </c>
      <c r="J237" s="10"/>
      <c r="K237" s="10"/>
    </row>
    <row r="238" spans="1:11" x14ac:dyDescent="0.25">
      <c r="A238" s="14" t="str">
        <f>+'[1]BASE RED COMERCIAL'!$A236</f>
        <v>B0430</v>
      </c>
      <c r="B238" s="8" t="str">
        <f>+'[1]BASE RED COMERCIAL'!$H236</f>
        <v>GENERAL ROJO</v>
      </c>
      <c r="C238" s="7" t="s">
        <v>33</v>
      </c>
      <c r="D238" s="9" t="str">
        <f>+'[1]BASE RED COMERCIAL'!$E236</f>
        <v>RAMALLO</v>
      </c>
      <c r="E238" s="7">
        <f>+'[1]BASE RED COMERCIAL'!$F236</f>
        <v>1</v>
      </c>
      <c r="F238" s="14" t="str">
        <f>+'[1]BASE RED COMERCIAL'!$I236</f>
        <v>B2905ZAA</v>
      </c>
      <c r="G238" s="7" t="str">
        <f>+'[1]BASE RED COMERCIAL'!$D236</f>
        <v>GENERAL ROJO</v>
      </c>
      <c r="H238" s="7" t="str">
        <f>+'[1]BASE RED COMERCIAL'!$B236</f>
        <v>BUENOS AIRES</v>
      </c>
      <c r="I238" s="8" t="str">
        <f>+'[1]BASE RED COMERCIAL'!$C236</f>
        <v>SAN NICOLAS</v>
      </c>
      <c r="J238" s="10"/>
      <c r="K238" s="10"/>
    </row>
    <row r="239" spans="1:11" x14ac:dyDescent="0.25">
      <c r="A239" s="14" t="str">
        <f>+'[1]BASE RED COMERCIAL'!$A237</f>
        <v>B0432</v>
      </c>
      <c r="B239" s="8" t="str">
        <f>+'[1]BASE RED COMERCIAL'!$H237</f>
        <v>GOB. CASTRO</v>
      </c>
      <c r="C239" s="7" t="s">
        <v>33</v>
      </c>
      <c r="D239" s="9" t="str">
        <f>+'[1]BASE RED COMERCIAL'!$E237</f>
        <v>GRAL M BELGRANO</v>
      </c>
      <c r="E239" s="7">
        <f>+'[1]BASE RED COMERCIAL'!$F237</f>
        <v>500</v>
      </c>
      <c r="F239" s="14" t="str">
        <f>+'[1]BASE RED COMERCIAL'!$I237</f>
        <v>B2946ZAA</v>
      </c>
      <c r="G239" s="7" t="str">
        <f>+'[1]BASE RED COMERCIAL'!$D237</f>
        <v>GOBERNADOR CASTRO</v>
      </c>
      <c r="H239" s="7" t="str">
        <f>+'[1]BASE RED COMERCIAL'!$B237</f>
        <v>BUENOS AIRES</v>
      </c>
      <c r="I239" s="8" t="str">
        <f>+'[1]BASE RED COMERCIAL'!$C237</f>
        <v>SAN PEDRO</v>
      </c>
      <c r="J239" s="10"/>
      <c r="K239" s="10"/>
    </row>
    <row r="240" spans="1:11" x14ac:dyDescent="0.25">
      <c r="A240" s="14" t="str">
        <f>+'[1]BASE RED COMERCIAL'!$A238</f>
        <v>B0434</v>
      </c>
      <c r="B240" s="8" t="str">
        <f>+'[1]BASE RED COMERCIAL'!$H238</f>
        <v>ING. MASCHWITZ</v>
      </c>
      <c r="C240" s="7" t="s">
        <v>33</v>
      </c>
      <c r="D240" s="9" t="str">
        <f>+'[1]BASE RED COMERCIAL'!$E238</f>
        <v>LA PLATA</v>
      </c>
      <c r="E240" s="7">
        <f>+'[1]BASE RED COMERCIAL'!$F238</f>
        <v>1125</v>
      </c>
      <c r="F240" s="14" t="str">
        <f>+'[1]BASE RED COMERCIAL'!$I238</f>
        <v>B1623ZAA</v>
      </c>
      <c r="G240" s="7" t="str">
        <f>+'[1]BASE RED COMERCIAL'!$D238</f>
        <v>INGENIERO MASCHWITZ</v>
      </c>
      <c r="H240" s="7" t="str">
        <f>+'[1]BASE RED COMERCIAL'!$B238</f>
        <v>BUENOS AIRES</v>
      </c>
      <c r="I240" s="8" t="str">
        <f>+'[1]BASE RED COMERCIAL'!$C238</f>
        <v>ESCOBAR</v>
      </c>
      <c r="J240" s="10"/>
      <c r="K240" s="10"/>
    </row>
    <row r="241" spans="1:11" x14ac:dyDescent="0.25">
      <c r="A241" s="14" t="str">
        <f>+'[1]BASE RED COMERCIAL'!$A239</f>
        <v>B0436</v>
      </c>
      <c r="B241" s="8" t="str">
        <f>+'[1]BASE RED COMERCIAL'!$H239</f>
        <v>LA EMILIA</v>
      </c>
      <c r="C241" s="7" t="s">
        <v>33</v>
      </c>
      <c r="D241" s="9" t="str">
        <f>+'[1]BASE RED COMERCIAL'!$E239</f>
        <v>JOSE CORDOBA</v>
      </c>
      <c r="E241" s="7">
        <f>+'[1]BASE RED COMERCIAL'!$F239</f>
        <v>335</v>
      </c>
      <c r="F241" s="14" t="str">
        <f>+'[1]BASE RED COMERCIAL'!$I239</f>
        <v>B2901ZAA</v>
      </c>
      <c r="G241" s="7" t="str">
        <f>+'[1]BASE RED COMERCIAL'!$D239</f>
        <v>SAN NICOLAS DE LOS ARROYOS</v>
      </c>
      <c r="H241" s="7" t="str">
        <f>+'[1]BASE RED COMERCIAL'!$B239</f>
        <v>BUENOS AIRES</v>
      </c>
      <c r="I241" s="8" t="str">
        <f>+'[1]BASE RED COMERCIAL'!$C239</f>
        <v>SAN NICOLAS</v>
      </c>
      <c r="J241" s="10"/>
      <c r="K241" s="10"/>
    </row>
    <row r="242" spans="1:11" x14ac:dyDescent="0.25">
      <c r="A242" s="14" t="str">
        <f>+'[1]BASE RED COMERCIAL'!$A240</f>
        <v>B0438</v>
      </c>
      <c r="B242" s="8" t="str">
        <f>+'[1]BASE RED COMERCIAL'!$H240</f>
        <v>LIMA</v>
      </c>
      <c r="C242" s="7" t="s">
        <v>33</v>
      </c>
      <c r="D242" s="9" t="str">
        <f>+'[1]BASE RED COMERCIAL'!$E240</f>
        <v>AV 11</v>
      </c>
      <c r="E242" s="7">
        <f>+'[1]BASE RED COMERCIAL'!$F240</f>
        <v>171</v>
      </c>
      <c r="F242" s="14" t="str">
        <f>+'[1]BASE RED COMERCIAL'!$I240</f>
        <v>B2806ZAA</v>
      </c>
      <c r="G242" s="7" t="str">
        <f>+'[1]BASE RED COMERCIAL'!$D240</f>
        <v>LIMA</v>
      </c>
      <c r="H242" s="7" t="str">
        <f>+'[1]BASE RED COMERCIAL'!$B240</f>
        <v>BUENOS AIRES</v>
      </c>
      <c r="I242" s="8" t="str">
        <f>+'[1]BASE RED COMERCIAL'!$C240</f>
        <v>ZARATE</v>
      </c>
      <c r="J242" s="10"/>
      <c r="K242" s="10"/>
    </row>
    <row r="243" spans="1:11" x14ac:dyDescent="0.25">
      <c r="A243" s="14" t="str">
        <f>+'[1]BASE RED COMERCIAL'!$A241</f>
        <v>B0440</v>
      </c>
      <c r="B243" s="8" t="str">
        <f>+'[1]BASE RED COMERCIAL'!$H241</f>
        <v>MATHEU</v>
      </c>
      <c r="C243" s="7" t="s">
        <v>33</v>
      </c>
      <c r="D243" s="9" t="str">
        <f>+'[1]BASE RED COMERCIAL'!$E241</f>
        <v>MORENO</v>
      </c>
      <c r="E243" s="7">
        <f>+'[1]BASE RED COMERCIAL'!$F241</f>
        <v>226</v>
      </c>
      <c r="F243" s="14" t="str">
        <f>+'[1]BASE RED COMERCIAL'!$I241</f>
        <v>B1627ZAA</v>
      </c>
      <c r="G243" s="7" t="str">
        <f>+'[1]BASE RED COMERCIAL'!$D241</f>
        <v>MATHEU</v>
      </c>
      <c r="H243" s="7" t="str">
        <f>+'[1]BASE RED COMERCIAL'!$B241</f>
        <v>BUENOS AIRES</v>
      </c>
      <c r="I243" s="8" t="str">
        <f>+'[1]BASE RED COMERCIAL'!$C241</f>
        <v>ESCOBAR</v>
      </c>
      <c r="J243" s="10"/>
      <c r="K243" s="10"/>
    </row>
    <row r="244" spans="1:11" x14ac:dyDescent="0.25">
      <c r="A244" s="14" t="str">
        <f>+'[1]BASE RED COMERCIAL'!$A242</f>
        <v>B0442</v>
      </c>
      <c r="B244" s="8" t="str">
        <f>+'[1]BASE RED COMERCIAL'!$H242</f>
        <v>MAQ.F. SAVIO</v>
      </c>
      <c r="C244" s="7" t="s">
        <v>33</v>
      </c>
      <c r="D244" s="9" t="str">
        <f>+'[1]BASE RED COMERCIAL'!$E242</f>
        <v>AV CONSTITUCION</v>
      </c>
      <c r="E244" s="7">
        <f>+'[1]BASE RED COMERCIAL'!$F242</f>
        <v>122</v>
      </c>
      <c r="F244" s="14" t="str">
        <f>+'[1]BASE RED COMERCIAL'!$I242</f>
        <v>B1620ZAA</v>
      </c>
      <c r="G244" s="7" t="str">
        <f>+'[1]BASE RED COMERCIAL'!$D242</f>
        <v>MAQUINISTA F SAVIO</v>
      </c>
      <c r="H244" s="7" t="str">
        <f>+'[1]BASE RED COMERCIAL'!$B242</f>
        <v>BUENOS AIRES</v>
      </c>
      <c r="I244" s="8" t="str">
        <f>+'[1]BASE RED COMERCIAL'!$C242</f>
        <v>ESCOBAR</v>
      </c>
      <c r="J244" s="10"/>
      <c r="K244" s="10"/>
    </row>
    <row r="245" spans="1:11" x14ac:dyDescent="0.25">
      <c r="A245" s="14" t="str">
        <f>+'[1]BASE RED COMERCIAL'!$A243</f>
        <v>B0444</v>
      </c>
      <c r="B245" s="8" t="str">
        <f>+'[1]BASE RED COMERCIAL'!$H243</f>
        <v>PEREZ MILLAN</v>
      </c>
      <c r="C245" s="7" t="s">
        <v>33</v>
      </c>
      <c r="D245" s="9" t="str">
        <f>+'[1]BASE RED COMERCIAL'!$E243</f>
        <v>AV DR MANFREDI</v>
      </c>
      <c r="E245" s="7">
        <f>+'[1]BASE RED COMERCIAL'!$F243</f>
        <v>672</v>
      </c>
      <c r="F245" s="14" t="str">
        <f>+'[1]BASE RED COMERCIAL'!$I243</f>
        <v>B2933ZAA</v>
      </c>
      <c r="G245" s="7" t="str">
        <f>+'[1]BASE RED COMERCIAL'!$D243</f>
        <v>PEREZ MILLAN</v>
      </c>
      <c r="H245" s="7" t="str">
        <f>+'[1]BASE RED COMERCIAL'!$B243</f>
        <v>BUENOS AIRES</v>
      </c>
      <c r="I245" s="8" t="str">
        <f>+'[1]BASE RED COMERCIAL'!$C243</f>
        <v>RAMALLO</v>
      </c>
      <c r="J245" s="10"/>
      <c r="K245" s="10"/>
    </row>
    <row r="246" spans="1:11" x14ac:dyDescent="0.25">
      <c r="A246" s="14" t="str">
        <f>+'[1]BASE RED COMERCIAL'!$A244</f>
        <v>B0446</v>
      </c>
      <c r="B246" s="8" t="str">
        <f>+'[1]BASE RED COMERCIAL'!$H244</f>
        <v>PILAR</v>
      </c>
      <c r="C246" s="7" t="s">
        <v>33</v>
      </c>
      <c r="D246" s="9" t="str">
        <f>+'[1]BASE RED COMERCIAL'!$E244</f>
        <v>PEDRO LAGRAVE</v>
      </c>
      <c r="E246" s="7">
        <f>+'[1]BASE RED COMERCIAL'!$F244</f>
        <v>451</v>
      </c>
      <c r="F246" s="14" t="str">
        <f>+'[1]BASE RED COMERCIAL'!$I244</f>
        <v>B1629ZAA</v>
      </c>
      <c r="G246" s="7" t="str">
        <f>+'[1]BASE RED COMERCIAL'!$D244</f>
        <v>PILAR</v>
      </c>
      <c r="H246" s="7" t="str">
        <f>+'[1]BASE RED COMERCIAL'!$B244</f>
        <v>BUENOS AIRES</v>
      </c>
      <c r="I246" s="8" t="str">
        <f>+'[1]BASE RED COMERCIAL'!$C244</f>
        <v>PILAR</v>
      </c>
      <c r="J246" s="10"/>
      <c r="K246" s="10"/>
    </row>
    <row r="247" spans="1:11" x14ac:dyDescent="0.25">
      <c r="A247" s="14" t="str">
        <f>+'[1]BASE RED COMERCIAL'!$A245</f>
        <v>B0448</v>
      </c>
      <c r="B247" s="8" t="str">
        <f>+'[1]BASE RED COMERCIAL'!$H245</f>
        <v>PRESIDENTE DERQUI</v>
      </c>
      <c r="C247" s="7" t="s">
        <v>33</v>
      </c>
      <c r="D247" s="9" t="str">
        <f>+'[1]BASE RED COMERCIAL'!$E245</f>
        <v>RIVADAVIA</v>
      </c>
      <c r="E247" s="7">
        <f>+'[1]BASE RED COMERCIAL'!$F245</f>
        <v>389</v>
      </c>
      <c r="F247" s="14" t="str">
        <f>+'[1]BASE RED COMERCIAL'!$I245</f>
        <v>B1635ZAA</v>
      </c>
      <c r="G247" s="7" t="str">
        <f>+'[1]BASE RED COMERCIAL'!$D245</f>
        <v>PRESIDENTE DERQUI</v>
      </c>
      <c r="H247" s="7" t="str">
        <f>+'[1]BASE RED COMERCIAL'!$B245</f>
        <v>BUENOS AIRES</v>
      </c>
      <c r="I247" s="8" t="str">
        <f>+'[1]BASE RED COMERCIAL'!$C245</f>
        <v>PILAR</v>
      </c>
      <c r="J247" s="10"/>
      <c r="K247" s="10"/>
    </row>
    <row r="248" spans="1:11" x14ac:dyDescent="0.25">
      <c r="A248" s="14" t="str">
        <f>+'[1]BASE RED COMERCIAL'!$A246</f>
        <v>B0450</v>
      </c>
      <c r="B248" s="8" t="str">
        <f>+'[1]BASE RED COMERCIAL'!$H246</f>
        <v>RAMALLO</v>
      </c>
      <c r="C248" s="7" t="s">
        <v>33</v>
      </c>
      <c r="D248" s="9" t="str">
        <f>+'[1]BASE RED COMERCIAL'!$E246</f>
        <v>EVA PERON</v>
      </c>
      <c r="E248" s="7">
        <f>+'[1]BASE RED COMERCIAL'!$F246</f>
        <v>698</v>
      </c>
      <c r="F248" s="14" t="str">
        <f>+'[1]BASE RED COMERCIAL'!$I246</f>
        <v>B2915ZAA</v>
      </c>
      <c r="G248" s="7" t="str">
        <f>+'[1]BASE RED COMERCIAL'!$D246</f>
        <v>RAMALLO</v>
      </c>
      <c r="H248" s="7" t="str">
        <f>+'[1]BASE RED COMERCIAL'!$B246</f>
        <v>BUENOS AIRES</v>
      </c>
      <c r="I248" s="8" t="str">
        <f>+'[1]BASE RED COMERCIAL'!$C246</f>
        <v>RAMALLO</v>
      </c>
      <c r="J248" s="10"/>
      <c r="K248" s="10"/>
    </row>
    <row r="249" spans="1:11" x14ac:dyDescent="0.25">
      <c r="A249" s="14" t="str">
        <f>+'[1]BASE RED COMERCIAL'!$A247</f>
        <v>B0452</v>
      </c>
      <c r="B249" s="8" t="str">
        <f>+'[1]BASE RED COMERCIAL'!$H247</f>
        <v>RIO TALA</v>
      </c>
      <c r="C249" s="7" t="s">
        <v>33</v>
      </c>
      <c r="D249" s="9" t="str">
        <f>+'[1]BASE RED COMERCIAL'!$E247</f>
        <v>B RIVADAVIA</v>
      </c>
      <c r="E249" s="7">
        <f>+'[1]BASE RED COMERCIAL'!$F247</f>
        <v>115</v>
      </c>
      <c r="F249" s="14" t="str">
        <f>+'[1]BASE RED COMERCIAL'!$I247</f>
        <v>B2944ZAA</v>
      </c>
      <c r="G249" s="7" t="str">
        <f>+'[1]BASE RED COMERCIAL'!$D247</f>
        <v>RIO TALA</v>
      </c>
      <c r="H249" s="7" t="str">
        <f>+'[1]BASE RED COMERCIAL'!$B247</f>
        <v>BUENOS AIRES</v>
      </c>
      <c r="I249" s="8" t="str">
        <f>+'[1]BASE RED COMERCIAL'!$C247</f>
        <v>SAN PEDRO</v>
      </c>
      <c r="J249" s="10"/>
      <c r="K249" s="10"/>
    </row>
    <row r="250" spans="1:11" x14ac:dyDescent="0.25">
      <c r="A250" s="14" t="str">
        <f>+'[1]BASE RED COMERCIAL'!$A248</f>
        <v>B0454</v>
      </c>
      <c r="B250" s="8" t="str">
        <f>+'[1]BASE RED COMERCIAL'!$H248</f>
        <v>SAN A. DE ARECO</v>
      </c>
      <c r="C250" s="7" t="s">
        <v>33</v>
      </c>
      <c r="D250" s="9" t="str">
        <f>+'[1]BASE RED COMERCIAL'!$E248</f>
        <v>ARISTOBULO DEL VALLE</v>
      </c>
      <c r="E250" s="7">
        <f>+'[1]BASE RED COMERCIAL'!$F248</f>
        <v>355</v>
      </c>
      <c r="F250" s="14" t="str">
        <f>+'[1]BASE RED COMERCIAL'!$I248</f>
        <v>B2760ZAA</v>
      </c>
      <c r="G250" s="7" t="str">
        <f>+'[1]BASE RED COMERCIAL'!$D248</f>
        <v>SAN ANTONIO DE ARECO</v>
      </c>
      <c r="H250" s="7" t="str">
        <f>+'[1]BASE RED COMERCIAL'!$B248</f>
        <v>BUENOS AIRES</v>
      </c>
      <c r="I250" s="8" t="str">
        <f>+'[1]BASE RED COMERCIAL'!$C248</f>
        <v>SAN ANTONIO DE ARECO</v>
      </c>
      <c r="J250" s="10"/>
      <c r="K250" s="10"/>
    </row>
    <row r="251" spans="1:11" x14ac:dyDescent="0.25">
      <c r="A251" s="14" t="str">
        <f>+'[1]BASE RED COMERCIAL'!$A249</f>
        <v>B0456</v>
      </c>
      <c r="B251" s="8" t="str">
        <f>+'[1]BASE RED COMERCIAL'!$H249</f>
        <v>SAN NICOLAS</v>
      </c>
      <c r="C251" s="7" t="s">
        <v>33</v>
      </c>
      <c r="D251" s="9" t="str">
        <f>+'[1]BASE RED COMERCIAL'!$E249</f>
        <v>DE LA NACION</v>
      </c>
      <c r="E251" s="7">
        <f>+'[1]BASE RED COMERCIAL'!$F249</f>
        <v>175</v>
      </c>
      <c r="F251" s="14" t="str">
        <f>+'[1]BASE RED COMERCIAL'!$I249</f>
        <v>B2900ZAA</v>
      </c>
      <c r="G251" s="7" t="str">
        <f>+'[1]BASE RED COMERCIAL'!$D249</f>
        <v>SAN NICOLAS DE LOS ARROYOS</v>
      </c>
      <c r="H251" s="7" t="str">
        <f>+'[1]BASE RED COMERCIAL'!$B249</f>
        <v>BUENOS AIRES</v>
      </c>
      <c r="I251" s="8" t="str">
        <f>+'[1]BASE RED COMERCIAL'!$C249</f>
        <v>SAN NICOLAS</v>
      </c>
      <c r="J251" s="10"/>
      <c r="K251" s="10"/>
    </row>
    <row r="252" spans="1:11" x14ac:dyDescent="0.25">
      <c r="A252" s="14" t="str">
        <f>+'[1]BASE RED COMERCIAL'!$A250</f>
        <v>B0458</v>
      </c>
      <c r="B252" s="8" t="str">
        <f>+'[1]BASE RED COMERCIAL'!$H250</f>
        <v>SAN NICOLAS 1</v>
      </c>
      <c r="C252" s="7" t="s">
        <v>33</v>
      </c>
      <c r="D252" s="9" t="str">
        <f>+'[1]BASE RED COMERCIAL'!$E250</f>
        <v>AV LA PAZ</v>
      </c>
      <c r="E252" s="7">
        <f>+'[1]BASE RED COMERCIAL'!$F250</f>
        <v>629</v>
      </c>
      <c r="F252" s="14" t="str">
        <f>+'[1]BASE RED COMERCIAL'!$I250</f>
        <v>B2900ZAB</v>
      </c>
      <c r="G252" s="7" t="str">
        <f>+'[1]BASE RED COMERCIAL'!$D250</f>
        <v>SAN NICOLAS DE LOS ARROYOS</v>
      </c>
      <c r="H252" s="7" t="str">
        <f>+'[1]BASE RED COMERCIAL'!$B250</f>
        <v>BUENOS AIRES</v>
      </c>
      <c r="I252" s="8" t="str">
        <f>+'[1]BASE RED COMERCIAL'!$C250</f>
        <v>SAN NICOLAS</v>
      </c>
      <c r="J252" s="10"/>
      <c r="K252" s="10"/>
    </row>
    <row r="253" spans="1:11" x14ac:dyDescent="0.25">
      <c r="A253" s="14" t="str">
        <f>+'[1]BASE RED COMERCIAL'!$A251</f>
        <v>B0460</v>
      </c>
      <c r="B253" s="8" t="str">
        <f>+'[1]BASE RED COMERCIAL'!$H251</f>
        <v>SAN PEDRO</v>
      </c>
      <c r="C253" s="7" t="s">
        <v>33</v>
      </c>
      <c r="D253" s="9" t="str">
        <f>+'[1]BASE RED COMERCIAL'!$E251</f>
        <v>RAFAEL OBLIGADO</v>
      </c>
      <c r="E253" s="7">
        <f>+'[1]BASE RED COMERCIAL'!$F251</f>
        <v>58</v>
      </c>
      <c r="F253" s="14" t="str">
        <f>+'[1]BASE RED COMERCIAL'!$I251</f>
        <v>B2930ZAA</v>
      </c>
      <c r="G253" s="7" t="str">
        <f>+'[1]BASE RED COMERCIAL'!$D251</f>
        <v>SAN PEDRO</v>
      </c>
      <c r="H253" s="7" t="str">
        <f>+'[1]BASE RED COMERCIAL'!$B251</f>
        <v>BUENOS AIRES</v>
      </c>
      <c r="I253" s="8" t="str">
        <f>+'[1]BASE RED COMERCIAL'!$C251</f>
        <v>SAN PEDRO</v>
      </c>
      <c r="J253" s="10"/>
      <c r="K253" s="10"/>
    </row>
    <row r="254" spans="1:11" s="11" customFormat="1" x14ac:dyDescent="0.25">
      <c r="A254" s="14" t="str">
        <f>+'[1]BASE RED COMERCIAL'!$A252</f>
        <v>B0462</v>
      </c>
      <c r="B254" s="8" t="str">
        <f>+'[1]BASE RED COMERCIAL'!$H252</f>
        <v>SANTA LUCIA</v>
      </c>
      <c r="C254" s="7" t="s">
        <v>33</v>
      </c>
      <c r="D254" s="9" t="str">
        <f>+'[1]BASE RED COMERCIAL'!$E252</f>
        <v>JUAN O FARREL</v>
      </c>
      <c r="E254" s="7">
        <f>+'[1]BASE RED COMERCIAL'!$F252</f>
        <v>498</v>
      </c>
      <c r="F254" s="14" t="str">
        <f>+'[1]BASE RED COMERCIAL'!$I252</f>
        <v>B2935ZAA</v>
      </c>
      <c r="G254" s="7" t="str">
        <f>+'[1]BASE RED COMERCIAL'!$D252</f>
        <v>SANTA LUCIA</v>
      </c>
      <c r="H254" s="7" t="str">
        <f>+'[1]BASE RED COMERCIAL'!$B252</f>
        <v>BUENOS AIRES</v>
      </c>
      <c r="I254" s="8" t="str">
        <f>+'[1]BASE RED COMERCIAL'!$C252</f>
        <v>SAN PEDRO</v>
      </c>
    </row>
    <row r="255" spans="1:11" x14ac:dyDescent="0.25">
      <c r="A255" s="14" t="str">
        <f>+'[1]BASE RED COMERCIAL'!$A253</f>
        <v>B0464</v>
      </c>
      <c r="B255" s="8" t="str">
        <f>+'[1]BASE RED COMERCIAL'!$H253</f>
        <v>VILLA ESTACION RAMALLO</v>
      </c>
      <c r="C255" s="7" t="s">
        <v>33</v>
      </c>
      <c r="D255" s="9" t="str">
        <f>+'[1]BASE RED COMERCIAL'!$E253</f>
        <v>RIVADAVIA</v>
      </c>
      <c r="E255" s="7">
        <f>+'[1]BASE RED COMERCIAL'!$F253</f>
        <v>711</v>
      </c>
      <c r="F255" s="14" t="str">
        <f>+'[1]BASE RED COMERCIAL'!$I253</f>
        <v>B2914ZAA</v>
      </c>
      <c r="G255" s="7" t="str">
        <f>+'[1]BASE RED COMERCIAL'!$D253</f>
        <v>VILLA RAMALLO</v>
      </c>
      <c r="H255" s="7" t="str">
        <f>+'[1]BASE RED COMERCIAL'!$B253</f>
        <v>BUENOS AIRES</v>
      </c>
      <c r="I255" s="8" t="str">
        <f>+'[1]BASE RED COMERCIAL'!$C253</f>
        <v>RAMALLO</v>
      </c>
      <c r="J255" s="10"/>
      <c r="K255" s="10"/>
    </row>
    <row r="256" spans="1:11" x14ac:dyDescent="0.25">
      <c r="A256" s="14" t="str">
        <f>+'[1]BASE RED COMERCIAL'!$A254</f>
        <v>B0466</v>
      </c>
      <c r="B256" s="8" t="str">
        <f>+'[1]BASE RED COMERCIAL'!$H254</f>
        <v>ZARATE</v>
      </c>
      <c r="C256" s="7" t="s">
        <v>33</v>
      </c>
      <c r="D256" s="9" t="str">
        <f>+'[1]BASE RED COMERCIAL'!$E254</f>
        <v>FELIX PAGOLA</v>
      </c>
      <c r="E256" s="7">
        <f>+'[1]BASE RED COMERCIAL'!$F254</f>
        <v>35</v>
      </c>
      <c r="F256" s="14" t="str">
        <f>+'[1]BASE RED COMERCIAL'!$I254</f>
        <v>B2800ZAA</v>
      </c>
      <c r="G256" s="7" t="str">
        <f>+'[1]BASE RED COMERCIAL'!$D254</f>
        <v>ZARATE</v>
      </c>
      <c r="H256" s="7" t="str">
        <f>+'[1]BASE RED COMERCIAL'!$B254</f>
        <v>BUENOS AIRES</v>
      </c>
      <c r="I256" s="8" t="str">
        <f>+'[1]BASE RED COMERCIAL'!$C254</f>
        <v>ZARATE</v>
      </c>
      <c r="J256" s="10"/>
      <c r="K256" s="10"/>
    </row>
    <row r="257" spans="1:11" x14ac:dyDescent="0.25">
      <c r="A257" s="14" t="str">
        <f>+'[1]BASE RED COMERCIAL'!$A255</f>
        <v>B0500</v>
      </c>
      <c r="B257" s="8" t="str">
        <f>+'[1]BASE RED COMERCIAL'!$H255</f>
        <v>BAHIA BLANCA</v>
      </c>
      <c r="C257" s="7" t="s">
        <v>33</v>
      </c>
      <c r="D257" s="9" t="str">
        <f>+'[1]BASE RED COMERCIAL'!$E255</f>
        <v>MORENO</v>
      </c>
      <c r="E257" s="7">
        <f>+'[1]BASE RED COMERCIAL'!$F255</f>
        <v>34</v>
      </c>
      <c r="F257" s="14" t="str">
        <f>+'[1]BASE RED COMERCIAL'!$I255</f>
        <v>B8000ZAA</v>
      </c>
      <c r="G257" s="7" t="str">
        <f>+'[1]BASE RED COMERCIAL'!$D255</f>
        <v>BAHIA BLANCA</v>
      </c>
      <c r="H257" s="7" t="str">
        <f>+'[1]BASE RED COMERCIAL'!$B255</f>
        <v>BUENOS AIRES</v>
      </c>
      <c r="I257" s="8" t="str">
        <f>+'[1]BASE RED COMERCIAL'!$C255</f>
        <v>BAHIA BLANCA</v>
      </c>
      <c r="J257" s="10"/>
      <c r="K257" s="10"/>
    </row>
    <row r="258" spans="1:11" x14ac:dyDescent="0.25">
      <c r="A258" s="14" t="str">
        <f>+'[1]BASE RED COMERCIAL'!$A256</f>
        <v>B0501</v>
      </c>
      <c r="B258" s="8" t="str">
        <f>+'[1]BASE RED COMERCIAL'!$H256</f>
        <v>BAHIA BLANCA 1</v>
      </c>
      <c r="C258" s="7" t="s">
        <v>33</v>
      </c>
      <c r="D258" s="9" t="str">
        <f>+'[1]BASE RED COMERCIAL'!$E256</f>
        <v>MAIPU</v>
      </c>
      <c r="E258" s="7">
        <f>+'[1]BASE RED COMERCIAL'!$F256</f>
        <v>1524</v>
      </c>
      <c r="F258" s="14" t="str">
        <f>+'[1]BASE RED COMERCIAL'!$I256</f>
        <v>B8001ZAA</v>
      </c>
      <c r="G258" s="7" t="str">
        <f>+'[1]BASE RED COMERCIAL'!$D256</f>
        <v>BAHIA BLANCA</v>
      </c>
      <c r="H258" s="7" t="str">
        <f>+'[1]BASE RED COMERCIAL'!$B256</f>
        <v>BUENOS AIRES</v>
      </c>
      <c r="I258" s="8" t="str">
        <f>+'[1]BASE RED COMERCIAL'!$C256</f>
        <v>BAHIA BLANCA</v>
      </c>
      <c r="J258" s="10"/>
      <c r="K258" s="10"/>
    </row>
    <row r="259" spans="1:11" x14ac:dyDescent="0.25">
      <c r="A259" s="14" t="str">
        <f>+'[1]BASE RED COMERCIAL'!$A257</f>
        <v>B0502</v>
      </c>
      <c r="B259" s="8" t="str">
        <f>+'[1]BASE RED COMERCIAL'!$H257</f>
        <v>BAHIA BLANCA 2</v>
      </c>
      <c r="C259" s="7" t="s">
        <v>33</v>
      </c>
      <c r="D259" s="9" t="str">
        <f>+'[1]BASE RED COMERCIAL'!$E257</f>
        <v>DON BOSCO</v>
      </c>
      <c r="E259" s="7">
        <f>+'[1]BASE RED COMERCIAL'!$F257</f>
        <v>1021</v>
      </c>
      <c r="F259" s="14" t="str">
        <f>+'[1]BASE RED COMERCIAL'!$I257</f>
        <v>B8000ZAB</v>
      </c>
      <c r="G259" s="7" t="str">
        <f>+'[1]BASE RED COMERCIAL'!$D257</f>
        <v>BAHIA BLANCA</v>
      </c>
      <c r="H259" s="7" t="str">
        <f>+'[1]BASE RED COMERCIAL'!$B257</f>
        <v>BUENOS AIRES</v>
      </c>
      <c r="I259" s="8" t="str">
        <f>+'[1]BASE RED COMERCIAL'!$C257</f>
        <v>BAHIA BLANCA</v>
      </c>
      <c r="J259" s="10"/>
      <c r="K259" s="10"/>
    </row>
    <row r="260" spans="1:11" x14ac:dyDescent="0.25">
      <c r="A260" s="14" t="str">
        <f>+'[1]BASE RED COMERCIAL'!$A258</f>
        <v>B0525</v>
      </c>
      <c r="B260" s="8" t="str">
        <f>+'[1]BASE RED COMERCIAL'!$H258</f>
        <v>STROEDER</v>
      </c>
      <c r="C260" s="7" t="s">
        <v>33</v>
      </c>
      <c r="D260" s="9" t="str">
        <f>+'[1]BASE RED COMERCIAL'!$E258</f>
        <v>AV HUGO STROEDER</v>
      </c>
      <c r="E260" s="7">
        <f>+'[1]BASE RED COMERCIAL'!$F258</f>
        <v>76</v>
      </c>
      <c r="F260" s="14" t="str">
        <f>+'[1]BASE RED COMERCIAL'!$I258</f>
        <v>B8508ZAA</v>
      </c>
      <c r="G260" s="7" t="str">
        <f>+'[1]BASE RED COMERCIAL'!$D258</f>
        <v>STROEDER</v>
      </c>
      <c r="H260" s="7" t="str">
        <f>+'[1]BASE RED COMERCIAL'!$B258</f>
        <v>BUENOS AIRES</v>
      </c>
      <c r="I260" s="8" t="str">
        <f>+'[1]BASE RED COMERCIAL'!$C258</f>
        <v>PATAGONES</v>
      </c>
      <c r="J260" s="10"/>
      <c r="K260" s="10"/>
    </row>
    <row r="261" spans="1:11" x14ac:dyDescent="0.25">
      <c r="A261" s="14" t="str">
        <f>+'[1]BASE RED COMERCIAL'!$A259</f>
        <v>B0527</v>
      </c>
      <c r="B261" s="8" t="str">
        <f>+'[1]BASE RED COMERCIAL'!$H259</f>
        <v>TORNQUIST</v>
      </c>
      <c r="C261" s="7" t="s">
        <v>33</v>
      </c>
      <c r="D261" s="9" t="str">
        <f>+'[1]BASE RED COMERCIAL'!$E259</f>
        <v>AV GRAL PAZ</v>
      </c>
      <c r="E261" s="7">
        <f>+'[1]BASE RED COMERCIAL'!$F259</f>
        <v>198</v>
      </c>
      <c r="F261" s="14" t="str">
        <f>+'[1]BASE RED COMERCIAL'!$I259</f>
        <v>B8160ZAA</v>
      </c>
      <c r="G261" s="7" t="str">
        <f>+'[1]BASE RED COMERCIAL'!$D259</f>
        <v>TORNQUIST</v>
      </c>
      <c r="H261" s="7" t="str">
        <f>+'[1]BASE RED COMERCIAL'!$B259</f>
        <v>BUENOS AIRES</v>
      </c>
      <c r="I261" s="8" t="str">
        <f>+'[1]BASE RED COMERCIAL'!$C259</f>
        <v>TORNQUIST</v>
      </c>
      <c r="J261" s="10"/>
      <c r="K261" s="10"/>
    </row>
    <row r="262" spans="1:11" x14ac:dyDescent="0.25">
      <c r="A262" s="14" t="str">
        <f>+'[1]BASE RED COMERCIAL'!$A260</f>
        <v>B0529</v>
      </c>
      <c r="B262" s="8" t="str">
        <f>+'[1]BASE RED COMERCIAL'!$H260</f>
        <v>TRES ARROYOS</v>
      </c>
      <c r="C262" s="7" t="s">
        <v>33</v>
      </c>
      <c r="D262" s="9" t="str">
        <f>+'[1]BASE RED COMERCIAL'!$E260</f>
        <v>AV MORENO</v>
      </c>
      <c r="E262" s="7">
        <f>+'[1]BASE RED COMERCIAL'!$F260</f>
        <v>218</v>
      </c>
      <c r="F262" s="14" t="str">
        <f>+'[1]BASE RED COMERCIAL'!$I260</f>
        <v>B7500ZAA</v>
      </c>
      <c r="G262" s="7" t="str">
        <f>+'[1]BASE RED COMERCIAL'!$D260</f>
        <v>TRES ARROYOS</v>
      </c>
      <c r="H262" s="7" t="str">
        <f>+'[1]BASE RED COMERCIAL'!$B260</f>
        <v>BUENOS AIRES</v>
      </c>
      <c r="I262" s="8" t="str">
        <f>+'[1]BASE RED COMERCIAL'!$C260</f>
        <v>TRES ARROYOS</v>
      </c>
      <c r="J262" s="10"/>
      <c r="K262" s="10"/>
    </row>
    <row r="263" spans="1:11" x14ac:dyDescent="0.25">
      <c r="A263" s="14" t="str">
        <f>+'[1]BASE RED COMERCIAL'!$A261</f>
        <v>B0531</v>
      </c>
      <c r="B263" s="8" t="str">
        <f>+'[1]BASE RED COMERCIAL'!$H261</f>
        <v>VILLA IRIS</v>
      </c>
      <c r="C263" s="7" t="s">
        <v>33</v>
      </c>
      <c r="D263" s="9" t="str">
        <f>+'[1]BASE RED COMERCIAL'!$E261</f>
        <v>DR NICOLAS AVELLANEDA</v>
      </c>
      <c r="E263" s="7">
        <f>+'[1]BASE RED COMERCIAL'!$F261</f>
        <v>7</v>
      </c>
      <c r="F263" s="14" t="str">
        <f>+'[1]BASE RED COMERCIAL'!$I261</f>
        <v>B8126ZAA</v>
      </c>
      <c r="G263" s="7" t="str">
        <f>+'[1]BASE RED COMERCIAL'!$D261</f>
        <v>VILLA IRIS</v>
      </c>
      <c r="H263" s="7" t="str">
        <f>+'[1]BASE RED COMERCIAL'!$B261</f>
        <v>BUENOS AIRES</v>
      </c>
      <c r="I263" s="8" t="str">
        <f>+'[1]BASE RED COMERCIAL'!$C261</f>
        <v>PUAN</v>
      </c>
      <c r="J263" s="10"/>
      <c r="K263" s="10"/>
    </row>
    <row r="264" spans="1:11" x14ac:dyDescent="0.25">
      <c r="A264" s="14" t="str">
        <f>+'[1]BASE RED COMERCIAL'!$A262</f>
        <v>B0533</v>
      </c>
      <c r="B264" s="8" t="str">
        <f>+'[1]BASE RED COMERCIAL'!$H262</f>
        <v>VILLALONGA</v>
      </c>
      <c r="C264" s="7" t="s">
        <v>33</v>
      </c>
      <c r="D264" s="9" t="str">
        <f>+'[1]BASE RED COMERCIAL'!$E262</f>
        <v>F URQUIJO DE SEXE</v>
      </c>
      <c r="E264" s="7">
        <f>+'[1]BASE RED COMERCIAL'!$F262</f>
        <v>170</v>
      </c>
      <c r="F264" s="14" t="str">
        <f>+'[1]BASE RED COMERCIAL'!$I262</f>
        <v>B8512ZAA</v>
      </c>
      <c r="G264" s="7" t="str">
        <f>+'[1]BASE RED COMERCIAL'!$D262</f>
        <v>VILLALONGA</v>
      </c>
      <c r="H264" s="7" t="str">
        <f>+'[1]BASE RED COMERCIAL'!$B262</f>
        <v>BUENOS AIRES</v>
      </c>
      <c r="I264" s="8" t="str">
        <f>+'[1]BASE RED COMERCIAL'!$C262</f>
        <v>PATAGONES</v>
      </c>
      <c r="J264" s="10"/>
      <c r="K264" s="10"/>
    </row>
    <row r="265" spans="1:11" x14ac:dyDescent="0.25">
      <c r="A265" s="14" t="str">
        <f>+'[1]BASE RED COMERCIAL'!$A263</f>
        <v>B0535</v>
      </c>
      <c r="B265" s="8" t="str">
        <f>+'[1]BASE RED COMERCIAL'!$H263</f>
        <v>ADOLFO GONZALES CHAVES</v>
      </c>
      <c r="C265" s="7" t="s">
        <v>33</v>
      </c>
      <c r="D265" s="9" t="str">
        <f>+'[1]BASE RED COMERCIAL'!$E263</f>
        <v>GRAL PAZ</v>
      </c>
      <c r="E265" s="7">
        <f>+'[1]BASE RED COMERCIAL'!$F263</f>
        <v>267</v>
      </c>
      <c r="F265" s="14" t="str">
        <f>+'[1]BASE RED COMERCIAL'!$I263</f>
        <v>B7513ZAA</v>
      </c>
      <c r="G265" s="7" t="str">
        <f>+'[1]BASE RED COMERCIAL'!$D263</f>
        <v>ADOLFO GONZALES CHAVES</v>
      </c>
      <c r="H265" s="7" t="str">
        <f>+'[1]BASE RED COMERCIAL'!$B263</f>
        <v>BUENOS AIRES</v>
      </c>
      <c r="I265" s="8" t="str">
        <f>+'[1]BASE RED COMERCIAL'!$C263</f>
        <v>ADOLFO GONZALES CHAVES</v>
      </c>
      <c r="J265" s="10"/>
      <c r="K265" s="10"/>
    </row>
    <row r="266" spans="1:11" x14ac:dyDescent="0.25">
      <c r="A266" s="14" t="str">
        <f>+'[1]BASE RED COMERCIAL'!$A264</f>
        <v>B0536</v>
      </c>
      <c r="B266" s="8" t="str">
        <f>+'[1]BASE RED COMERCIAL'!$H264</f>
        <v>JUAN COUSTE</v>
      </c>
      <c r="C266" s="7" t="s">
        <v>33</v>
      </c>
      <c r="D266" s="9" t="str">
        <f>+'[1]BASE RED COMERCIAL'!$E264</f>
        <v>D CLEMENTE PENE</v>
      </c>
      <c r="E266" s="7">
        <f>+'[1]BASE RED COMERCIAL'!$F264</f>
        <v>283</v>
      </c>
      <c r="F266" s="14" t="str">
        <f>+'[1]BASE RED COMERCIAL'!$I264</f>
        <v>B8136ZAA</v>
      </c>
      <c r="G266" s="7" t="str">
        <f>+'[1]BASE RED COMERCIAL'!$D264</f>
        <v>JUAN COUSTE</v>
      </c>
      <c r="H266" s="7" t="str">
        <f>+'[1]BASE RED COMERCIAL'!$B264</f>
        <v>BUENOS AIRES</v>
      </c>
      <c r="I266" s="8" t="str">
        <f>+'[1]BASE RED COMERCIAL'!$C264</f>
        <v>VILLARINO</v>
      </c>
      <c r="J266" s="10"/>
      <c r="K266" s="10"/>
    </row>
    <row r="267" spans="1:11" x14ac:dyDescent="0.25">
      <c r="A267" s="14" t="str">
        <f>+'[1]BASE RED COMERCIAL'!$A265</f>
        <v>B0537</v>
      </c>
      <c r="B267" s="8" t="str">
        <f>+'[1]BASE RED COMERCIAL'!$H265</f>
        <v>ARROYO CORTO</v>
      </c>
      <c r="C267" s="7" t="s">
        <v>33</v>
      </c>
      <c r="D267" s="9" t="str">
        <f>+'[1]BASE RED COMERCIAL'!$E265</f>
        <v>GOSETTI Y BIGA</v>
      </c>
      <c r="E267" s="7">
        <f>+'[1]BASE RED COMERCIAL'!$F265</f>
        <v>57</v>
      </c>
      <c r="F267" s="14" t="str">
        <f>+'[1]BASE RED COMERCIAL'!$I265</f>
        <v>B8172ZAA</v>
      </c>
      <c r="G267" s="7" t="str">
        <f>+'[1]BASE RED COMERCIAL'!$D265</f>
        <v>ARROYO CORTO</v>
      </c>
      <c r="H267" s="7" t="str">
        <f>+'[1]BASE RED COMERCIAL'!$B265</f>
        <v>BUENOS AIRES</v>
      </c>
      <c r="I267" s="8" t="str">
        <f>+'[1]BASE RED COMERCIAL'!$C265</f>
        <v>SAAVEDRA</v>
      </c>
      <c r="J267" s="10"/>
      <c r="K267" s="10"/>
    </row>
    <row r="268" spans="1:11" x14ac:dyDescent="0.25">
      <c r="A268" s="14" t="str">
        <f>+'[1]BASE RED COMERCIAL'!$A266</f>
        <v>B0538</v>
      </c>
      <c r="B268" s="8" t="str">
        <f>+'[1]BASE RED COMERCIAL'!$H266</f>
        <v>AZUL</v>
      </c>
      <c r="C268" s="7" t="s">
        <v>33</v>
      </c>
      <c r="D268" s="9" t="str">
        <f>+'[1]BASE RED COMERCIAL'!$E266</f>
        <v>IRIGOYEN</v>
      </c>
      <c r="E268" s="7">
        <f>+'[1]BASE RED COMERCIAL'!$F266</f>
        <v>549</v>
      </c>
      <c r="F268" s="14" t="str">
        <f>+'[1]BASE RED COMERCIAL'!$I266</f>
        <v>B7300ZAA</v>
      </c>
      <c r="G268" s="7" t="str">
        <f>+'[1]BASE RED COMERCIAL'!$D266</f>
        <v>AZUL</v>
      </c>
      <c r="H268" s="7" t="str">
        <f>+'[1]BASE RED COMERCIAL'!$B266</f>
        <v>BUENOS AIRES</v>
      </c>
      <c r="I268" s="8" t="str">
        <f>+'[1]BASE RED COMERCIAL'!$C266</f>
        <v>AZUL</v>
      </c>
      <c r="J268" s="10"/>
      <c r="K268" s="10"/>
    </row>
    <row r="269" spans="1:11" x14ac:dyDescent="0.25">
      <c r="A269" s="14" t="str">
        <f>+'[1]BASE RED COMERCIAL'!$A267</f>
        <v>B0540</v>
      </c>
      <c r="B269" s="8" t="str">
        <f>+'[1]BASE RED COMERCIAL'!$H267</f>
        <v>BALNEARIO CLAROMECO</v>
      </c>
      <c r="C269" s="7" t="s">
        <v>33</v>
      </c>
      <c r="D269" s="9" t="str">
        <f>+'[1]BASE RED COMERCIAL'!$E267</f>
        <v>CALLE 28</v>
      </c>
      <c r="E269" s="7">
        <f>+'[1]BASE RED COMERCIAL'!$F267</f>
        <v>375</v>
      </c>
      <c r="F269" s="14" t="str">
        <f>+'[1]BASE RED COMERCIAL'!$I267</f>
        <v>B7505ZAA</v>
      </c>
      <c r="G269" s="7" t="str">
        <f>+'[1]BASE RED COMERCIAL'!$D267</f>
        <v>BALNEARIO CLAROMECO</v>
      </c>
      <c r="H269" s="7" t="str">
        <f>+'[1]BASE RED COMERCIAL'!$B267</f>
        <v>BUENOS AIRES</v>
      </c>
      <c r="I269" s="8" t="str">
        <f>+'[1]BASE RED COMERCIAL'!$C267</f>
        <v>TRES ARROYOS</v>
      </c>
      <c r="J269" s="10"/>
      <c r="K269" s="10"/>
    </row>
    <row r="270" spans="1:11" x14ac:dyDescent="0.25">
      <c r="A270" s="14" t="str">
        <f>+'[1]BASE RED COMERCIAL'!$A268</f>
        <v>B0542</v>
      </c>
      <c r="B270" s="8" t="str">
        <f>+'[1]BASE RED COMERCIAL'!$H268</f>
        <v>MONTE HERMOSO</v>
      </c>
      <c r="C270" s="7" t="s">
        <v>33</v>
      </c>
      <c r="D270" s="9" t="str">
        <f>+'[1]BASE RED COMERCIAL'!$E268</f>
        <v>AV FARO RECALADA</v>
      </c>
      <c r="E270" s="7">
        <f>+'[1]BASE RED COMERCIAL'!$F268</f>
        <v>363</v>
      </c>
      <c r="F270" s="14" t="str">
        <f>+'[1]BASE RED COMERCIAL'!$I268</f>
        <v>B8153ZAA</v>
      </c>
      <c r="G270" s="7" t="str">
        <f>+'[1]BASE RED COMERCIAL'!$D268</f>
        <v>MONTE HERMOSO</v>
      </c>
      <c r="H270" s="7" t="str">
        <f>+'[1]BASE RED COMERCIAL'!$B268</f>
        <v>BUENOS AIRES</v>
      </c>
      <c r="I270" s="8" t="str">
        <f>+'[1]BASE RED COMERCIAL'!$C268</f>
        <v>MONTE HERMOSO</v>
      </c>
      <c r="J270" s="10"/>
      <c r="K270" s="10"/>
    </row>
    <row r="271" spans="1:11" x14ac:dyDescent="0.25">
      <c r="A271" s="14" t="str">
        <f>+'[1]BASE RED COMERCIAL'!$A269</f>
        <v>B0543</v>
      </c>
      <c r="B271" s="8" t="str">
        <f>+'[1]BASE RED COMERCIAL'!$H269</f>
        <v>BASE CTE. ESPORA</v>
      </c>
      <c r="C271" s="7" t="s">
        <v>33</v>
      </c>
      <c r="D271" s="9" t="str">
        <f>+'[1]BASE RED COMERCIAL'!$E269</f>
        <v>TENIENTE DE CORBETA DIEGO LOUVER JAMBERT</v>
      </c>
      <c r="E271" s="7">
        <f>+'[1]BASE RED COMERCIAL'!$F269</f>
        <v>0</v>
      </c>
      <c r="F271" s="14" t="str">
        <f>+'[1]BASE RED COMERCIAL'!$I269</f>
        <v>B8107ZAA</v>
      </c>
      <c r="G271" s="7" t="str">
        <f>+'[1]BASE RED COMERCIAL'!$D269</f>
        <v>BASE AERONAVAL CMTE ESPORA</v>
      </c>
      <c r="H271" s="7" t="str">
        <f>+'[1]BASE RED COMERCIAL'!$B269</f>
        <v>BUENOS AIRES</v>
      </c>
      <c r="I271" s="8" t="str">
        <f>+'[1]BASE RED COMERCIAL'!$C269</f>
        <v>BAHIA BLANCA</v>
      </c>
      <c r="J271" s="10"/>
      <c r="K271" s="10"/>
    </row>
    <row r="272" spans="1:11" x14ac:dyDescent="0.25">
      <c r="A272" s="14" t="str">
        <f>+'[1]BASE RED COMERCIAL'!$A270</f>
        <v>B0544</v>
      </c>
      <c r="B272" s="8" t="str">
        <f>+'[1]BASE RED COMERCIAL'!$H270</f>
        <v>BATERIAS</v>
      </c>
      <c r="C272" s="7" t="s">
        <v>33</v>
      </c>
      <c r="D272" s="9" t="str">
        <f>+'[1]BASE RED COMERCIAL'!$E270</f>
        <v>HEROES DE MALVINAS S/N</v>
      </c>
      <c r="E272" s="7">
        <f>+'[1]BASE RED COMERCIAL'!$F270</f>
        <v>0</v>
      </c>
      <c r="F272" s="14" t="str">
        <f>+'[1]BASE RED COMERCIAL'!$I270</f>
        <v>B8113ZAA</v>
      </c>
      <c r="G272" s="7" t="str">
        <f>+'[1]BASE RED COMERCIAL'!$D270</f>
        <v>BATERIAS</v>
      </c>
      <c r="H272" s="7" t="str">
        <f>+'[1]BASE RED COMERCIAL'!$B270</f>
        <v>BUENOS AIRES</v>
      </c>
      <c r="I272" s="8" t="str">
        <f>+'[1]BASE RED COMERCIAL'!$C270</f>
        <v>CORONEL ROSALES</v>
      </c>
      <c r="J272" s="10"/>
      <c r="K272" s="10"/>
    </row>
    <row r="273" spans="1:11" x14ac:dyDescent="0.25">
      <c r="A273" s="14" t="str">
        <f>+'[1]BASE RED COMERCIAL'!$A271</f>
        <v>B0545</v>
      </c>
      <c r="B273" s="8" t="str">
        <f>+'[1]BASE RED COMERCIAL'!$H271</f>
        <v>BENITO JUAREZ</v>
      </c>
      <c r="C273" s="7" t="s">
        <v>33</v>
      </c>
      <c r="D273" s="9" t="str">
        <f>+'[1]BASE RED COMERCIAL'!$E271</f>
        <v>DR MARIANO MORENO</v>
      </c>
      <c r="E273" s="7">
        <f>+'[1]BASE RED COMERCIAL'!$F271</f>
        <v>2</v>
      </c>
      <c r="F273" s="14" t="str">
        <f>+'[1]BASE RED COMERCIAL'!$I271</f>
        <v>B7020ZAA</v>
      </c>
      <c r="G273" s="7" t="str">
        <f>+'[1]BASE RED COMERCIAL'!$D271</f>
        <v>BENITO JUAREZ</v>
      </c>
      <c r="H273" s="7" t="str">
        <f>+'[1]BASE RED COMERCIAL'!$B271</f>
        <v>BUENOS AIRES</v>
      </c>
      <c r="I273" s="8" t="str">
        <f>+'[1]BASE RED COMERCIAL'!$C271</f>
        <v>BENITO JUAREZ</v>
      </c>
      <c r="J273" s="10"/>
      <c r="K273" s="10"/>
    </row>
    <row r="274" spans="1:11" x14ac:dyDescent="0.25">
      <c r="A274" s="14" t="str">
        <f>+'[1]BASE RED COMERCIAL'!$A272</f>
        <v>B0546</v>
      </c>
      <c r="B274" s="8" t="str">
        <f>+'[1]BASE RED COMERCIAL'!$H272</f>
        <v>BONIFACIO</v>
      </c>
      <c r="C274" s="7" t="s">
        <v>33</v>
      </c>
      <c r="D274" s="9" t="str">
        <f>+'[1]BASE RED COMERCIAL'!$E272</f>
        <v>ESPAÃ‘A 550</v>
      </c>
      <c r="E274" s="7">
        <f>+'[1]BASE RED COMERCIAL'!$F272</f>
        <v>0</v>
      </c>
      <c r="F274" s="14" t="str">
        <f>+'[1]BASE RED COMERCIAL'!$I272</f>
        <v>B6439ZAA</v>
      </c>
      <c r="G274" s="7" t="str">
        <f>+'[1]BASE RED COMERCIAL'!$D272</f>
        <v>BONIFACIO</v>
      </c>
      <c r="H274" s="7" t="str">
        <f>+'[1]BASE RED COMERCIAL'!$B272</f>
        <v>BUENOS AIRES</v>
      </c>
      <c r="I274" s="8" t="str">
        <f>+'[1]BASE RED COMERCIAL'!$C272</f>
        <v>GUAMINI</v>
      </c>
      <c r="J274" s="10"/>
      <c r="K274" s="10"/>
    </row>
    <row r="275" spans="1:11" x14ac:dyDescent="0.25">
      <c r="A275" s="14" t="str">
        <f>+'[1]BASE RED COMERCIAL'!$A273</f>
        <v>B0547</v>
      </c>
      <c r="B275" s="8" t="str">
        <f>+'[1]BASE RED COMERCIAL'!$H273</f>
        <v>BORDENAVE</v>
      </c>
      <c r="C275" s="7" t="s">
        <v>33</v>
      </c>
      <c r="D275" s="9" t="str">
        <f>+'[1]BASE RED COMERCIAL'!$E273</f>
        <v>CACIQUE PINCEN</v>
      </c>
      <c r="E275" s="7">
        <f>+'[1]BASE RED COMERCIAL'!$F273</f>
        <v>102</v>
      </c>
      <c r="F275" s="14" t="str">
        <f>+'[1]BASE RED COMERCIAL'!$I273</f>
        <v>B8187ZAA</v>
      </c>
      <c r="G275" s="7" t="str">
        <f>+'[1]BASE RED COMERCIAL'!$D273</f>
        <v>BORDENAVE</v>
      </c>
      <c r="H275" s="7" t="str">
        <f>+'[1]BASE RED COMERCIAL'!$B273</f>
        <v>BUENOS AIRES</v>
      </c>
      <c r="I275" s="8" t="str">
        <f>+'[1]BASE RED COMERCIAL'!$C273</f>
        <v>PUAN</v>
      </c>
      <c r="J275" s="10"/>
      <c r="K275" s="10"/>
    </row>
    <row r="276" spans="1:11" x14ac:dyDescent="0.25">
      <c r="A276" s="14" t="str">
        <f>+'[1]BASE RED COMERCIAL'!$A274</f>
        <v>B0548</v>
      </c>
      <c r="B276" s="8" t="str">
        <f>+'[1]BASE RED COMERCIAL'!$H274</f>
        <v>CABILDO</v>
      </c>
      <c r="C276" s="7" t="s">
        <v>33</v>
      </c>
      <c r="D276" s="9" t="str">
        <f>+'[1]BASE RED COMERCIAL'!$E274</f>
        <v>AZCUENAGA</v>
      </c>
      <c r="E276" s="7">
        <f>+'[1]BASE RED COMERCIAL'!$F274</f>
        <v>2</v>
      </c>
      <c r="F276" s="14" t="str">
        <f>+'[1]BASE RED COMERCIAL'!$I274</f>
        <v>B8118ZAA</v>
      </c>
      <c r="G276" s="7" t="str">
        <f>+'[1]BASE RED COMERCIAL'!$D274</f>
        <v>CABILDO</v>
      </c>
      <c r="H276" s="7" t="str">
        <f>+'[1]BASE RED COMERCIAL'!$B274</f>
        <v>BUENOS AIRES</v>
      </c>
      <c r="I276" s="8" t="str">
        <f>+'[1]BASE RED COMERCIAL'!$C274</f>
        <v>BAHIA BLANCA</v>
      </c>
      <c r="J276" s="10"/>
      <c r="K276" s="10"/>
    </row>
    <row r="277" spans="1:11" x14ac:dyDescent="0.25">
      <c r="A277" s="14" t="str">
        <f>+'[1]BASE RED COMERCIAL'!$A275</f>
        <v>B0549</v>
      </c>
      <c r="B277" s="8" t="str">
        <f>+'[1]BASE RED COMERCIAL'!$H275</f>
        <v>CARHUE</v>
      </c>
      <c r="C277" s="7" t="s">
        <v>33</v>
      </c>
      <c r="D277" s="9" t="str">
        <f>+'[1]BASE RED COMERCIAL'!$E275</f>
        <v>BME MITRE</v>
      </c>
      <c r="E277" s="7">
        <f>+'[1]BASE RED COMERCIAL'!$F275</f>
        <v>998</v>
      </c>
      <c r="F277" s="14" t="str">
        <f>+'[1]BASE RED COMERCIAL'!$I275</f>
        <v>B6430ZAA</v>
      </c>
      <c r="G277" s="7" t="str">
        <f>+'[1]BASE RED COMERCIAL'!$D275</f>
        <v>CARHUE</v>
      </c>
      <c r="H277" s="7" t="str">
        <f>+'[1]BASE RED COMERCIAL'!$B275</f>
        <v>BUENOS AIRES</v>
      </c>
      <c r="I277" s="8" t="str">
        <f>+'[1]BASE RED COMERCIAL'!$C275</f>
        <v>ADOLFO ALSINA</v>
      </c>
      <c r="J277" s="10"/>
      <c r="K277" s="10"/>
    </row>
    <row r="278" spans="1:11" x14ac:dyDescent="0.25">
      <c r="A278" s="14" t="str">
        <f>+'[1]BASE RED COMERCIAL'!$A276</f>
        <v>B0550</v>
      </c>
      <c r="B278" s="8" t="str">
        <f>+'[1]BASE RED COMERCIAL'!$H276</f>
        <v>C. DE PATAGONES</v>
      </c>
      <c r="C278" s="7" t="s">
        <v>33</v>
      </c>
      <c r="D278" s="9" t="str">
        <f>+'[1]BASE RED COMERCIAL'!$E276</f>
        <v>PARAGUAY</v>
      </c>
      <c r="E278" s="7">
        <f>+'[1]BASE RED COMERCIAL'!$F276</f>
        <v>38</v>
      </c>
      <c r="F278" s="14" t="str">
        <f>+'[1]BASE RED COMERCIAL'!$I276</f>
        <v>B8504ZAA</v>
      </c>
      <c r="G278" s="7" t="str">
        <f>+'[1]BASE RED COMERCIAL'!$D276</f>
        <v>CARMEN DE PATAGONES</v>
      </c>
      <c r="H278" s="7" t="str">
        <f>+'[1]BASE RED COMERCIAL'!$B276</f>
        <v>BUENOS AIRES</v>
      </c>
      <c r="I278" s="8" t="str">
        <f>+'[1]BASE RED COMERCIAL'!$C276</f>
        <v>PATAGONES</v>
      </c>
      <c r="J278" s="10"/>
      <c r="K278" s="10"/>
    </row>
    <row r="279" spans="1:11" x14ac:dyDescent="0.25">
      <c r="A279" s="14" t="str">
        <f>+'[1]BASE RED COMERCIAL'!$A277</f>
        <v>B0551</v>
      </c>
      <c r="B279" s="8" t="str">
        <f>+'[1]BASE RED COMERCIAL'!$H277</f>
        <v>CASBAS</v>
      </c>
      <c r="C279" s="7" t="s">
        <v>33</v>
      </c>
      <c r="D279" s="9" t="str">
        <f>+'[1]BASE RED COMERCIAL'!$E277</f>
        <v>DOMINGO SARMIENTO</v>
      </c>
      <c r="E279" s="7">
        <f>+'[1]BASE RED COMERCIAL'!$F277</f>
        <v>259</v>
      </c>
      <c r="F279" s="14" t="str">
        <f>+'[1]BASE RED COMERCIAL'!$I277</f>
        <v>B6417ZAA</v>
      </c>
      <c r="G279" s="7" t="str">
        <f>+'[1]BASE RED COMERCIAL'!$D277</f>
        <v>CASBAS</v>
      </c>
      <c r="H279" s="7" t="str">
        <f>+'[1]BASE RED COMERCIAL'!$B277</f>
        <v>BUENOS AIRES</v>
      </c>
      <c r="I279" s="8" t="str">
        <f>+'[1]BASE RED COMERCIAL'!$C277</f>
        <v>GUAMINI</v>
      </c>
      <c r="J279" s="10"/>
      <c r="K279" s="10"/>
    </row>
    <row r="280" spans="1:11" x14ac:dyDescent="0.25">
      <c r="A280" s="14" t="str">
        <f>+'[1]BASE RED COMERCIAL'!$A278</f>
        <v>B0552</v>
      </c>
      <c r="B280" s="8" t="str">
        <f>+'[1]BASE RED COMERCIAL'!$H278</f>
        <v>CHILLAR</v>
      </c>
      <c r="C280" s="7" t="s">
        <v>33</v>
      </c>
      <c r="D280" s="9" t="str">
        <f>+'[1]BASE RED COMERCIAL'!$E278</f>
        <v>MARIO TEOFILO CORTAZAR</v>
      </c>
      <c r="E280" s="7">
        <f>+'[1]BASE RED COMERCIAL'!$F278</f>
        <v>1172</v>
      </c>
      <c r="F280" s="14" t="str">
        <f>+'[1]BASE RED COMERCIAL'!$I278</f>
        <v>B7311ZAA</v>
      </c>
      <c r="G280" s="7" t="str">
        <f>+'[1]BASE RED COMERCIAL'!$D278</f>
        <v>CHILLAR</v>
      </c>
      <c r="H280" s="7" t="str">
        <f>+'[1]BASE RED COMERCIAL'!$B278</f>
        <v>BUENOS AIRES</v>
      </c>
      <c r="I280" s="8" t="str">
        <f>+'[1]BASE RED COMERCIAL'!$C278</f>
        <v>AZUL</v>
      </c>
      <c r="J280" s="10"/>
      <c r="K280" s="10"/>
    </row>
    <row r="281" spans="1:11" x14ac:dyDescent="0.25">
      <c r="A281" s="14" t="str">
        <f>+'[1]BASE RED COMERCIAL'!$A279</f>
        <v>B0553</v>
      </c>
      <c r="B281" s="8" t="str">
        <f>+'[1]BASE RED COMERCIAL'!$H279</f>
        <v>COPETONAS</v>
      </c>
      <c r="C281" s="7" t="s">
        <v>33</v>
      </c>
      <c r="D281" s="9" t="str">
        <f>+'[1]BASE RED COMERCIAL'!$E279</f>
        <v>TTE GRAL ARAMBURU</v>
      </c>
      <c r="E281" s="7">
        <f>+'[1]BASE RED COMERCIAL'!$F279</f>
        <v>509</v>
      </c>
      <c r="F281" s="14" t="str">
        <f>+'[1]BASE RED COMERCIAL'!$I279</f>
        <v>B7511ZAA</v>
      </c>
      <c r="G281" s="7" t="str">
        <f>+'[1]BASE RED COMERCIAL'!$D279</f>
        <v>COPETONAS</v>
      </c>
      <c r="H281" s="7" t="str">
        <f>+'[1]BASE RED COMERCIAL'!$B279</f>
        <v>BUENOS AIRES</v>
      </c>
      <c r="I281" s="8" t="str">
        <f>+'[1]BASE RED COMERCIAL'!$C279</f>
        <v>TRES ARROYOS</v>
      </c>
      <c r="J281" s="10"/>
      <c r="K281" s="10"/>
    </row>
    <row r="282" spans="1:11" x14ac:dyDescent="0.25">
      <c r="A282" s="14" t="str">
        <f>+'[1]BASE RED COMERCIAL'!$A280</f>
        <v>B0554</v>
      </c>
      <c r="B282" s="8" t="str">
        <f>+'[1]BASE RED COMERCIAL'!$H280</f>
        <v>CNEL. DORREGO</v>
      </c>
      <c r="C282" s="7" t="s">
        <v>33</v>
      </c>
      <c r="D282" s="9" t="str">
        <f>+'[1]BASE RED COMERCIAL'!$E280</f>
        <v>AV DR NIRIDO E SANTAGADA</v>
      </c>
      <c r="E282" s="7">
        <f>+'[1]BASE RED COMERCIAL'!$F280</f>
        <v>645</v>
      </c>
      <c r="F282" s="14" t="str">
        <f>+'[1]BASE RED COMERCIAL'!$I280</f>
        <v>B8150ZAA</v>
      </c>
      <c r="G282" s="7" t="str">
        <f>+'[1]BASE RED COMERCIAL'!$D280</f>
        <v>CORONEL DORREGO</v>
      </c>
      <c r="H282" s="7" t="str">
        <f>+'[1]BASE RED COMERCIAL'!$B280</f>
        <v>BUENOS AIRES</v>
      </c>
      <c r="I282" s="8" t="str">
        <f>+'[1]BASE RED COMERCIAL'!$C280</f>
        <v>CORONEL DORREGO</v>
      </c>
      <c r="J282" s="10"/>
      <c r="K282" s="10"/>
    </row>
    <row r="283" spans="1:11" x14ac:dyDescent="0.25">
      <c r="A283" s="14" t="str">
        <f>+'[1]BASE RED COMERCIAL'!$A281</f>
        <v>B0555</v>
      </c>
      <c r="B283" s="8" t="str">
        <f>+'[1]BASE RED COMERCIAL'!$H281</f>
        <v>CNEL. PRINGLES</v>
      </c>
      <c r="C283" s="7" t="s">
        <v>33</v>
      </c>
      <c r="D283" s="9" t="str">
        <f>+'[1]BASE RED COMERCIAL'!$E281</f>
        <v>JUAN CABRERA</v>
      </c>
      <c r="E283" s="7">
        <f>+'[1]BASE RED COMERCIAL'!$F281</f>
        <v>405</v>
      </c>
      <c r="F283" s="14" t="str">
        <f>+'[1]BASE RED COMERCIAL'!$I281</f>
        <v>B7530ZAA</v>
      </c>
      <c r="G283" s="7" t="str">
        <f>+'[1]BASE RED COMERCIAL'!$D281</f>
        <v>CORONEL PRINGLES</v>
      </c>
      <c r="H283" s="7" t="str">
        <f>+'[1]BASE RED COMERCIAL'!$B281</f>
        <v>BUENOS AIRES</v>
      </c>
      <c r="I283" s="8" t="str">
        <f>+'[1]BASE RED COMERCIAL'!$C281</f>
        <v>CORONEL PRINGLES</v>
      </c>
      <c r="J283" s="10"/>
      <c r="K283" s="10"/>
    </row>
    <row r="284" spans="1:11" x14ac:dyDescent="0.25">
      <c r="A284" s="14" t="str">
        <f>+'[1]BASE RED COMERCIAL'!$A282</f>
        <v>B0556</v>
      </c>
      <c r="B284" s="8" t="str">
        <f>+'[1]BASE RED COMERCIAL'!$H282</f>
        <v>CORONEL SUAREZ</v>
      </c>
      <c r="C284" s="7" t="s">
        <v>33</v>
      </c>
      <c r="D284" s="9" t="str">
        <f>+'[1]BASE RED COMERCIAL'!$E282</f>
        <v>AV DR A ALSINA</v>
      </c>
      <c r="E284" s="7">
        <f>+'[1]BASE RED COMERCIAL'!$F282</f>
        <v>270</v>
      </c>
      <c r="F284" s="14" t="str">
        <f>+'[1]BASE RED COMERCIAL'!$I282</f>
        <v>B7540ZAA</v>
      </c>
      <c r="G284" s="7" t="str">
        <f>+'[1]BASE RED COMERCIAL'!$D282</f>
        <v>CORONEL SUAREZ</v>
      </c>
      <c r="H284" s="7" t="str">
        <f>+'[1]BASE RED COMERCIAL'!$B282</f>
        <v>BUENOS AIRES</v>
      </c>
      <c r="I284" s="8" t="str">
        <f>+'[1]BASE RED COMERCIAL'!$C282</f>
        <v>CORONEL SUAREZ</v>
      </c>
      <c r="J284" s="10"/>
      <c r="K284" s="10"/>
    </row>
    <row r="285" spans="1:11" x14ac:dyDescent="0.25">
      <c r="A285" s="14" t="str">
        <f>+'[1]BASE RED COMERCIAL'!$A283</f>
        <v>B0557</v>
      </c>
      <c r="B285" s="8" t="str">
        <f>+'[1]BASE RED COMERCIAL'!$H283</f>
        <v>DAIREAUX</v>
      </c>
      <c r="C285" s="7" t="s">
        <v>33</v>
      </c>
      <c r="D285" s="9" t="str">
        <f>+'[1]BASE RED COMERCIAL'!$E283</f>
        <v>GRAL NICOLAS LEVALLE</v>
      </c>
      <c r="E285" s="7">
        <f>+'[1]BASE RED COMERCIAL'!$F283</f>
        <v>53</v>
      </c>
      <c r="F285" s="14" t="str">
        <f>+'[1]BASE RED COMERCIAL'!$I283</f>
        <v>B6555ZAA</v>
      </c>
      <c r="G285" s="7" t="str">
        <f>+'[1]BASE RED COMERCIAL'!$D283</f>
        <v>DAIREAUX</v>
      </c>
      <c r="H285" s="7" t="str">
        <f>+'[1]BASE RED COMERCIAL'!$B283</f>
        <v>BUENOS AIRES</v>
      </c>
      <c r="I285" s="8" t="str">
        <f>+'[1]BASE RED COMERCIAL'!$C283</f>
        <v>DAIREAUX</v>
      </c>
      <c r="J285" s="10"/>
      <c r="K285" s="10"/>
    </row>
    <row r="286" spans="1:11" x14ac:dyDescent="0.25">
      <c r="A286" s="14" t="str">
        <f>+'[1]BASE RED COMERCIAL'!$A284</f>
        <v>B0558</v>
      </c>
      <c r="B286" s="8" t="str">
        <f>+'[1]BASE RED COMERCIAL'!$H284</f>
        <v>DARREGUEIRA</v>
      </c>
      <c r="C286" s="7" t="s">
        <v>33</v>
      </c>
      <c r="D286" s="9" t="str">
        <f>+'[1]BASE RED COMERCIAL'!$E284</f>
        <v>PADRE NIEHAUS</v>
      </c>
      <c r="E286" s="7">
        <f>+'[1]BASE RED COMERCIAL'!$F284</f>
        <v>195</v>
      </c>
      <c r="F286" s="14" t="str">
        <f>+'[1]BASE RED COMERCIAL'!$I284</f>
        <v>B8183ZAA</v>
      </c>
      <c r="G286" s="7" t="str">
        <f>+'[1]BASE RED COMERCIAL'!$D284</f>
        <v>DARREGUEIRA</v>
      </c>
      <c r="H286" s="7" t="str">
        <f>+'[1]BASE RED COMERCIAL'!$B284</f>
        <v>BUENOS AIRES</v>
      </c>
      <c r="I286" s="8" t="str">
        <f>+'[1]BASE RED COMERCIAL'!$C284</f>
        <v>PUAN</v>
      </c>
      <c r="J286" s="10"/>
      <c r="K286" s="10"/>
    </row>
    <row r="287" spans="1:11" x14ac:dyDescent="0.25">
      <c r="A287" s="14" t="str">
        <f>+'[1]BASE RED COMERCIAL'!$A285</f>
        <v>B0559</v>
      </c>
      <c r="B287" s="8" t="str">
        <f>+'[1]BASE RED COMERCIAL'!$H285</f>
        <v>DE LA GARMA</v>
      </c>
      <c r="C287" s="7" t="s">
        <v>33</v>
      </c>
      <c r="D287" s="9" t="str">
        <f>+'[1]BASE RED COMERCIAL'!$E285</f>
        <v>AV ANTONIO CIANCAGLINI</v>
      </c>
      <c r="E287" s="7">
        <f>+'[1]BASE RED COMERCIAL'!$F285</f>
        <v>65</v>
      </c>
      <c r="F287" s="14" t="str">
        <f>+'[1]BASE RED COMERCIAL'!$I285</f>
        <v>B7515ZAA</v>
      </c>
      <c r="G287" s="7" t="str">
        <f>+'[1]BASE RED COMERCIAL'!$D285</f>
        <v>DE LA GARMA</v>
      </c>
      <c r="H287" s="7" t="str">
        <f>+'[1]BASE RED COMERCIAL'!$B285</f>
        <v>BUENOS AIRES</v>
      </c>
      <c r="I287" s="8" t="str">
        <f>+'[1]BASE RED COMERCIAL'!$C285</f>
        <v>ADOLFO GONZALES CHAVES</v>
      </c>
      <c r="J287" s="10"/>
      <c r="K287" s="10"/>
    </row>
    <row r="288" spans="1:11" x14ac:dyDescent="0.25">
      <c r="A288" s="14" t="str">
        <f>+'[1]BASE RED COMERCIAL'!$A286</f>
        <v>B0561</v>
      </c>
      <c r="B288" s="8" t="str">
        <f>+'[1]BASE RED COMERCIAL'!$H286</f>
        <v>ESPARTILLAR</v>
      </c>
      <c r="C288" s="7" t="s">
        <v>33</v>
      </c>
      <c r="D288" s="9" t="str">
        <f>+'[1]BASE RED COMERCIAL'!$E286</f>
        <v>AUGUSTO BONDAZ</v>
      </c>
      <c r="E288" s="7">
        <f>+'[1]BASE RED COMERCIAL'!$F286</f>
        <v>441</v>
      </c>
      <c r="F288" s="14" t="str">
        <f>+'[1]BASE RED COMERCIAL'!$I286</f>
        <v>B8171ZAA</v>
      </c>
      <c r="G288" s="7" t="str">
        <f>+'[1]BASE RED COMERCIAL'!$D286</f>
        <v>ESPARTILLAR</v>
      </c>
      <c r="H288" s="7" t="str">
        <f>+'[1]BASE RED COMERCIAL'!$B286</f>
        <v>BUENOS AIRES</v>
      </c>
      <c r="I288" s="8" t="str">
        <f>+'[1]BASE RED COMERCIAL'!$C286</f>
        <v>SAAVEDRA</v>
      </c>
      <c r="J288" s="10"/>
      <c r="K288" s="10"/>
    </row>
    <row r="289" spans="1:11" x14ac:dyDescent="0.25">
      <c r="A289" s="14" t="str">
        <f>+'[1]BASE RED COMERCIAL'!$A287</f>
        <v>B0563</v>
      </c>
      <c r="B289" s="8" t="str">
        <f>+'[1]BASE RED COMERCIAL'!$H287</f>
        <v>FELIPE SOLA</v>
      </c>
      <c r="C289" s="7" t="s">
        <v>33</v>
      </c>
      <c r="D289" s="9" t="str">
        <f>+'[1]BASE RED COMERCIAL'!$E287</f>
        <v>LINIERS</v>
      </c>
      <c r="E289" s="7">
        <f>+'[1]BASE RED COMERCIAL'!$F287</f>
        <v>362</v>
      </c>
      <c r="F289" s="14" t="str">
        <f>+'[1]BASE RED COMERCIAL'!$I287</f>
        <v>B8129ZAA</v>
      </c>
      <c r="G289" s="7" t="str">
        <f>+'[1]BASE RED COMERCIAL'!$D287</f>
        <v>FELIPE SOLA</v>
      </c>
      <c r="H289" s="7" t="str">
        <f>+'[1]BASE RED COMERCIAL'!$B287</f>
        <v>BUENOS AIRES</v>
      </c>
      <c r="I289" s="8" t="str">
        <f>+'[1]BASE RED COMERCIAL'!$C287</f>
        <v>PUAN</v>
      </c>
      <c r="J289" s="10"/>
      <c r="K289" s="10"/>
    </row>
    <row r="290" spans="1:11" x14ac:dyDescent="0.25">
      <c r="A290" s="14" t="str">
        <f>+'[1]BASE RED COMERCIAL'!$A288</f>
        <v>B0564</v>
      </c>
      <c r="B290" s="8" t="str">
        <f>+'[1]BASE RED COMERCIAL'!$H288</f>
        <v>GARRE</v>
      </c>
      <c r="C290" s="7" t="s">
        <v>33</v>
      </c>
      <c r="D290" s="9" t="str">
        <f>+'[1]BASE RED COMERCIAL'!$E288</f>
        <v>AV SAN MARTIN</v>
      </c>
      <c r="E290" s="7">
        <f>+'[1]BASE RED COMERCIAL'!$F288</f>
        <v>633</v>
      </c>
      <c r="F290" s="14" t="str">
        <f>+'[1]BASE RED COMERCIAL'!$I288</f>
        <v>B6411ZAA</v>
      </c>
      <c r="G290" s="7" t="str">
        <f>+'[1]BASE RED COMERCIAL'!$D288</f>
        <v>GARRE</v>
      </c>
      <c r="H290" s="7" t="str">
        <f>+'[1]BASE RED COMERCIAL'!$B288</f>
        <v>BUENOS AIRES</v>
      </c>
      <c r="I290" s="8" t="str">
        <f>+'[1]BASE RED COMERCIAL'!$C288</f>
        <v>TRENQUE LAUQUEN</v>
      </c>
      <c r="J290" s="10"/>
      <c r="K290" s="10"/>
    </row>
    <row r="291" spans="1:11" x14ac:dyDescent="0.25">
      <c r="A291" s="14" t="str">
        <f>+'[1]BASE RED COMERCIAL'!$A289</f>
        <v>B0565</v>
      </c>
      <c r="B291" s="8" t="str">
        <f>+'[1]BASE RED COMERCIAL'!$H289</f>
        <v>GRAL. D. CERRI</v>
      </c>
      <c r="C291" s="7" t="s">
        <v>33</v>
      </c>
      <c r="D291" s="9" t="str">
        <f>+'[1]BASE RED COMERCIAL'!$E289</f>
        <v>DR JUAN J PASO</v>
      </c>
      <c r="E291" s="7">
        <f>+'[1]BASE RED COMERCIAL'!$F289</f>
        <v>502</v>
      </c>
      <c r="F291" s="14" t="str">
        <f>+'[1]BASE RED COMERCIAL'!$I289</f>
        <v>B8105ZAA</v>
      </c>
      <c r="G291" s="7" t="str">
        <f>+'[1]BASE RED COMERCIAL'!$D289</f>
        <v>GRAL DANIEL CERRI</v>
      </c>
      <c r="H291" s="7" t="str">
        <f>+'[1]BASE RED COMERCIAL'!$B289</f>
        <v>BUENOS AIRES</v>
      </c>
      <c r="I291" s="8" t="str">
        <f>+'[1]BASE RED COMERCIAL'!$C289</f>
        <v>BAHIA BLANCA</v>
      </c>
      <c r="J291" s="10"/>
      <c r="K291" s="10"/>
    </row>
    <row r="292" spans="1:11" x14ac:dyDescent="0.25">
      <c r="A292" s="14" t="str">
        <f>+'[1]BASE RED COMERCIAL'!$A290</f>
        <v>B0566</v>
      </c>
      <c r="B292" s="8" t="str">
        <f>+'[1]BASE RED COMERCIAL'!$H290</f>
        <v>GRAL. LAMADRID</v>
      </c>
      <c r="C292" s="7" t="s">
        <v>33</v>
      </c>
      <c r="D292" s="9" t="str">
        <f>+'[1]BASE RED COMERCIAL'!$E290</f>
        <v>25 DE MAYO</v>
      </c>
      <c r="E292" s="7">
        <f>+'[1]BASE RED COMERCIAL'!$F290</f>
        <v>429</v>
      </c>
      <c r="F292" s="14" t="str">
        <f>+'[1]BASE RED COMERCIAL'!$I290</f>
        <v>B7406ZAA</v>
      </c>
      <c r="G292" s="7" t="str">
        <f>+'[1]BASE RED COMERCIAL'!$D290</f>
        <v>GENERAL LAMADRID</v>
      </c>
      <c r="H292" s="7" t="str">
        <f>+'[1]BASE RED COMERCIAL'!$B290</f>
        <v>BUENOS AIRES</v>
      </c>
      <c r="I292" s="8" t="str">
        <f>+'[1]BASE RED COMERCIAL'!$C290</f>
        <v>GENERAL LAMADRID</v>
      </c>
      <c r="J292" s="10"/>
      <c r="K292" s="10"/>
    </row>
    <row r="293" spans="1:11" x14ac:dyDescent="0.25">
      <c r="A293" s="14" t="str">
        <f>+'[1]BASE RED COMERCIAL'!$A291</f>
        <v>B0567</v>
      </c>
      <c r="B293" s="8" t="str">
        <f>+'[1]BASE RED COMERCIAL'!$H291</f>
        <v>GOYENA</v>
      </c>
      <c r="C293" s="7" t="s">
        <v>33</v>
      </c>
      <c r="D293" s="9" t="str">
        <f>+'[1]BASE RED COMERCIAL'!$E291</f>
        <v>ESPAÃ‘A</v>
      </c>
      <c r="E293" s="7">
        <f>+'[1]BASE RED COMERCIAL'!$F291</f>
        <v>213</v>
      </c>
      <c r="F293" s="14" t="str">
        <f>+'[1]BASE RED COMERCIAL'!$I291</f>
        <v>B8175ZAA</v>
      </c>
      <c r="G293" s="7" t="str">
        <f>+'[1]BASE RED COMERCIAL'!$D291</f>
        <v>GOYENA</v>
      </c>
      <c r="H293" s="7" t="str">
        <f>+'[1]BASE RED COMERCIAL'!$B291</f>
        <v>BUENOS AIRES</v>
      </c>
      <c r="I293" s="8" t="str">
        <f>+'[1]BASE RED COMERCIAL'!$C291</f>
        <v>SAAVEDRA</v>
      </c>
      <c r="J293" s="10"/>
      <c r="K293" s="10"/>
    </row>
    <row r="294" spans="1:11" x14ac:dyDescent="0.25">
      <c r="A294" s="14" t="str">
        <f>+'[1]BASE RED COMERCIAL'!$A292</f>
        <v>B0568</v>
      </c>
      <c r="B294" s="8" t="str">
        <f>+'[1]BASE RED COMERCIAL'!$H292</f>
        <v>GUAMINÃ</v>
      </c>
      <c r="C294" s="7" t="s">
        <v>33</v>
      </c>
      <c r="D294" s="9" t="str">
        <f>+'[1]BASE RED COMERCIAL'!$E292</f>
        <v>ALSINA</v>
      </c>
      <c r="E294" s="7">
        <f>+'[1]BASE RED COMERCIAL'!$F292</f>
        <v>653</v>
      </c>
      <c r="F294" s="14" t="str">
        <f>+'[1]BASE RED COMERCIAL'!$I292</f>
        <v>B6435ZAA</v>
      </c>
      <c r="G294" s="7" t="str">
        <f>+'[1]BASE RED COMERCIAL'!$D292</f>
        <v>GUAMINI</v>
      </c>
      <c r="H294" s="7" t="str">
        <f>+'[1]BASE RED COMERCIAL'!$B292</f>
        <v>BUENOS AIRES</v>
      </c>
      <c r="I294" s="8" t="str">
        <f>+'[1]BASE RED COMERCIAL'!$C292</f>
        <v>GUAMINI</v>
      </c>
      <c r="J294" s="10"/>
      <c r="K294" s="10"/>
    </row>
    <row r="295" spans="1:11" x14ac:dyDescent="0.25">
      <c r="A295" s="14" t="str">
        <f>+'[1]BASE RED COMERCIAL'!$A293</f>
        <v>B0569</v>
      </c>
      <c r="B295" s="8" t="str">
        <f>+'[1]BASE RED COMERCIAL'!$H293</f>
        <v>HILARIO ASCASUBI</v>
      </c>
      <c r="C295" s="7" t="s">
        <v>33</v>
      </c>
      <c r="D295" s="9" t="str">
        <f>+'[1]BASE RED COMERCIAL'!$E293</f>
        <v>CALLE 14</v>
      </c>
      <c r="E295" s="7">
        <f>+'[1]BASE RED COMERCIAL'!$F293</f>
        <v>61</v>
      </c>
      <c r="F295" s="14" t="str">
        <f>+'[1]BASE RED COMERCIAL'!$I293</f>
        <v>B8142ZAA</v>
      </c>
      <c r="G295" s="7" t="str">
        <f>+'[1]BASE RED COMERCIAL'!$D293</f>
        <v>HILARIO ASCASUBI</v>
      </c>
      <c r="H295" s="7" t="str">
        <f>+'[1]BASE RED COMERCIAL'!$B293</f>
        <v>BUENOS AIRES</v>
      </c>
      <c r="I295" s="8" t="str">
        <f>+'[1]BASE RED COMERCIAL'!$C293</f>
        <v>VILLARINO</v>
      </c>
      <c r="J295" s="10"/>
      <c r="K295" s="10"/>
    </row>
    <row r="296" spans="1:11" x14ac:dyDescent="0.25">
      <c r="A296" s="14" t="str">
        <f>+'[1]BASE RED COMERCIAL'!$A294</f>
        <v>B0570</v>
      </c>
      <c r="B296" s="8" t="str">
        <f>+'[1]BASE RED COMERCIAL'!$H294</f>
        <v>HINOJO</v>
      </c>
      <c r="C296" s="7" t="s">
        <v>33</v>
      </c>
      <c r="D296" s="9" t="str">
        <f>+'[1]BASE RED COMERCIAL'!$E294</f>
        <v>CALLE 11</v>
      </c>
      <c r="E296" s="7">
        <f>+'[1]BASE RED COMERCIAL'!$F294</f>
        <v>0</v>
      </c>
      <c r="F296" s="14" t="str">
        <f>+'[1]BASE RED COMERCIAL'!$I294</f>
        <v>B7318ZAA</v>
      </c>
      <c r="G296" s="7" t="str">
        <f>+'[1]BASE RED COMERCIAL'!$D294</f>
        <v>HINOJO</v>
      </c>
      <c r="H296" s="7" t="str">
        <f>+'[1]BASE RED COMERCIAL'!$B294</f>
        <v>BUENOS AIRES</v>
      </c>
      <c r="I296" s="8" t="str">
        <f>+'[1]BASE RED COMERCIAL'!$C294</f>
        <v>OLAVARRIA</v>
      </c>
      <c r="J296" s="10"/>
      <c r="K296" s="10"/>
    </row>
    <row r="297" spans="1:11" x14ac:dyDescent="0.25">
      <c r="A297" s="14" t="str">
        <f>+'[1]BASE RED COMERCIAL'!$A295</f>
        <v>B0571</v>
      </c>
      <c r="B297" s="8" t="str">
        <f>+'[1]BASE RED COMERCIAL'!$H295</f>
        <v>HUANGUELEN</v>
      </c>
      <c r="C297" s="7" t="s">
        <v>33</v>
      </c>
      <c r="D297" s="9" t="str">
        <f>+'[1]BASE RED COMERCIAL'!$E295</f>
        <v>ALTE G BROWN</v>
      </c>
      <c r="E297" s="7">
        <f>+'[1]BASE RED COMERCIAL'!$F295</f>
        <v>364</v>
      </c>
      <c r="F297" s="14" t="str">
        <f>+'[1]BASE RED COMERCIAL'!$I295</f>
        <v>B7545ZAA</v>
      </c>
      <c r="G297" s="7" t="str">
        <f>+'[1]BASE RED COMERCIAL'!$D295</f>
        <v>HUANGUELEN</v>
      </c>
      <c r="H297" s="7" t="str">
        <f>+'[1]BASE RED COMERCIAL'!$B295</f>
        <v>BUENOS AIRES</v>
      </c>
      <c r="I297" s="8" t="str">
        <f>+'[1]BASE RED COMERCIAL'!$C295</f>
        <v>CORONEL SUAREZ</v>
      </c>
      <c r="J297" s="10"/>
      <c r="K297" s="10"/>
    </row>
    <row r="298" spans="1:11" x14ac:dyDescent="0.25">
      <c r="A298" s="14" t="str">
        <f>+'[1]BASE RED COMERCIAL'!$A296</f>
        <v>B0572</v>
      </c>
      <c r="B298" s="8" t="str">
        <f>+'[1]BASE RED COMERCIAL'!$H296</f>
        <v>INDIO RICO</v>
      </c>
      <c r="C298" s="7" t="s">
        <v>33</v>
      </c>
      <c r="D298" s="9" t="str">
        <f>+'[1]BASE RED COMERCIAL'!$E296</f>
        <v>ANTONIO GOÃ‘I MORENO</v>
      </c>
      <c r="E298" s="7">
        <f>+'[1]BASE RED COMERCIAL'!$F296</f>
        <v>50</v>
      </c>
      <c r="F298" s="14" t="str">
        <f>+'[1]BASE RED COMERCIAL'!$I296</f>
        <v>B7501ZAA</v>
      </c>
      <c r="G298" s="7" t="str">
        <f>+'[1]BASE RED COMERCIAL'!$D296</f>
        <v>INDIO RICO</v>
      </c>
      <c r="H298" s="7" t="str">
        <f>+'[1]BASE RED COMERCIAL'!$B296</f>
        <v>BUENOS AIRES</v>
      </c>
      <c r="I298" s="8" t="str">
        <f>+'[1]BASE RED COMERCIAL'!$C296</f>
        <v>CORONEL PRINGLES</v>
      </c>
      <c r="J298" s="10"/>
      <c r="K298" s="10"/>
    </row>
    <row r="299" spans="1:11" x14ac:dyDescent="0.25">
      <c r="A299" s="14" t="str">
        <f>+'[1]BASE RED COMERCIAL'!$A297</f>
        <v>B0573</v>
      </c>
      <c r="B299" s="8" t="str">
        <f>+'[1]BASE RED COMERCIAL'!$H297</f>
        <v>ING. WHITE</v>
      </c>
      <c r="C299" s="7" t="s">
        <v>33</v>
      </c>
      <c r="D299" s="9" t="str">
        <f>+'[1]BASE RED COMERCIAL'!$E297</f>
        <v>GRAL M BELGRANO</v>
      </c>
      <c r="E299" s="7">
        <f>+'[1]BASE RED COMERCIAL'!$F297</f>
        <v>3654</v>
      </c>
      <c r="F299" s="14" t="str">
        <f>+'[1]BASE RED COMERCIAL'!$I297</f>
        <v>B8103ZAA</v>
      </c>
      <c r="G299" s="7" t="str">
        <f>+'[1]BASE RED COMERCIAL'!$D297</f>
        <v>INGENIERO WHITE</v>
      </c>
      <c r="H299" s="7" t="str">
        <f>+'[1]BASE RED COMERCIAL'!$B297</f>
        <v>BUENOS AIRES</v>
      </c>
      <c r="I299" s="8" t="str">
        <f>+'[1]BASE RED COMERCIAL'!$C297</f>
        <v>BAHIA BLANCA</v>
      </c>
      <c r="J299" s="10"/>
      <c r="K299" s="10"/>
    </row>
    <row r="300" spans="1:11" x14ac:dyDescent="0.25">
      <c r="A300" s="14" t="str">
        <f>+'[1]BASE RED COMERCIAL'!$A298</f>
        <v>B0574</v>
      </c>
      <c r="B300" s="8" t="str">
        <f>+'[1]BASE RED COMERCIAL'!$H298</f>
        <v>EL PERDIDO</v>
      </c>
      <c r="C300" s="7" t="s">
        <v>33</v>
      </c>
      <c r="D300" s="9" t="str">
        <f>+'[1]BASE RED COMERCIAL'!$E298</f>
        <v>ESPAÃ‘A</v>
      </c>
      <c r="E300" s="7">
        <f>+'[1]BASE RED COMERCIAL'!$F298</f>
        <v>948</v>
      </c>
      <c r="F300" s="14" t="str">
        <f>+'[1]BASE RED COMERCIAL'!$I298</f>
        <v>B8156ZAA</v>
      </c>
      <c r="G300" s="7" t="str">
        <f>+'[1]BASE RED COMERCIAL'!$D298</f>
        <v>EL PERDIDO EST JOSE GUISASOLA</v>
      </c>
      <c r="H300" s="7" t="str">
        <f>+'[1]BASE RED COMERCIAL'!$B298</f>
        <v>BUENOS AIRES</v>
      </c>
      <c r="I300" s="8" t="str">
        <f>+'[1]BASE RED COMERCIAL'!$C298</f>
        <v>CORONEL DORREGO</v>
      </c>
      <c r="J300" s="10"/>
      <c r="K300" s="10"/>
    </row>
    <row r="301" spans="1:11" x14ac:dyDescent="0.25">
      <c r="A301" s="14" t="str">
        <f>+'[1]BASE RED COMERCIAL'!$A299</f>
        <v>B0575</v>
      </c>
      <c r="B301" s="8" t="str">
        <f>+'[1]BASE RED COMERCIAL'!$H299</f>
        <v>LA COLINA</v>
      </c>
      <c r="C301" s="7" t="s">
        <v>33</v>
      </c>
      <c r="D301" s="9" t="str">
        <f>+'[1]BASE RED COMERCIAL'!$E299</f>
        <v>ELISEO MAÃ‘AY</v>
      </c>
      <c r="E301" s="7">
        <f>+'[1]BASE RED COMERCIAL'!$F299</f>
        <v>75</v>
      </c>
      <c r="F301" s="14" t="str">
        <f>+'[1]BASE RED COMERCIAL'!$I299</f>
        <v>B7408ZAA</v>
      </c>
      <c r="G301" s="7" t="str">
        <f>+'[1]BASE RED COMERCIAL'!$D299</f>
        <v>LA COLINA</v>
      </c>
      <c r="H301" s="7" t="str">
        <f>+'[1]BASE RED COMERCIAL'!$B299</f>
        <v>BUENOS AIRES</v>
      </c>
      <c r="I301" s="8" t="str">
        <f>+'[1]BASE RED COMERCIAL'!$C299</f>
        <v>GENERAL LAMADRID</v>
      </c>
      <c r="J301" s="10"/>
      <c r="K301" s="10"/>
    </row>
    <row r="302" spans="1:11" x14ac:dyDescent="0.25">
      <c r="A302" s="14" t="str">
        <f>+'[1]BASE RED COMERCIAL'!$A300</f>
        <v>B0576</v>
      </c>
      <c r="B302" s="8" t="str">
        <f>+'[1]BASE RED COMERCIAL'!$H300</f>
        <v>LAPRIDA</v>
      </c>
      <c r="C302" s="7" t="s">
        <v>33</v>
      </c>
      <c r="D302" s="9" t="str">
        <f>+'[1]BASE RED COMERCIAL'!$E300</f>
        <v>DR RAMON SANTAMARINA</v>
      </c>
      <c r="E302" s="7">
        <f>+'[1]BASE RED COMERCIAL'!$F300</f>
        <v>1133</v>
      </c>
      <c r="F302" s="14" t="str">
        <f>+'[1]BASE RED COMERCIAL'!$I300</f>
        <v>B7414ZAA</v>
      </c>
      <c r="G302" s="7" t="str">
        <f>+'[1]BASE RED COMERCIAL'!$D300</f>
        <v>LAPRIDA</v>
      </c>
      <c r="H302" s="7" t="str">
        <f>+'[1]BASE RED COMERCIAL'!$B300</f>
        <v>BUENOS AIRES</v>
      </c>
      <c r="I302" s="8" t="str">
        <f>+'[1]BASE RED COMERCIAL'!$C300</f>
        <v>LAPRIDA</v>
      </c>
      <c r="J302" s="10"/>
      <c r="K302" s="10"/>
    </row>
    <row r="303" spans="1:11" x14ac:dyDescent="0.25">
      <c r="A303" s="14" t="str">
        <f>+'[1]BASE RED COMERCIAL'!$A301</f>
        <v>B0577</v>
      </c>
      <c r="B303" s="8" t="str">
        <f>+'[1]BASE RED COMERCIAL'!$H301</f>
        <v>MAYOR BURATOVICH</v>
      </c>
      <c r="C303" s="7" t="s">
        <v>33</v>
      </c>
      <c r="D303" s="9" t="str">
        <f>+'[1]BASE RED COMERCIAL'!$E301</f>
        <v>AV JUAN M DE ROSAS</v>
      </c>
      <c r="E303" s="7">
        <f>+'[1]BASE RED COMERCIAL'!$F301</f>
        <v>1101</v>
      </c>
      <c r="F303" s="14" t="str">
        <f>+'[1]BASE RED COMERCIAL'!$I301</f>
        <v>B8146ZAA</v>
      </c>
      <c r="G303" s="7" t="str">
        <f>+'[1]BASE RED COMERCIAL'!$D301</f>
        <v>MAYOR BURATOVICH</v>
      </c>
      <c r="H303" s="7" t="str">
        <f>+'[1]BASE RED COMERCIAL'!$B301</f>
        <v>BUENOS AIRES</v>
      </c>
      <c r="I303" s="8" t="str">
        <f>+'[1]BASE RED COMERCIAL'!$C301</f>
        <v>VILLARINO</v>
      </c>
      <c r="J303" s="10"/>
      <c r="K303" s="10"/>
    </row>
    <row r="304" spans="1:11" x14ac:dyDescent="0.25">
      <c r="A304" s="14" t="str">
        <f>+'[1]BASE RED COMERCIAL'!$A302</f>
        <v>B0578</v>
      </c>
      <c r="B304" s="8" t="str">
        <f>+'[1]BASE RED COMERCIAL'!$H302</f>
        <v>MAZA</v>
      </c>
      <c r="C304" s="7" t="s">
        <v>33</v>
      </c>
      <c r="D304" s="9" t="str">
        <f>+'[1]BASE RED COMERCIAL'!$E302</f>
        <v>AV 25 DE MAYO</v>
      </c>
      <c r="E304" s="7">
        <f>+'[1]BASE RED COMERCIAL'!$F302</f>
        <v>265</v>
      </c>
      <c r="F304" s="14" t="str">
        <f>+'[1]BASE RED COMERCIAL'!$I302</f>
        <v>B6343ZAA</v>
      </c>
      <c r="G304" s="7" t="str">
        <f>+'[1]BASE RED COMERCIAL'!$D302</f>
        <v>VILLA MAZA</v>
      </c>
      <c r="H304" s="7" t="str">
        <f>+'[1]BASE RED COMERCIAL'!$B302</f>
        <v>BUENOS AIRES</v>
      </c>
      <c r="I304" s="8" t="str">
        <f>+'[1]BASE RED COMERCIAL'!$C302</f>
        <v>ADOLFO ALSINA</v>
      </c>
      <c r="J304" s="10"/>
      <c r="K304" s="10"/>
    </row>
    <row r="305" spans="1:28" x14ac:dyDescent="0.25">
      <c r="A305" s="14" t="str">
        <f>+'[1]BASE RED COMERCIAL'!$A303</f>
        <v>B0579</v>
      </c>
      <c r="B305" s="8" t="str">
        <f>+'[1]BASE RED COMERCIAL'!$H303</f>
        <v>MÃ‰DANOS</v>
      </c>
      <c r="C305" s="7" t="s">
        <v>33</v>
      </c>
      <c r="D305" s="9" t="str">
        <f>+'[1]BASE RED COMERCIAL'!$E303</f>
        <v>AV MITRE</v>
      </c>
      <c r="E305" s="7">
        <f>+'[1]BASE RED COMERCIAL'!$F303</f>
        <v>650</v>
      </c>
      <c r="F305" s="14" t="str">
        <f>+'[1]BASE RED COMERCIAL'!$I303</f>
        <v>B8132ZAA</v>
      </c>
      <c r="G305" s="7" t="str">
        <f>+'[1]BASE RED COMERCIAL'!$D303</f>
        <v>MEDANOS</v>
      </c>
      <c r="H305" s="7" t="str">
        <f>+'[1]BASE RED COMERCIAL'!$B303</f>
        <v>BUENOS AIRES</v>
      </c>
      <c r="I305" s="8" t="str">
        <f>+'[1]BASE RED COMERCIAL'!$C303</f>
        <v>VILLARINO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</row>
    <row r="306" spans="1:28" x14ac:dyDescent="0.25">
      <c r="A306" s="14" t="str">
        <f>+'[1]BASE RED COMERCIAL'!$A304</f>
        <v>B0580</v>
      </c>
      <c r="B306" s="8" t="str">
        <f>+'[1]BASE RED COMERCIAL'!$H304</f>
        <v>MICAELA CASCALLARES</v>
      </c>
      <c r="C306" s="7" t="s">
        <v>33</v>
      </c>
      <c r="D306" s="9" t="str">
        <f>+'[1]BASE RED COMERCIAL'!$E304</f>
        <v>2 DE ABRIL</v>
      </c>
      <c r="E306" s="7">
        <f>+'[1]BASE RED COMERCIAL'!$F304</f>
        <v>300</v>
      </c>
      <c r="F306" s="14" t="str">
        <f>+'[1]BASE RED COMERCIAL'!$I304</f>
        <v>B7507ZAA</v>
      </c>
      <c r="G306" s="7" t="str">
        <f>+'[1]BASE RED COMERCIAL'!$D304</f>
        <v>MICAELA CASCALLARES</v>
      </c>
      <c r="H306" s="7" t="str">
        <f>+'[1]BASE RED COMERCIAL'!$B304</f>
        <v>BUENOS AIRES</v>
      </c>
      <c r="I306" s="8" t="str">
        <f>+'[1]BASE RED COMERCIAL'!$C304</f>
        <v>TRES ARROYOS</v>
      </c>
      <c r="J306" s="10"/>
      <c r="K306" s="10"/>
    </row>
    <row r="307" spans="1:28" x14ac:dyDescent="0.25">
      <c r="A307" s="14" t="str">
        <f>+'[1]BASE RED COMERCIAL'!$A305</f>
        <v>B0581</v>
      </c>
      <c r="B307" s="8" t="str">
        <f>+'[1]BASE RED COMERCIAL'!$H305</f>
        <v>OLAVARRIA</v>
      </c>
      <c r="C307" s="7" t="s">
        <v>33</v>
      </c>
      <c r="D307" s="9" t="str">
        <f>+'[1]BASE RED COMERCIAL'!$E305</f>
        <v>GRAL PAZ</v>
      </c>
      <c r="E307" s="7">
        <f>+'[1]BASE RED COMERCIAL'!$F305</f>
        <v>2973</v>
      </c>
      <c r="F307" s="14" t="str">
        <f>+'[1]BASE RED COMERCIAL'!$I305</f>
        <v>B7400ZAA</v>
      </c>
      <c r="G307" s="7" t="str">
        <f>+'[1]BASE RED COMERCIAL'!$D305</f>
        <v>OLAVARRIA</v>
      </c>
      <c r="H307" s="7" t="str">
        <f>+'[1]BASE RED COMERCIAL'!$B305</f>
        <v>BUENOS AIRES</v>
      </c>
      <c r="I307" s="8" t="str">
        <f>+'[1]BASE RED COMERCIAL'!$C305</f>
        <v>OLAVARRIA</v>
      </c>
      <c r="J307" s="10"/>
      <c r="K307" s="10"/>
    </row>
    <row r="308" spans="1:28" x14ac:dyDescent="0.25">
      <c r="A308" s="14" t="str">
        <f>+'[1]BASE RED COMERCIAL'!$A306</f>
        <v>B0582</v>
      </c>
      <c r="B308" s="8" t="str">
        <f>+'[1]BASE RED COMERCIAL'!$H306</f>
        <v>ORENSE</v>
      </c>
      <c r="C308" s="7" t="s">
        <v>33</v>
      </c>
      <c r="D308" s="9" t="str">
        <f>+'[1]BASE RED COMERCIAL'!$E306</f>
        <v>AV GRAL SAN MARTIN</v>
      </c>
      <c r="E308" s="7">
        <f>+'[1]BASE RED COMERCIAL'!$F306</f>
        <v>257</v>
      </c>
      <c r="F308" s="14" t="str">
        <f>+'[1]BASE RED COMERCIAL'!$I306</f>
        <v>B7503ZAA</v>
      </c>
      <c r="G308" s="7" t="str">
        <f>+'[1]BASE RED COMERCIAL'!$D306</f>
        <v>ORENSE</v>
      </c>
      <c r="H308" s="7" t="str">
        <f>+'[1]BASE RED COMERCIAL'!$B306</f>
        <v>BUENOS AIRES</v>
      </c>
      <c r="I308" s="8" t="str">
        <f>+'[1]BASE RED COMERCIAL'!$C306</f>
        <v>TRES ARROYOS</v>
      </c>
      <c r="J308" s="10"/>
      <c r="K308" s="10"/>
    </row>
    <row r="309" spans="1:28" x14ac:dyDescent="0.25">
      <c r="A309" s="14" t="str">
        <f>+'[1]BASE RED COMERCIAL'!$A307</f>
        <v>B0583</v>
      </c>
      <c r="B309" s="8" t="str">
        <f>+'[1]BASE RED COMERCIAL'!$H307</f>
        <v>ORIENTE</v>
      </c>
      <c r="C309" s="7" t="s">
        <v>33</v>
      </c>
      <c r="D309" s="9" t="str">
        <f>+'[1]BASE RED COMERCIAL'!$E307</f>
        <v>AV LIBERTADOR GRAL SAN MARTIN</v>
      </c>
      <c r="E309" s="7">
        <f>+'[1]BASE RED COMERCIAL'!$F307</f>
        <v>253</v>
      </c>
      <c r="F309" s="14" t="str">
        <f>+'[1]BASE RED COMERCIAL'!$I307</f>
        <v>B7509ZAA</v>
      </c>
      <c r="G309" s="7" t="str">
        <f>+'[1]BASE RED COMERCIAL'!$D307</f>
        <v>ORIENTE</v>
      </c>
      <c r="H309" s="7" t="str">
        <f>+'[1]BASE RED COMERCIAL'!$B307</f>
        <v>BUENOS AIRES</v>
      </c>
      <c r="I309" s="8" t="str">
        <f>+'[1]BASE RED COMERCIAL'!$C307</f>
        <v>CORONEL DORREGO</v>
      </c>
      <c r="J309" s="10"/>
      <c r="K309" s="10"/>
    </row>
    <row r="310" spans="1:28" x14ac:dyDescent="0.25">
      <c r="A310" s="14" t="str">
        <f>+'[1]BASE RED COMERCIAL'!$A308</f>
        <v>B0584</v>
      </c>
      <c r="B310" s="8" t="str">
        <f>+'[1]BASE RED COMERCIAL'!$H308</f>
        <v>PEDRO LURO</v>
      </c>
      <c r="C310" s="7" t="s">
        <v>33</v>
      </c>
      <c r="D310" s="9" t="str">
        <f>+'[1]BASE RED COMERCIAL'!$E308</f>
        <v>CALLE 24</v>
      </c>
      <c r="E310" s="7">
        <f>+'[1]BASE RED COMERCIAL'!$F308</f>
        <v>141</v>
      </c>
      <c r="F310" s="14" t="str">
        <f>+'[1]BASE RED COMERCIAL'!$I308</f>
        <v>B8148ZAA</v>
      </c>
      <c r="G310" s="7" t="str">
        <f>+'[1]BASE RED COMERCIAL'!$D308</f>
        <v>PEDRO LURO</v>
      </c>
      <c r="H310" s="7" t="str">
        <f>+'[1]BASE RED COMERCIAL'!$B308</f>
        <v>BUENOS AIRES</v>
      </c>
      <c r="I310" s="8" t="str">
        <f>+'[1]BASE RED COMERCIAL'!$C308</f>
        <v>VILLARINO</v>
      </c>
      <c r="J310" s="10"/>
      <c r="K310" s="10"/>
    </row>
    <row r="311" spans="1:28" x14ac:dyDescent="0.25">
      <c r="A311" s="14" t="str">
        <f>+'[1]BASE RED COMERCIAL'!$A309</f>
        <v>B0585</v>
      </c>
      <c r="B311" s="8" t="str">
        <f>+'[1]BASE RED COMERCIAL'!$H309</f>
        <v>PIGUÃ‰</v>
      </c>
      <c r="C311" s="7" t="s">
        <v>33</v>
      </c>
      <c r="D311" s="9" t="str">
        <f>+'[1]BASE RED COMERCIAL'!$E309</f>
        <v>DR BERNARDO DE IRIGOYEN</v>
      </c>
      <c r="E311" s="7">
        <f>+'[1]BASE RED COMERCIAL'!$F309</f>
        <v>47</v>
      </c>
      <c r="F311" s="14" t="str">
        <f>+'[1]BASE RED COMERCIAL'!$I309</f>
        <v>B8170ZAA</v>
      </c>
      <c r="G311" s="7" t="str">
        <f>+'[1]BASE RED COMERCIAL'!$D309</f>
        <v>PIGUE</v>
      </c>
      <c r="H311" s="7" t="str">
        <f>+'[1]BASE RED COMERCIAL'!$B309</f>
        <v>BUENOS AIRES</v>
      </c>
      <c r="I311" s="8" t="str">
        <f>+'[1]BASE RED COMERCIAL'!$C309</f>
        <v>SAAVEDRA</v>
      </c>
      <c r="J311" s="10"/>
      <c r="K311" s="10"/>
    </row>
    <row r="312" spans="1:28" x14ac:dyDescent="0.25">
      <c r="A312" s="14" t="str">
        <f>+'[1]BASE RED COMERCIAL'!$A310</f>
        <v>B0586</v>
      </c>
      <c r="B312" s="8" t="str">
        <f>+'[1]BASE RED COMERCIAL'!$H310</f>
        <v>PUÃN</v>
      </c>
      <c r="C312" s="7" t="s">
        <v>33</v>
      </c>
      <c r="D312" s="9" t="str">
        <f>+'[1]BASE RED COMERCIAL'!$E310</f>
        <v>MORENO</v>
      </c>
      <c r="E312" s="7">
        <f>+'[1]BASE RED COMERCIAL'!$F310</f>
        <v>682</v>
      </c>
      <c r="F312" s="14" t="str">
        <f>+'[1]BASE RED COMERCIAL'!$I310</f>
        <v>B8180ZAA</v>
      </c>
      <c r="G312" s="7" t="str">
        <f>+'[1]BASE RED COMERCIAL'!$D310</f>
        <v>PUAN</v>
      </c>
      <c r="H312" s="7" t="str">
        <f>+'[1]BASE RED COMERCIAL'!$B310</f>
        <v>BUENOS AIRES</v>
      </c>
      <c r="I312" s="8" t="str">
        <f>+'[1]BASE RED COMERCIAL'!$C310</f>
        <v>PUAN</v>
      </c>
      <c r="J312" s="10"/>
      <c r="K312" s="10"/>
    </row>
    <row r="313" spans="1:28" x14ac:dyDescent="0.25">
      <c r="A313" s="14" t="str">
        <f>+'[1]BASE RED COMERCIAL'!$A311</f>
        <v>B0587</v>
      </c>
      <c r="B313" s="8" t="str">
        <f>+'[1]BASE RED COMERCIAL'!$H311</f>
        <v>PUEBLO SAN JOSE</v>
      </c>
      <c r="C313" s="7" t="s">
        <v>33</v>
      </c>
      <c r="D313" s="9" t="str">
        <f>+'[1]BASE RED COMERCIAL'!$E311</f>
        <v>AV ALEMANES DEL VOLGA</v>
      </c>
      <c r="E313" s="7">
        <f>+'[1]BASE RED COMERCIAL'!$F311</f>
        <v>4325</v>
      </c>
      <c r="F313" s="14" t="str">
        <f>+'[1]BASE RED COMERCIAL'!$I311</f>
        <v>B7541ZAA</v>
      </c>
      <c r="G313" s="7" t="str">
        <f>+'[1]BASE RED COMERCIAL'!$D311</f>
        <v>PUEBLO SAN JOSE</v>
      </c>
      <c r="H313" s="7" t="str">
        <f>+'[1]BASE RED COMERCIAL'!$B311</f>
        <v>BUENOS AIRES</v>
      </c>
      <c r="I313" s="8" t="str">
        <f>+'[1]BASE RED COMERCIAL'!$C311</f>
        <v>CORONEL SUAREZ</v>
      </c>
      <c r="J313" s="10"/>
      <c r="K313" s="10"/>
    </row>
    <row r="314" spans="1:28" x14ac:dyDescent="0.25">
      <c r="A314" s="14" t="str">
        <f>+'[1]BASE RED COMERCIAL'!$A312</f>
        <v>B0588</v>
      </c>
      <c r="B314" s="8" t="str">
        <f>+'[1]BASE RED COMERCIAL'!$H312</f>
        <v>PUERTO BELGRANO</v>
      </c>
      <c r="C314" s="7" t="s">
        <v>33</v>
      </c>
      <c r="D314" s="9" t="str">
        <f>+'[1]BASE RED COMERCIAL'!$E312</f>
        <v>AV AL TEMPLO</v>
      </c>
      <c r="E314" s="7">
        <f>+'[1]BASE RED COMERCIAL'!$F312</f>
        <v>0</v>
      </c>
      <c r="F314" s="14" t="str">
        <f>+'[1]BASE RED COMERCIAL'!$I312</f>
        <v>B8111ZAA</v>
      </c>
      <c r="G314" s="7" t="str">
        <f>+'[1]BASE RED COMERCIAL'!$D312</f>
        <v>PUERTO BELGRANO</v>
      </c>
      <c r="H314" s="7" t="str">
        <f>+'[1]BASE RED COMERCIAL'!$B312</f>
        <v>BUENOS AIRES</v>
      </c>
      <c r="I314" s="8" t="str">
        <f>+'[1]BASE RED COMERCIAL'!$C312</f>
        <v>CORONEL ROSALES</v>
      </c>
      <c r="J314" s="10"/>
      <c r="K314" s="10"/>
    </row>
    <row r="315" spans="1:28" x14ac:dyDescent="0.25">
      <c r="A315" s="14" t="str">
        <f>+'[1]BASE RED COMERCIAL'!$A313</f>
        <v>B0589</v>
      </c>
      <c r="B315" s="8" t="str">
        <f>+'[1]BASE RED COMERCIAL'!$H313</f>
        <v>PUNTA ALTA</v>
      </c>
      <c r="C315" s="7" t="s">
        <v>33</v>
      </c>
      <c r="D315" s="9" t="str">
        <f>+'[1]BASE RED COMERCIAL'!$E313</f>
        <v>AVELLANEDA</v>
      </c>
      <c r="E315" s="7">
        <f>+'[1]BASE RED COMERCIAL'!$F313</f>
        <v>602</v>
      </c>
      <c r="F315" s="14" t="str">
        <f>+'[1]BASE RED COMERCIAL'!$I313</f>
        <v>B8109ZAA</v>
      </c>
      <c r="G315" s="7" t="str">
        <f>+'[1]BASE RED COMERCIAL'!$D313</f>
        <v>PUNTA ALTA</v>
      </c>
      <c r="H315" s="7" t="str">
        <f>+'[1]BASE RED COMERCIAL'!$B313</f>
        <v>BUENOS AIRES</v>
      </c>
      <c r="I315" s="8" t="str">
        <f>+'[1]BASE RED COMERCIAL'!$C313</f>
        <v>CORONEL ROSALES</v>
      </c>
      <c r="J315" s="10"/>
      <c r="K315" s="10"/>
    </row>
    <row r="316" spans="1:28" x14ac:dyDescent="0.25">
      <c r="A316" s="14" t="str">
        <f>+'[1]BASE RED COMERCIAL'!$A314</f>
        <v>B0590</v>
      </c>
      <c r="B316" s="8" t="str">
        <f>+'[1]BASE RED COMERCIAL'!$H314</f>
        <v>RIVERA</v>
      </c>
      <c r="C316" s="7" t="s">
        <v>33</v>
      </c>
      <c r="D316" s="9" t="str">
        <f>+'[1]BASE RED COMERCIAL'!$E314</f>
        <v>25 DE MAYO</v>
      </c>
      <c r="E316" s="7">
        <f>+'[1]BASE RED COMERCIAL'!$F314</f>
        <v>310</v>
      </c>
      <c r="F316" s="14" t="str">
        <f>+'[1]BASE RED COMERCIAL'!$I314</f>
        <v>B6441ZAA</v>
      </c>
      <c r="G316" s="7" t="str">
        <f>+'[1]BASE RED COMERCIAL'!$D314</f>
        <v>RIVERA</v>
      </c>
      <c r="H316" s="7" t="str">
        <f>+'[1]BASE RED COMERCIAL'!$B314</f>
        <v>BUENOS AIRES</v>
      </c>
      <c r="I316" s="8" t="str">
        <f>+'[1]BASE RED COMERCIAL'!$C314</f>
        <v>ADOLFO ALSINA</v>
      </c>
      <c r="J316" s="10"/>
      <c r="K316" s="10"/>
    </row>
    <row r="317" spans="1:28" x14ac:dyDescent="0.25">
      <c r="A317" s="14" t="str">
        <f>+'[1]BASE RED COMERCIAL'!$A315</f>
        <v>B0591</v>
      </c>
      <c r="B317" s="8" t="str">
        <f>+'[1]BASE RED COMERCIAL'!$H315</f>
        <v>SAAVEDRA</v>
      </c>
      <c r="C317" s="7" t="s">
        <v>33</v>
      </c>
      <c r="D317" s="9" t="str">
        <f>+'[1]BASE RED COMERCIAL'!$E315</f>
        <v>AV CECILIO LOPEZ</v>
      </c>
      <c r="E317" s="7">
        <f>+'[1]BASE RED COMERCIAL'!$F315</f>
        <v>300</v>
      </c>
      <c r="F317" s="14" t="str">
        <f>+'[1]BASE RED COMERCIAL'!$I315</f>
        <v>B8174ZAA</v>
      </c>
      <c r="G317" s="7" t="str">
        <f>+'[1]BASE RED COMERCIAL'!$D315</f>
        <v>SAAVEDRA</v>
      </c>
      <c r="H317" s="7" t="str">
        <f>+'[1]BASE RED COMERCIAL'!$B315</f>
        <v>BUENOS AIRES</v>
      </c>
      <c r="I317" s="8" t="str">
        <f>+'[1]BASE RED COMERCIAL'!$C315</f>
        <v>SAAVEDRA</v>
      </c>
      <c r="J317" s="10"/>
      <c r="K317" s="10"/>
    </row>
    <row r="318" spans="1:28" x14ac:dyDescent="0.25">
      <c r="A318" s="14" t="str">
        <f>+'[1]BASE RED COMERCIAL'!$A316</f>
        <v>B0592</v>
      </c>
      <c r="B318" s="8" t="str">
        <f>+'[1]BASE RED COMERCIAL'!$H316</f>
        <v>SALAZAR</v>
      </c>
      <c r="C318" s="7" t="s">
        <v>33</v>
      </c>
      <c r="D318" s="9" t="str">
        <f>+'[1]BASE RED COMERCIAL'!$E316</f>
        <v>AV DR ADOLFO BARCELO</v>
      </c>
      <c r="E318" s="7">
        <f>+'[1]BASE RED COMERCIAL'!$F316</f>
        <v>453</v>
      </c>
      <c r="F318" s="14" t="str">
        <f>+'[1]BASE RED COMERCIAL'!$I316</f>
        <v>B6471ZAA</v>
      </c>
      <c r="G318" s="7" t="str">
        <f>+'[1]BASE RED COMERCIAL'!$D316</f>
        <v>SALAZAR</v>
      </c>
      <c r="H318" s="7" t="str">
        <f>+'[1]BASE RED COMERCIAL'!$B316</f>
        <v>BUENOS AIRES</v>
      </c>
      <c r="I318" s="8" t="str">
        <f>+'[1]BASE RED COMERCIAL'!$C316</f>
        <v>DAIREAUX</v>
      </c>
      <c r="J318" s="10"/>
      <c r="K318" s="10"/>
    </row>
    <row r="319" spans="1:28" x14ac:dyDescent="0.25">
      <c r="A319" s="14" t="str">
        <f>+'[1]BASE RED COMERCIAL'!$A317</f>
        <v>B0593</v>
      </c>
      <c r="B319" s="8" t="str">
        <f>+'[1]BASE RED COMERCIAL'!$H317</f>
        <v>SALDUNGARAY</v>
      </c>
      <c r="C319" s="7" t="s">
        <v>33</v>
      </c>
      <c r="D319" s="9" t="str">
        <f>+'[1]BASE RED COMERCIAL'!$E317</f>
        <v>LA PLATA</v>
      </c>
      <c r="E319" s="7">
        <f>+'[1]BASE RED COMERCIAL'!$F317</f>
        <v>324</v>
      </c>
      <c r="F319" s="14" t="str">
        <f>+'[1]BASE RED COMERCIAL'!$I317</f>
        <v>B8166ZAA</v>
      </c>
      <c r="G319" s="7" t="str">
        <f>+'[1]BASE RED COMERCIAL'!$D317</f>
        <v>SALDUNGARAY</v>
      </c>
      <c r="H319" s="7" t="str">
        <f>+'[1]BASE RED COMERCIAL'!$B317</f>
        <v>BUENOS AIRES</v>
      </c>
      <c r="I319" s="8" t="str">
        <f>+'[1]BASE RED COMERCIAL'!$C317</f>
        <v>TORNQUIST</v>
      </c>
      <c r="J319" s="10"/>
      <c r="K319" s="10"/>
    </row>
    <row r="320" spans="1:28" x14ac:dyDescent="0.25">
      <c r="A320" s="14" t="str">
        <f>+'[1]BASE RED COMERCIAL'!$A318</f>
        <v>B0594</v>
      </c>
      <c r="B320" s="8" t="str">
        <f>+'[1]BASE RED COMERCIAL'!$H318</f>
        <v>SAN FCO. DE BELLOCQ</v>
      </c>
      <c r="C320" s="7" t="s">
        <v>33</v>
      </c>
      <c r="D320" s="9" t="str">
        <f>+'[1]BASE RED COMERCIAL'!$E318</f>
        <v>AV DR ARNALDO GIRADO</v>
      </c>
      <c r="E320" s="7">
        <f>+'[1]BASE RED COMERCIAL'!$F318</f>
        <v>567</v>
      </c>
      <c r="F320" s="14" t="str">
        <f>+'[1]BASE RED COMERCIAL'!$I318</f>
        <v>B7520ZAA</v>
      </c>
      <c r="G320" s="7" t="str">
        <f>+'[1]BASE RED COMERCIAL'!$D318</f>
        <v>SAN FRANCISCO DE BELLOCQ</v>
      </c>
      <c r="H320" s="7" t="str">
        <f>+'[1]BASE RED COMERCIAL'!$B318</f>
        <v>BUENOS AIRES</v>
      </c>
      <c r="I320" s="8" t="str">
        <f>+'[1]BASE RED COMERCIAL'!$C318</f>
        <v>TRES ARROYOS</v>
      </c>
      <c r="J320" s="10"/>
      <c r="K320" s="10"/>
    </row>
    <row r="321" spans="1:11" x14ac:dyDescent="0.25">
      <c r="A321" s="14" t="str">
        <f>+'[1]BASE RED COMERCIAL'!$A319</f>
        <v>B0595</v>
      </c>
      <c r="B321" s="8" t="str">
        <f>+'[1]BASE RED COMERCIAL'!$H319</f>
        <v>SAN MIGUEL ARCANGEL</v>
      </c>
      <c r="C321" s="7" t="s">
        <v>33</v>
      </c>
      <c r="D321" s="9" t="str">
        <f>+'[1]BASE RED COMERCIAL'!$E319</f>
        <v>LOS FUNDADORES</v>
      </c>
      <c r="E321" s="7">
        <f>+'[1]BASE RED COMERCIAL'!$F319</f>
        <v>175</v>
      </c>
      <c r="F321" s="14" t="str">
        <f>+'[1]BASE RED COMERCIAL'!$I319</f>
        <v>B8185ZAA</v>
      </c>
      <c r="G321" s="7" t="str">
        <f>+'[1]BASE RED COMERCIAL'!$D319</f>
        <v>SAN MIGUEL ARCANGEL</v>
      </c>
      <c r="H321" s="7" t="str">
        <f>+'[1]BASE RED COMERCIAL'!$B319</f>
        <v>BUENOS AIRES</v>
      </c>
      <c r="I321" s="8" t="str">
        <f>+'[1]BASE RED COMERCIAL'!$C319</f>
        <v>ADOLFO ALSINA</v>
      </c>
      <c r="J321" s="10"/>
      <c r="K321" s="10"/>
    </row>
    <row r="322" spans="1:11" x14ac:dyDescent="0.25">
      <c r="A322" s="14" t="str">
        <f>+'[1]BASE RED COMERCIAL'!$A320</f>
        <v>B0596</v>
      </c>
      <c r="B322" s="8" t="str">
        <f>+'[1]BASE RED COMERCIAL'!$H320</f>
        <v>SIERRA DE LA VENTANA</v>
      </c>
      <c r="C322" s="7" t="s">
        <v>33</v>
      </c>
      <c r="D322" s="9" t="str">
        <f>+'[1]BASE RED COMERCIAL'!$E320</f>
        <v>AV ROCA</v>
      </c>
      <c r="E322" s="7">
        <f>+'[1]BASE RED COMERCIAL'!$F320</f>
        <v>195</v>
      </c>
      <c r="F322" s="14" t="str">
        <f>+'[1]BASE RED COMERCIAL'!$I320</f>
        <v>B8168ZAA</v>
      </c>
      <c r="G322" s="7" t="str">
        <f>+'[1]BASE RED COMERCIAL'!$D320</f>
        <v>SIERRA DE LA VENTANA</v>
      </c>
      <c r="H322" s="7" t="str">
        <f>+'[1]BASE RED COMERCIAL'!$B320</f>
        <v>BUENOS AIRES</v>
      </c>
      <c r="I322" s="8" t="str">
        <f>+'[1]BASE RED COMERCIAL'!$C320</f>
        <v>TORNQUIST</v>
      </c>
      <c r="J322" s="10"/>
      <c r="K322" s="10"/>
    </row>
    <row r="323" spans="1:11" x14ac:dyDescent="0.25">
      <c r="A323" s="14" t="str">
        <f>+'[1]BASE RED COMERCIAL'!$A321</f>
        <v>B0597</v>
      </c>
      <c r="B323" s="8" t="str">
        <f>+'[1]BASE RED COMERCIAL'!$H321</f>
        <v>SIERRAS BAYAS</v>
      </c>
      <c r="C323" s="7" t="s">
        <v>33</v>
      </c>
      <c r="D323" s="9" t="str">
        <f>+'[1]BASE RED COMERCIAL'!$E321</f>
        <v>ALFONSO AUST</v>
      </c>
      <c r="E323" s="7">
        <f>+'[1]BASE RED COMERCIAL'!$F321</f>
        <v>2190</v>
      </c>
      <c r="F323" s="14" t="str">
        <f>+'[1]BASE RED COMERCIAL'!$I321</f>
        <v>B7403ZAA</v>
      </c>
      <c r="G323" s="7" t="str">
        <f>+'[1]BASE RED COMERCIAL'!$D321</f>
        <v>SIERRAS BAYAS</v>
      </c>
      <c r="H323" s="7" t="str">
        <f>+'[1]BASE RED COMERCIAL'!$B321</f>
        <v>BUENOS AIRES</v>
      </c>
      <c r="I323" s="8" t="str">
        <f>+'[1]BASE RED COMERCIAL'!$C321</f>
        <v>OLAVARRIA</v>
      </c>
      <c r="J323" s="10"/>
      <c r="K323" s="10"/>
    </row>
    <row r="324" spans="1:11" x14ac:dyDescent="0.25">
      <c r="A324" s="14" t="str">
        <f>+'[1]BASE RED COMERCIAL'!$A322</f>
        <v>B0700</v>
      </c>
      <c r="B324" s="8" t="str">
        <f>+'[1]BASE RED COMERCIAL'!$H322</f>
        <v>COLEGIO DE ABOGADOS</v>
      </c>
      <c r="C324" s="7" t="s">
        <v>33</v>
      </c>
      <c r="D324" s="9" t="str">
        <f>+'[1]BASE RED COMERCIAL'!$E322</f>
        <v>ALTE G BROWN</v>
      </c>
      <c r="E324" s="7">
        <f>+'[1]BASE RED COMERCIAL'!$F322</f>
        <v>1958</v>
      </c>
      <c r="F324" s="14" t="str">
        <f>+'[1]BASE RED COMERCIAL'!$I322</f>
        <v>B7600ZAB</v>
      </c>
      <c r="G324" s="7" t="str">
        <f>+'[1]BASE RED COMERCIAL'!$D322</f>
        <v>MAR DEL PLATA</v>
      </c>
      <c r="H324" s="7" t="str">
        <f>+'[1]BASE RED COMERCIAL'!$B322</f>
        <v>BUENOS AIRES</v>
      </c>
      <c r="I324" s="8" t="str">
        <f>+'[1]BASE RED COMERCIAL'!$C322</f>
        <v>GENERAL PUEYRREDON</v>
      </c>
      <c r="J324" s="10"/>
      <c r="K324" s="10"/>
    </row>
    <row r="325" spans="1:11" x14ac:dyDescent="0.25">
      <c r="A325" s="14" t="str">
        <f>+'[1]BASE RED COMERCIAL'!$A323</f>
        <v>B0715</v>
      </c>
      <c r="B325" s="8" t="str">
        <f>+'[1]BASE RED COMERCIAL'!$H323</f>
        <v>GUEMES</v>
      </c>
      <c r="C325" s="7" t="s">
        <v>33</v>
      </c>
      <c r="D325" s="9" t="str">
        <f>+'[1]BASE RED COMERCIAL'!$E323</f>
        <v>GRAL MARTIN M GUEMES</v>
      </c>
      <c r="E325" s="7">
        <f>+'[1]BASE RED COMERCIAL'!$F323</f>
        <v>2714</v>
      </c>
      <c r="F325" s="14" t="str">
        <f>+'[1]BASE RED COMERCIAL'!$I323</f>
        <v>B7600ZAF</v>
      </c>
      <c r="G325" s="7" t="str">
        <f>+'[1]BASE RED COMERCIAL'!$D323</f>
        <v>MAR DEL PLATA</v>
      </c>
      <c r="H325" s="7" t="str">
        <f>+'[1]BASE RED COMERCIAL'!$B323</f>
        <v>BUENOS AIRES</v>
      </c>
      <c r="I325" s="8" t="str">
        <f>+'[1]BASE RED COMERCIAL'!$C323</f>
        <v>GENERAL PUEYRREDON</v>
      </c>
      <c r="J325" s="10"/>
      <c r="K325" s="10"/>
    </row>
    <row r="326" spans="1:11" x14ac:dyDescent="0.25">
      <c r="A326" s="14" t="str">
        <f>+'[1]BASE RED COMERCIAL'!$A324</f>
        <v>B0716</v>
      </c>
      <c r="B326" s="8" t="str">
        <f>+'[1]BASE RED COMERCIAL'!$H324</f>
        <v>MAR DEL PLATA CENTRO</v>
      </c>
      <c r="C326" s="7" t="s">
        <v>33</v>
      </c>
      <c r="D326" s="9" t="str">
        <f>+'[1]BASE RED COMERCIAL'!$E324</f>
        <v>HIPOLITO YRIGOYEN</v>
      </c>
      <c r="E326" s="7">
        <f>+'[1]BASE RED COMERCIAL'!$F324</f>
        <v>1333</v>
      </c>
      <c r="F326" s="14" t="str">
        <f>+'[1]BASE RED COMERCIAL'!$I324</f>
        <v>B7600ZAD</v>
      </c>
      <c r="G326" s="7" t="str">
        <f>+'[1]BASE RED COMERCIAL'!$D324</f>
        <v>MAR DEL PLATA</v>
      </c>
      <c r="H326" s="7" t="str">
        <f>+'[1]BASE RED COMERCIAL'!$B324</f>
        <v>BUENOS AIRES</v>
      </c>
      <c r="I326" s="8" t="str">
        <f>+'[1]BASE RED COMERCIAL'!$C324</f>
        <v>GENERAL PUEYRREDON</v>
      </c>
      <c r="J326" s="10"/>
      <c r="K326" s="10"/>
    </row>
    <row r="327" spans="1:11" x14ac:dyDescent="0.25">
      <c r="A327" s="14" t="str">
        <f>+'[1]BASE RED COMERCIAL'!$A325</f>
        <v>B0717</v>
      </c>
      <c r="B327" s="8" t="str">
        <f>+'[1]BASE RED COMERCIAL'!$H325</f>
        <v>VILLA GESELL</v>
      </c>
      <c r="C327" s="7" t="s">
        <v>33</v>
      </c>
      <c r="D327" s="9" t="str">
        <f>+'[1]BASE RED COMERCIAL'!$E325</f>
        <v>AV 4</v>
      </c>
      <c r="E327" s="7">
        <f>+'[1]BASE RED COMERCIAL'!$F325</f>
        <v>4001</v>
      </c>
      <c r="F327" s="14" t="str">
        <f>+'[1]BASE RED COMERCIAL'!$I325</f>
        <v>B7165ZAC</v>
      </c>
      <c r="G327" s="7" t="str">
        <f>+'[1]BASE RED COMERCIAL'!$D325</f>
        <v>VILLA GESELL</v>
      </c>
      <c r="H327" s="7" t="str">
        <f>+'[1]BASE RED COMERCIAL'!$B325</f>
        <v>BUENOS AIRES</v>
      </c>
      <c r="I327" s="8" t="str">
        <f>+'[1]BASE RED COMERCIAL'!$C325</f>
        <v>VILLA GESELL</v>
      </c>
      <c r="J327" s="10"/>
      <c r="K327" s="10"/>
    </row>
    <row r="328" spans="1:11" x14ac:dyDescent="0.25">
      <c r="A328" s="14" t="str">
        <f>+'[1]BASE RED COMERCIAL'!$A326</f>
        <v>B0719</v>
      </c>
      <c r="B328" s="8" t="str">
        <f>+'[1]BASE RED COMERCIAL'!$H326</f>
        <v>MARTINEZ</v>
      </c>
      <c r="C328" s="7" t="s">
        <v>33</v>
      </c>
      <c r="D328" s="9" t="str">
        <f>+'[1]BASE RED COMERCIAL'!$E326</f>
        <v>AV SANTA FE</v>
      </c>
      <c r="E328" s="7">
        <f>+'[1]BASE RED COMERCIAL'!$F326</f>
        <v>2052</v>
      </c>
      <c r="F328" s="14" t="str">
        <f>+'[1]BASE RED COMERCIAL'!$I326</f>
        <v>B1640ZAA</v>
      </c>
      <c r="G328" s="7" t="str">
        <f>+'[1]BASE RED COMERCIAL'!$D326</f>
        <v>MARTINEZ</v>
      </c>
      <c r="H328" s="7" t="str">
        <f>+'[1]BASE RED COMERCIAL'!$B326</f>
        <v>BUENOS AIRES</v>
      </c>
      <c r="I328" s="8" t="str">
        <f>+'[1]BASE RED COMERCIAL'!$C326</f>
        <v>SAN ISIDRO</v>
      </c>
      <c r="J328" s="10"/>
      <c r="K328" s="10"/>
    </row>
    <row r="329" spans="1:11" x14ac:dyDescent="0.25">
      <c r="A329" s="14" t="str">
        <f>+'[1]BASE RED COMERCIAL'!$A327</f>
        <v>B0720</v>
      </c>
      <c r="B329" s="8" t="str">
        <f>+'[1]BASE RED COMERCIAL'!$H327</f>
        <v>QUILMES</v>
      </c>
      <c r="C329" s="7" t="s">
        <v>33</v>
      </c>
      <c r="D329" s="9" t="str">
        <f>+'[1]BASE RED COMERCIAL'!$E327</f>
        <v>HIPOLITO YRIGOYEN</v>
      </c>
      <c r="E329" s="7">
        <f>+'[1]BASE RED COMERCIAL'!$F327</f>
        <v>405</v>
      </c>
      <c r="F329" s="14" t="str">
        <f>+'[1]BASE RED COMERCIAL'!$I327</f>
        <v>B1878ZAC</v>
      </c>
      <c r="G329" s="7" t="str">
        <f>+'[1]BASE RED COMERCIAL'!$D327</f>
        <v>QUILMES</v>
      </c>
      <c r="H329" s="7" t="str">
        <f>+'[1]BASE RED COMERCIAL'!$B327</f>
        <v>BUENOS AIRES</v>
      </c>
      <c r="I329" s="8" t="str">
        <f>+'[1]BASE RED COMERCIAL'!$C327</f>
        <v>QUILMES</v>
      </c>
      <c r="J329" s="10"/>
      <c r="K329" s="10"/>
    </row>
    <row r="330" spans="1:11" x14ac:dyDescent="0.25">
      <c r="A330" s="14" t="str">
        <f>+'[1]BASE RED COMERCIAL'!$A328</f>
        <v>B0721</v>
      </c>
      <c r="B330" s="8" t="str">
        <f>+'[1]BASE RED COMERCIAL'!$H328</f>
        <v>MUNRO</v>
      </c>
      <c r="C330" s="7" t="s">
        <v>33</v>
      </c>
      <c r="D330" s="9" t="str">
        <f>+'[1]BASE RED COMERCIAL'!$E328</f>
        <v>AV DR VELEZ SARSFIELD</v>
      </c>
      <c r="E330" s="7">
        <f>+'[1]BASE RED COMERCIAL'!$F328</f>
        <v>4319</v>
      </c>
      <c r="F330" s="14" t="str">
        <f>+'[1]BASE RED COMERCIAL'!$I328</f>
        <v>B1605ZAB</v>
      </c>
      <c r="G330" s="7" t="str">
        <f>+'[1]BASE RED COMERCIAL'!$D328</f>
        <v>MUNRO</v>
      </c>
      <c r="H330" s="7" t="str">
        <f>+'[1]BASE RED COMERCIAL'!$B328</f>
        <v>BUENOS AIRES</v>
      </c>
      <c r="I330" s="8" t="str">
        <f>+'[1]BASE RED COMERCIAL'!$C328</f>
        <v>VICENTE LOPEZ</v>
      </c>
      <c r="J330" s="10"/>
      <c r="K330" s="10"/>
    </row>
    <row r="331" spans="1:11" x14ac:dyDescent="0.25">
      <c r="A331" s="14" t="str">
        <f>+'[1]BASE RED COMERCIAL'!$A329</f>
        <v>B0722</v>
      </c>
      <c r="B331" s="8" t="str">
        <f>+'[1]BASE RED COMERCIAL'!$H329</f>
        <v>LOMAS DE ZAMORA</v>
      </c>
      <c r="C331" s="7" t="s">
        <v>33</v>
      </c>
      <c r="D331" s="9" t="str">
        <f>+'[1]BASE RED COMERCIAL'!$E329</f>
        <v>AV PTE H YRIGOYEN</v>
      </c>
      <c r="E331" s="7">
        <f>+'[1]BASE RED COMERCIAL'!$F329</f>
        <v>9109</v>
      </c>
      <c r="F331" s="14" t="str">
        <f>+'[1]BASE RED COMERCIAL'!$I329</f>
        <v>B1832ZAB</v>
      </c>
      <c r="G331" s="7" t="str">
        <f>+'[1]BASE RED COMERCIAL'!$D329</f>
        <v>LOMAS DE ZAMORA</v>
      </c>
      <c r="H331" s="7" t="str">
        <f>+'[1]BASE RED COMERCIAL'!$B329</f>
        <v>BUENOS AIRES</v>
      </c>
      <c r="I331" s="8" t="str">
        <f>+'[1]BASE RED COMERCIAL'!$C329</f>
        <v>LOMAS DE ZAMORA</v>
      </c>
      <c r="J331" s="10"/>
      <c r="K331" s="10"/>
    </row>
    <row r="332" spans="1:11" x14ac:dyDescent="0.25">
      <c r="A332" s="14" t="str">
        <f>+'[1]BASE RED COMERCIAL'!$A330</f>
        <v>B0725</v>
      </c>
      <c r="B332" s="8" t="str">
        <f>+'[1]BASE RED COMERCIAL'!$H330</f>
        <v>MORON</v>
      </c>
      <c r="C332" s="7" t="s">
        <v>33</v>
      </c>
      <c r="D332" s="9" t="str">
        <f>+'[1]BASE RED COMERCIAL'!$E330</f>
        <v>GRAL M BELGRANO</v>
      </c>
      <c r="E332" s="7">
        <f>+'[1]BASE RED COMERCIAL'!$F330</f>
        <v>252</v>
      </c>
      <c r="F332" s="14" t="str">
        <f>+'[1]BASE RED COMERCIAL'!$I330</f>
        <v>B1708ZAB</v>
      </c>
      <c r="G332" s="7" t="str">
        <f>+'[1]BASE RED COMERCIAL'!$D330</f>
        <v>MORON</v>
      </c>
      <c r="H332" s="7" t="str">
        <f>+'[1]BASE RED COMERCIAL'!$B330</f>
        <v>BUENOS AIRES</v>
      </c>
      <c r="I332" s="8" t="str">
        <f>+'[1]BASE RED COMERCIAL'!$C330</f>
        <v>MORON</v>
      </c>
      <c r="J332" s="10"/>
      <c r="K332" s="10"/>
    </row>
    <row r="333" spans="1:11" x14ac:dyDescent="0.25">
      <c r="A333" s="14" t="str">
        <f>+'[1]BASE RED COMERCIAL'!$A331</f>
        <v>B0727</v>
      </c>
      <c r="B333" s="8" t="str">
        <f>+'[1]BASE RED COMERCIAL'!$H331</f>
        <v>BANFIELD</v>
      </c>
      <c r="C333" s="7" t="s">
        <v>33</v>
      </c>
      <c r="D333" s="9" t="str">
        <f>+'[1]BASE RED COMERCIAL'!$E331</f>
        <v>DR A ALSINA</v>
      </c>
      <c r="E333" s="7">
        <f>+'[1]BASE RED COMERCIAL'!$F331</f>
        <v>658</v>
      </c>
      <c r="F333" s="14" t="str">
        <f>+'[1]BASE RED COMERCIAL'!$I331</f>
        <v>B1828ZAA</v>
      </c>
      <c r="G333" s="7" t="str">
        <f>+'[1]BASE RED COMERCIAL'!$D331</f>
        <v>BANFIELD</v>
      </c>
      <c r="H333" s="7" t="str">
        <f>+'[1]BASE RED COMERCIAL'!$B331</f>
        <v>BUENOS AIRES</v>
      </c>
      <c r="I333" s="8" t="str">
        <f>+'[1]BASE RED COMERCIAL'!$C331</f>
        <v>LOMAS DE ZAMORA</v>
      </c>
      <c r="J333" s="10"/>
      <c r="K333" s="10"/>
    </row>
    <row r="334" spans="1:11" x14ac:dyDescent="0.25">
      <c r="A334" s="14" t="str">
        <f>+'[1]BASE RED COMERCIAL'!$A332</f>
        <v>B0900</v>
      </c>
      <c r="B334" s="8" t="str">
        <f>+'[1]BASE RED COMERCIAL'!$H332</f>
        <v>MAR DEL PLATA</v>
      </c>
      <c r="C334" s="7" t="s">
        <v>33</v>
      </c>
      <c r="D334" s="9" t="str">
        <f>+'[1]BASE RED COMERCIAL'!$E332</f>
        <v>AV PEDRO LURO</v>
      </c>
      <c r="E334" s="7">
        <f>+'[1]BASE RED COMERCIAL'!$F332</f>
        <v>2460</v>
      </c>
      <c r="F334" s="14" t="str">
        <f>+'[1]BASE RED COMERCIAL'!$I332</f>
        <v>B7600ZAA</v>
      </c>
      <c r="G334" s="7" t="str">
        <f>+'[1]BASE RED COMERCIAL'!$D332</f>
        <v>MAR DEL PLATA</v>
      </c>
      <c r="H334" s="7" t="str">
        <f>+'[1]BASE RED COMERCIAL'!$B332</f>
        <v>BUENOS AIRES</v>
      </c>
      <c r="I334" s="8" t="str">
        <f>+'[1]BASE RED COMERCIAL'!$C332</f>
        <v>GENERAL PUEYRREDON</v>
      </c>
      <c r="J334" s="10"/>
      <c r="K334" s="10"/>
    </row>
    <row r="335" spans="1:11" x14ac:dyDescent="0.25">
      <c r="A335" s="14" t="str">
        <f>+'[1]BASE RED COMERCIAL'!$A333</f>
        <v>B0901</v>
      </c>
      <c r="B335" s="8" t="str">
        <f>+'[1]BASE RED COMERCIAL'!$H333</f>
        <v>MAR DEL PLATA 1</v>
      </c>
      <c r="C335" s="7" t="s">
        <v>33</v>
      </c>
      <c r="D335" s="9" t="str">
        <f>+'[1]BASE RED COMERCIAL'!$E333</f>
        <v>AV CRISTOBAL COLON</v>
      </c>
      <c r="E335" s="7">
        <f>+'[1]BASE RED COMERCIAL'!$F333</f>
        <v>5556</v>
      </c>
      <c r="F335" s="14" t="str">
        <f>+'[1]BASE RED COMERCIAL'!$I333</f>
        <v>B7604ZAB</v>
      </c>
      <c r="G335" s="7" t="str">
        <f>+'[1]BASE RED COMERCIAL'!$D333</f>
        <v>MAR DEL PLATA</v>
      </c>
      <c r="H335" s="7" t="str">
        <f>+'[1]BASE RED COMERCIAL'!$B333</f>
        <v>BUENOS AIRES</v>
      </c>
      <c r="I335" s="8" t="str">
        <f>+'[1]BASE RED COMERCIAL'!$C333</f>
        <v>GENERAL PUEYRREDON</v>
      </c>
      <c r="J335" s="10"/>
      <c r="K335" s="10"/>
    </row>
    <row r="336" spans="1:11" x14ac:dyDescent="0.25">
      <c r="A336" s="14" t="str">
        <f>+'[1]BASE RED COMERCIAL'!$A334</f>
        <v>B0902</v>
      </c>
      <c r="B336" s="8" t="str">
        <f>+'[1]BASE RED COMERCIAL'!$H334</f>
        <v>MAR DEL PLATA 2</v>
      </c>
      <c r="C336" s="7" t="s">
        <v>33</v>
      </c>
      <c r="D336" s="9" t="str">
        <f>+'[1]BASE RED COMERCIAL'!$E334</f>
        <v>GRAL M ACHA</v>
      </c>
      <c r="E336" s="7">
        <f>+'[1]BASE RED COMERCIAL'!$F334</f>
        <v>350</v>
      </c>
      <c r="F336" s="14" t="str">
        <f>+'[1]BASE RED COMERCIAL'!$I334</f>
        <v>B7603ZAB</v>
      </c>
      <c r="G336" s="7" t="str">
        <f>+'[1]BASE RED COMERCIAL'!$D334</f>
        <v>MAR DEL PLATA</v>
      </c>
      <c r="H336" s="7" t="str">
        <f>+'[1]BASE RED COMERCIAL'!$B334</f>
        <v>BUENOS AIRES</v>
      </c>
      <c r="I336" s="8" t="str">
        <f>+'[1]BASE RED COMERCIAL'!$C334</f>
        <v>GENERAL PUEYRREDON</v>
      </c>
      <c r="J336" s="10"/>
      <c r="K336" s="10"/>
    </row>
    <row r="337" spans="1:11" x14ac:dyDescent="0.25">
      <c r="A337" s="14" t="str">
        <f>+'[1]BASE RED COMERCIAL'!$A335</f>
        <v>B0904</v>
      </c>
      <c r="B337" s="8" t="str">
        <f>+'[1]BASE RED COMERCIAL'!$H335</f>
        <v>MAR DEL PLATA 4</v>
      </c>
      <c r="C337" s="7" t="s">
        <v>33</v>
      </c>
      <c r="D337" s="9" t="str">
        <f>+'[1]BASE RED COMERCIAL'!$E335</f>
        <v>AV JACINTO PERALTA RAMOS</v>
      </c>
      <c r="E337" s="7">
        <f>+'[1]BASE RED COMERCIAL'!$F335</f>
        <v>865</v>
      </c>
      <c r="F337" s="14" t="str">
        <f>+'[1]BASE RED COMERCIAL'!$I335</f>
        <v>B7608ZAA</v>
      </c>
      <c r="G337" s="7" t="str">
        <f>+'[1]BASE RED COMERCIAL'!$D335</f>
        <v>MAR DEL PLATA</v>
      </c>
      <c r="H337" s="7" t="str">
        <f>+'[1]BASE RED COMERCIAL'!$B335</f>
        <v>BUENOS AIRES</v>
      </c>
      <c r="I337" s="8" t="str">
        <f>+'[1]BASE RED COMERCIAL'!$C335</f>
        <v>GENERAL PUEYRREDON</v>
      </c>
      <c r="J337" s="10"/>
      <c r="K337" s="10"/>
    </row>
    <row r="338" spans="1:11" x14ac:dyDescent="0.25">
      <c r="A338" s="14" t="str">
        <f>+'[1]BASE RED COMERCIAL'!$A336</f>
        <v>B0905</v>
      </c>
      <c r="B338" s="8" t="str">
        <f>+'[1]BASE RED COMERCIAL'!$H336</f>
        <v>MAR DEL PLATA 5</v>
      </c>
      <c r="C338" s="7" t="s">
        <v>33</v>
      </c>
      <c r="D338" s="9" t="str">
        <f>+'[1]BASE RED COMERCIAL'!$E336</f>
        <v>DOMINGO SARMIENTO</v>
      </c>
      <c r="E338" s="7">
        <f>+'[1]BASE RED COMERCIAL'!$F336</f>
        <v>2702</v>
      </c>
      <c r="F338" s="14" t="str">
        <f>+'[1]BASE RED COMERCIAL'!$I336</f>
        <v>B7600ZAG</v>
      </c>
      <c r="G338" s="7" t="str">
        <f>+'[1]BASE RED COMERCIAL'!$D336</f>
        <v>MAR DEL PLATA</v>
      </c>
      <c r="H338" s="7" t="str">
        <f>+'[1]BASE RED COMERCIAL'!$B336</f>
        <v>BUENOS AIRES</v>
      </c>
      <c r="I338" s="8" t="str">
        <f>+'[1]BASE RED COMERCIAL'!$C336</f>
        <v>GENERAL PUEYRREDON</v>
      </c>
      <c r="J338" s="10"/>
      <c r="K338" s="10"/>
    </row>
    <row r="339" spans="1:11" x14ac:dyDescent="0.25">
      <c r="A339" s="14" t="str">
        <f>+'[1]BASE RED COMERCIAL'!$A337</f>
        <v>B0910</v>
      </c>
      <c r="B339" s="8" t="str">
        <f>+'[1]BASE RED COMERCIAL'!$H337</f>
        <v>BARRIO BATAN</v>
      </c>
      <c r="C339" s="7" t="s">
        <v>33</v>
      </c>
      <c r="D339" s="9" t="str">
        <f>+'[1]BASE RED COMERCIAL'!$E337</f>
        <v>CALLE 153</v>
      </c>
      <c r="E339" s="7">
        <f>+'[1]BASE RED COMERCIAL'!$F337</f>
        <v>4264</v>
      </c>
      <c r="F339" s="14" t="str">
        <f>+'[1]BASE RED COMERCIAL'!$I337</f>
        <v>B7601ZAA</v>
      </c>
      <c r="G339" s="7" t="str">
        <f>+'[1]BASE RED COMERCIAL'!$D337</f>
        <v>BARRIO BATAN</v>
      </c>
      <c r="H339" s="7" t="str">
        <f>+'[1]BASE RED COMERCIAL'!$B337</f>
        <v>BUENOS AIRES</v>
      </c>
      <c r="I339" s="8" t="str">
        <f>+'[1]BASE RED COMERCIAL'!$C337</f>
        <v>GENERAL PUEYRREDON</v>
      </c>
      <c r="J339" s="10"/>
      <c r="K339" s="10"/>
    </row>
    <row r="340" spans="1:11" x14ac:dyDescent="0.25">
      <c r="A340" s="14" t="str">
        <f>+'[1]BASE RED COMERCIAL'!$A338</f>
        <v>B0912</v>
      </c>
      <c r="B340" s="8" t="str">
        <f>+'[1]BASE RED COMERCIAL'!$H338</f>
        <v>CTE. OTAMENDI</v>
      </c>
      <c r="C340" s="7" t="s">
        <v>33</v>
      </c>
      <c r="D340" s="9" t="str">
        <f>+'[1]BASE RED COMERCIAL'!$E338</f>
        <v>ENTRE RIOS</v>
      </c>
      <c r="E340" s="7">
        <f>+'[1]BASE RED COMERCIAL'!$F338</f>
        <v>2374</v>
      </c>
      <c r="F340" s="14" t="str">
        <f>+'[1]BASE RED COMERCIAL'!$I338</f>
        <v>B7613ZAA</v>
      </c>
      <c r="G340" s="7" t="str">
        <f>+'[1]BASE RED COMERCIAL'!$D338</f>
        <v>COMANDANTE NICANOR OTAMENDI</v>
      </c>
      <c r="H340" s="7" t="str">
        <f>+'[1]BASE RED COMERCIAL'!$B338</f>
        <v>BUENOS AIRES</v>
      </c>
      <c r="I340" s="8" t="str">
        <f>+'[1]BASE RED COMERCIAL'!$C338</f>
        <v>GENERAL ALVARADO</v>
      </c>
      <c r="J340" s="10"/>
      <c r="K340" s="10"/>
    </row>
    <row r="341" spans="1:11" x14ac:dyDescent="0.25">
      <c r="A341" s="14" t="str">
        <f>+'[1]BASE RED COMERCIAL'!$A339</f>
        <v>B0914</v>
      </c>
      <c r="B341" s="8" t="str">
        <f>+'[1]BASE RED COMERCIAL'!$H339</f>
        <v>CORONEL VIDAL</v>
      </c>
      <c r="C341" s="7" t="s">
        <v>33</v>
      </c>
      <c r="D341" s="9" t="str">
        <f>+'[1]BASE RED COMERCIAL'!$E339</f>
        <v>GRAL PAZ</v>
      </c>
      <c r="E341" s="7">
        <f>+'[1]BASE RED COMERCIAL'!$F339</f>
        <v>538</v>
      </c>
      <c r="F341" s="14" t="str">
        <f>+'[1]BASE RED COMERCIAL'!$I339</f>
        <v>B7174ZAA</v>
      </c>
      <c r="G341" s="7" t="str">
        <f>+'[1]BASE RED COMERCIAL'!$D339</f>
        <v>CORONEL VIDAL</v>
      </c>
      <c r="H341" s="7" t="str">
        <f>+'[1]BASE RED COMERCIAL'!$B339</f>
        <v>BUENOS AIRES</v>
      </c>
      <c r="I341" s="8" t="str">
        <f>+'[1]BASE RED COMERCIAL'!$C339</f>
        <v>MAR CHIQUITA</v>
      </c>
      <c r="J341" s="10"/>
      <c r="K341" s="10"/>
    </row>
    <row r="342" spans="1:11" x14ac:dyDescent="0.25">
      <c r="A342" s="14" t="str">
        <f>+'[1]BASE RED COMERCIAL'!$A340</f>
        <v>B0916</v>
      </c>
      <c r="B342" s="8" t="str">
        <f>+'[1]BASE RED COMERCIAL'!$H340</f>
        <v>GRAL. GUIDO</v>
      </c>
      <c r="C342" s="7" t="s">
        <v>33</v>
      </c>
      <c r="D342" s="9" t="str">
        <f>+'[1]BASE RED COMERCIAL'!$E340</f>
        <v>25 DE MAYO</v>
      </c>
      <c r="E342" s="7">
        <f>+'[1]BASE RED COMERCIAL'!$F340</f>
        <v>250</v>
      </c>
      <c r="F342" s="14" t="str">
        <f>+'[1]BASE RED COMERCIAL'!$I340</f>
        <v>B7118ZAA</v>
      </c>
      <c r="G342" s="7" t="str">
        <f>+'[1]BASE RED COMERCIAL'!$D340</f>
        <v>GENERAL GUIDO</v>
      </c>
      <c r="H342" s="7" t="str">
        <f>+'[1]BASE RED COMERCIAL'!$B340</f>
        <v>BUENOS AIRES</v>
      </c>
      <c r="I342" s="8" t="str">
        <f>+'[1]BASE RED COMERCIAL'!$C340</f>
        <v>GENERAL GUIDO</v>
      </c>
      <c r="J342" s="10"/>
      <c r="K342" s="10"/>
    </row>
    <row r="343" spans="1:11" x14ac:dyDescent="0.25">
      <c r="A343" s="14" t="str">
        <f>+'[1]BASE RED COMERCIAL'!$A341</f>
        <v>B0918</v>
      </c>
      <c r="B343" s="8" t="str">
        <f>+'[1]BASE RED COMERCIAL'!$H341</f>
        <v>GRAL. LAVALLE</v>
      </c>
      <c r="C343" s="7" t="s">
        <v>33</v>
      </c>
      <c r="D343" s="9" t="str">
        <f>+'[1]BASE RED COMERCIAL'!$E341</f>
        <v>ART DE LA SERNA</v>
      </c>
      <c r="E343" s="7">
        <f>+'[1]BASE RED COMERCIAL'!$F341</f>
        <v>1186</v>
      </c>
      <c r="F343" s="14" t="str">
        <f>+'[1]BASE RED COMERCIAL'!$I341</f>
        <v>B7103ZAA</v>
      </c>
      <c r="G343" s="7" t="str">
        <f>+'[1]BASE RED COMERCIAL'!$D341</f>
        <v>GENERAL LAVALLE</v>
      </c>
      <c r="H343" s="7" t="str">
        <f>+'[1]BASE RED COMERCIAL'!$B341</f>
        <v>BUENOS AIRES</v>
      </c>
      <c r="I343" s="8" t="str">
        <f>+'[1]BASE RED COMERCIAL'!$C341</f>
        <v>GENERAL LAVALLE</v>
      </c>
      <c r="J343" s="10"/>
      <c r="K343" s="10"/>
    </row>
    <row r="344" spans="1:11" x14ac:dyDescent="0.25">
      <c r="A344" s="14" t="str">
        <f>+'[1]BASE RED COMERCIAL'!$A342</f>
        <v>B0920</v>
      </c>
      <c r="B344" s="8" t="str">
        <f>+'[1]BASE RED COMERCIAL'!$H342</f>
        <v>GRAL. MADARIAGA</v>
      </c>
      <c r="C344" s="7" t="s">
        <v>33</v>
      </c>
      <c r="D344" s="9" t="str">
        <f>+'[1]BASE RED COMERCIAL'!$E342</f>
        <v>MITRE</v>
      </c>
      <c r="E344" s="7">
        <f>+'[1]BASE RED COMERCIAL'!$F342</f>
        <v>712</v>
      </c>
      <c r="F344" s="14" t="str">
        <f>+'[1]BASE RED COMERCIAL'!$I342</f>
        <v>B7163ZAA</v>
      </c>
      <c r="G344" s="7" t="str">
        <f>+'[1]BASE RED COMERCIAL'!$D342</f>
        <v>GENERAL MADARIAGA</v>
      </c>
      <c r="H344" s="7" t="str">
        <f>+'[1]BASE RED COMERCIAL'!$B342</f>
        <v>BUENOS AIRES</v>
      </c>
      <c r="I344" s="8" t="str">
        <f>+'[1]BASE RED COMERCIAL'!$C342</f>
        <v>GENERAL MADARIAGA</v>
      </c>
      <c r="J344" s="10"/>
      <c r="K344" s="10"/>
    </row>
    <row r="345" spans="1:11" x14ac:dyDescent="0.25">
      <c r="A345" s="14" t="str">
        <f>+'[1]BASE RED COMERCIAL'!$A343</f>
        <v>B0922</v>
      </c>
      <c r="B345" s="8" t="str">
        <f>+'[1]BASE RED COMERCIAL'!$H343</f>
        <v>GRAL. PIRAN</v>
      </c>
      <c r="C345" s="7" t="s">
        <v>33</v>
      </c>
      <c r="D345" s="9" t="str">
        <f>+'[1]BASE RED COMERCIAL'!$E343</f>
        <v>DR MARIANO MORENO</v>
      </c>
      <c r="E345" s="7">
        <f>+'[1]BASE RED COMERCIAL'!$F343</f>
        <v>599</v>
      </c>
      <c r="F345" s="14" t="str">
        <f>+'[1]BASE RED COMERCIAL'!$I343</f>
        <v>B7172ZAA</v>
      </c>
      <c r="G345" s="7" t="str">
        <f>+'[1]BASE RED COMERCIAL'!$D343</f>
        <v>GENERAL PIRAN</v>
      </c>
      <c r="H345" s="7" t="str">
        <f>+'[1]BASE RED COMERCIAL'!$B343</f>
        <v>BUENOS AIRES</v>
      </c>
      <c r="I345" s="8" t="str">
        <f>+'[1]BASE RED COMERCIAL'!$C343</f>
        <v>MAR CHIQUITA</v>
      </c>
      <c r="J345" s="10"/>
      <c r="K345" s="10"/>
    </row>
    <row r="346" spans="1:11" x14ac:dyDescent="0.25">
      <c r="A346" s="14" t="str">
        <f>+'[1]BASE RED COMERCIAL'!$A344</f>
        <v>B0924</v>
      </c>
      <c r="B346" s="8" t="str">
        <f>+'[1]BASE RED COMERCIAL'!$H344</f>
        <v>J.N. FERNANDEZ</v>
      </c>
      <c r="C346" s="7" t="s">
        <v>33</v>
      </c>
      <c r="D346" s="9" t="str">
        <f>+'[1]BASE RED COMERCIAL'!$E344</f>
        <v>CALLE 37</v>
      </c>
      <c r="E346" s="7">
        <f>+'[1]BASE RED COMERCIAL'!$F344</f>
        <v>1298</v>
      </c>
      <c r="F346" s="14" t="str">
        <f>+'[1]BASE RED COMERCIAL'!$I344</f>
        <v>B7011ZAA</v>
      </c>
      <c r="G346" s="7" t="str">
        <f>+'[1]BASE RED COMERCIAL'!$D344</f>
        <v>JUAN N FERNANDEZ</v>
      </c>
      <c r="H346" s="7" t="str">
        <f>+'[1]BASE RED COMERCIAL'!$B344</f>
        <v>BUENOS AIRES</v>
      </c>
      <c r="I346" s="8" t="str">
        <f>+'[1]BASE RED COMERCIAL'!$C344</f>
        <v>NECOCHEA</v>
      </c>
      <c r="J346" s="10"/>
      <c r="K346" s="10"/>
    </row>
    <row r="347" spans="1:11" x14ac:dyDescent="0.25">
      <c r="A347" s="14" t="str">
        <f>+'[1]BASE RED COMERCIAL'!$A345</f>
        <v>B0926</v>
      </c>
      <c r="B347" s="8" t="str">
        <f>+'[1]BASE RED COMERCIAL'!$H345</f>
        <v>LA DULCE</v>
      </c>
      <c r="C347" s="7" t="s">
        <v>33</v>
      </c>
      <c r="D347" s="9" t="str">
        <f>+'[1]BASE RED COMERCIAL'!$E345</f>
        <v>CALLE 24</v>
      </c>
      <c r="E347" s="7">
        <f>+'[1]BASE RED COMERCIAL'!$F345</f>
        <v>875</v>
      </c>
      <c r="F347" s="14" t="str">
        <f>+'[1]BASE RED COMERCIAL'!$I345</f>
        <v>B7637ZAA</v>
      </c>
      <c r="G347" s="7" t="str">
        <f>+'[1]BASE RED COMERCIAL'!$D345</f>
        <v>LA DULCE</v>
      </c>
      <c r="H347" s="7" t="str">
        <f>+'[1]BASE RED COMERCIAL'!$B345</f>
        <v>BUENOS AIRES</v>
      </c>
      <c r="I347" s="8" t="str">
        <f>+'[1]BASE RED COMERCIAL'!$C345</f>
        <v>NECOCHEA</v>
      </c>
      <c r="J347" s="10"/>
      <c r="K347" s="10"/>
    </row>
    <row r="348" spans="1:11" x14ac:dyDescent="0.25">
      <c r="A348" s="14" t="str">
        <f>+'[1]BASE RED COMERCIAL'!$A346</f>
        <v>B0928</v>
      </c>
      <c r="B348" s="8" t="str">
        <f>+'[1]BASE RED COMERCIAL'!$H346</f>
        <v>LOBERIA</v>
      </c>
      <c r="C348" s="7" t="s">
        <v>33</v>
      </c>
      <c r="D348" s="9" t="str">
        <f>+'[1]BASE RED COMERCIAL'!$E346</f>
        <v>ITALIA</v>
      </c>
      <c r="E348" s="7">
        <f>+'[1]BASE RED COMERCIAL'!$F346</f>
        <v>49</v>
      </c>
      <c r="F348" s="14" t="str">
        <f>+'[1]BASE RED COMERCIAL'!$I346</f>
        <v>B7635ZAA</v>
      </c>
      <c r="G348" s="7" t="str">
        <f>+'[1]BASE RED COMERCIAL'!$D346</f>
        <v>LOBERIA</v>
      </c>
      <c r="H348" s="7" t="str">
        <f>+'[1]BASE RED COMERCIAL'!$B346</f>
        <v>BUENOS AIRES</v>
      </c>
      <c r="I348" s="8" t="str">
        <f>+'[1]BASE RED COMERCIAL'!$C346</f>
        <v>LOBERIA</v>
      </c>
      <c r="J348" s="10"/>
      <c r="K348" s="10"/>
    </row>
    <row r="349" spans="1:11" x14ac:dyDescent="0.25">
      <c r="A349" s="14" t="str">
        <f>+'[1]BASE RED COMERCIAL'!$A347</f>
        <v>B0930</v>
      </c>
      <c r="B349" s="8" t="str">
        <f>+'[1]BASE RED COMERCIAL'!$H347</f>
        <v>BALCARCE</v>
      </c>
      <c r="C349" s="7" t="s">
        <v>33</v>
      </c>
      <c r="D349" s="9" t="str">
        <f>+'[1]BASE RED COMERCIAL'!$E347</f>
        <v>CALLE 19</v>
      </c>
      <c r="E349" s="7">
        <f>+'[1]BASE RED COMERCIAL'!$F347</f>
        <v>552</v>
      </c>
      <c r="F349" s="14" t="str">
        <f>+'[1]BASE RED COMERCIAL'!$I347</f>
        <v>B7620ZAA</v>
      </c>
      <c r="G349" s="7" t="str">
        <f>+'[1]BASE RED COMERCIAL'!$D347</f>
        <v>BALCARCE</v>
      </c>
      <c r="H349" s="7" t="str">
        <f>+'[1]BASE RED COMERCIAL'!$B347</f>
        <v>BUENOS AIRES</v>
      </c>
      <c r="I349" s="8" t="str">
        <f>+'[1]BASE RED COMERCIAL'!$C347</f>
        <v>BALCARCE</v>
      </c>
      <c r="J349" s="10"/>
      <c r="K349" s="10"/>
    </row>
    <row r="350" spans="1:11" x14ac:dyDescent="0.25">
      <c r="A350" s="14" t="str">
        <f>+'[1]BASE RED COMERCIAL'!$A348</f>
        <v>B0940</v>
      </c>
      <c r="B350" s="8" t="str">
        <f>+'[1]BASE RED COMERCIAL'!$H348</f>
        <v>MIRAMAR</v>
      </c>
      <c r="C350" s="7" t="s">
        <v>33</v>
      </c>
      <c r="D350" s="9" t="str">
        <f>+'[1]BASE RED COMERCIAL'!$E348</f>
        <v>CALLE 17</v>
      </c>
      <c r="E350" s="7">
        <f>+'[1]BASE RED COMERCIAL'!$F348</f>
        <v>1602</v>
      </c>
      <c r="F350" s="14" t="str">
        <f>+'[1]BASE RED COMERCIAL'!$I348</f>
        <v>B7607ZAA</v>
      </c>
      <c r="G350" s="7" t="str">
        <f>+'[1]BASE RED COMERCIAL'!$D348</f>
        <v>MIRAMAR</v>
      </c>
      <c r="H350" s="7" t="str">
        <f>+'[1]BASE RED COMERCIAL'!$B348</f>
        <v>BUENOS AIRES</v>
      </c>
      <c r="I350" s="8" t="str">
        <f>+'[1]BASE RED COMERCIAL'!$C348</f>
        <v>GENERAL ALVARADO</v>
      </c>
      <c r="J350" s="10"/>
      <c r="K350" s="10"/>
    </row>
    <row r="351" spans="1:11" x14ac:dyDescent="0.25">
      <c r="A351" s="14" t="str">
        <f>+'[1]BASE RED COMERCIAL'!$A349</f>
        <v>B0942</v>
      </c>
      <c r="B351" s="8" t="str">
        <f>+'[1]BASE RED COMERCIAL'!$H349</f>
        <v>MAR DEL TUYU</v>
      </c>
      <c r="C351" s="7" t="s">
        <v>33</v>
      </c>
      <c r="D351" s="9" t="str">
        <f>+'[1]BASE RED COMERCIAL'!$E349</f>
        <v>CALLE 2</v>
      </c>
      <c r="E351" s="7">
        <f>+'[1]BASE RED COMERCIAL'!$F349</f>
        <v>7454</v>
      </c>
      <c r="F351" s="14" t="str">
        <f>+'[1]BASE RED COMERCIAL'!$I349</f>
        <v>B7108ZAA</v>
      </c>
      <c r="G351" s="7" t="str">
        <f>+'[1]BASE RED COMERCIAL'!$D349</f>
        <v>MAR DEL TUYU</v>
      </c>
      <c r="H351" s="7" t="str">
        <f>+'[1]BASE RED COMERCIAL'!$B349</f>
        <v>BUENOS AIRES</v>
      </c>
      <c r="I351" s="8" t="str">
        <f>+'[1]BASE RED COMERCIAL'!$C349</f>
        <v>LA COSTA</v>
      </c>
      <c r="J351" s="10"/>
      <c r="K351" s="10"/>
    </row>
    <row r="352" spans="1:11" x14ac:dyDescent="0.25">
      <c r="A352" s="14" t="str">
        <f>+'[1]BASE RED COMERCIAL'!$A350</f>
        <v>B0951</v>
      </c>
      <c r="B352" s="8" t="str">
        <f>+'[1]BASE RED COMERCIAL'!$H350</f>
        <v>NECOCHEA</v>
      </c>
      <c r="C352" s="7" t="s">
        <v>33</v>
      </c>
      <c r="D352" s="9" t="str">
        <f>+'[1]BASE RED COMERCIAL'!$E350</f>
        <v>AV 58</v>
      </c>
      <c r="E352" s="7">
        <f>+'[1]BASE RED COMERCIAL'!$F350</f>
        <v>3088</v>
      </c>
      <c r="F352" s="14" t="str">
        <f>+'[1]BASE RED COMERCIAL'!$I350</f>
        <v>B7630ZAA</v>
      </c>
      <c r="G352" s="7" t="str">
        <f>+'[1]BASE RED COMERCIAL'!$D350</f>
        <v>NECOCHEA</v>
      </c>
      <c r="H352" s="7" t="str">
        <f>+'[1]BASE RED COMERCIAL'!$B350</f>
        <v>BUENOS AIRES</v>
      </c>
      <c r="I352" s="8" t="str">
        <f>+'[1]BASE RED COMERCIAL'!$C350</f>
        <v>NECOCHEA</v>
      </c>
      <c r="J352" s="10"/>
      <c r="K352" s="10"/>
    </row>
    <row r="353" spans="1:11" x14ac:dyDescent="0.25">
      <c r="A353" s="14" t="str">
        <f>+'[1]BASE RED COMERCIAL'!$A351</f>
        <v>B0952</v>
      </c>
      <c r="B353" s="8" t="str">
        <f>+'[1]BASE RED COMERCIAL'!$H351</f>
        <v>NECOCHEA 1</v>
      </c>
      <c r="C353" s="7" t="s">
        <v>33</v>
      </c>
      <c r="D353" s="9" t="str">
        <f>+'[1]BASE RED COMERCIAL'!$E351</f>
        <v>CALLE 85</v>
      </c>
      <c r="E353" s="7">
        <f>+'[1]BASE RED COMERCIAL'!$F351</f>
        <v>337</v>
      </c>
      <c r="F353" s="14" t="str">
        <f>+'[1]BASE RED COMERCIAL'!$I351</f>
        <v>B7630ZAB</v>
      </c>
      <c r="G353" s="7" t="str">
        <f>+'[1]BASE RED COMERCIAL'!$D351</f>
        <v>NECOCHEA</v>
      </c>
      <c r="H353" s="7" t="str">
        <f>+'[1]BASE RED COMERCIAL'!$B351</f>
        <v>BUENOS AIRES</v>
      </c>
      <c r="I353" s="8" t="str">
        <f>+'[1]BASE RED COMERCIAL'!$C351</f>
        <v>NECOCHEA</v>
      </c>
      <c r="J353" s="10"/>
      <c r="K353" s="10"/>
    </row>
    <row r="354" spans="1:11" x14ac:dyDescent="0.25">
      <c r="A354" s="14" t="str">
        <f>+'[1]BASE RED COMERCIAL'!$A352</f>
        <v>B0953</v>
      </c>
      <c r="B354" s="8" t="str">
        <f>+'[1]BASE RED COMERCIAL'!$H352</f>
        <v>SAN BERNARDO DEL TUYU</v>
      </c>
      <c r="C354" s="7" t="s">
        <v>33</v>
      </c>
      <c r="D354" s="9" t="str">
        <f>+'[1]BASE RED COMERCIAL'!$E352</f>
        <v>J C CHIOZZA</v>
      </c>
      <c r="E354" s="7">
        <f>+'[1]BASE RED COMERCIAL'!$F352</f>
        <v>1660</v>
      </c>
      <c r="F354" s="14" t="str">
        <f>+'[1]BASE RED COMERCIAL'!$I352</f>
        <v>B7111ZAA</v>
      </c>
      <c r="G354" s="7" t="str">
        <f>+'[1]BASE RED COMERCIAL'!$D352</f>
        <v>SAN BERNARDO DEL TUYU</v>
      </c>
      <c r="H354" s="7" t="str">
        <f>+'[1]BASE RED COMERCIAL'!$B352</f>
        <v>BUENOS AIRES</v>
      </c>
      <c r="I354" s="8" t="str">
        <f>+'[1]BASE RED COMERCIAL'!$C352</f>
        <v>LA COSTA</v>
      </c>
      <c r="J354" s="10"/>
      <c r="K354" s="10"/>
    </row>
    <row r="355" spans="1:11" x14ac:dyDescent="0.25">
      <c r="A355" s="14" t="str">
        <f>+'[1]BASE RED COMERCIAL'!$A353</f>
        <v>B0954</v>
      </c>
      <c r="B355" s="8" t="str">
        <f>+'[1]BASE RED COMERCIAL'!$H353</f>
        <v>PINAMAR</v>
      </c>
      <c r="C355" s="7" t="s">
        <v>33</v>
      </c>
      <c r="D355" s="9" t="str">
        <f>+'[1]BASE RED COMERCIAL'!$E353</f>
        <v>ENEAS</v>
      </c>
      <c r="E355" s="7">
        <f>+'[1]BASE RED COMERCIAL'!$F353</f>
        <v>51</v>
      </c>
      <c r="F355" s="14" t="str">
        <f>+'[1]BASE RED COMERCIAL'!$I353</f>
        <v>B7167ZAA</v>
      </c>
      <c r="G355" s="7" t="str">
        <f>+'[1]BASE RED COMERCIAL'!$D353</f>
        <v>PINAMAR</v>
      </c>
      <c r="H355" s="7" t="str">
        <f>+'[1]BASE RED COMERCIAL'!$B353</f>
        <v>BUENOS AIRES</v>
      </c>
      <c r="I355" s="8" t="str">
        <f>+'[1]BASE RED COMERCIAL'!$C353</f>
        <v>PINAMAR</v>
      </c>
      <c r="J355" s="10"/>
      <c r="K355" s="10"/>
    </row>
    <row r="356" spans="1:11" x14ac:dyDescent="0.25">
      <c r="A356" s="14" t="str">
        <f>+'[1]BASE RED COMERCIAL'!$A354</f>
        <v>B0955</v>
      </c>
      <c r="B356" s="8" t="str">
        <f>+'[1]BASE RED COMERCIAL'!$H354</f>
        <v>QUEQUEN</v>
      </c>
      <c r="C356" s="7" t="s">
        <v>33</v>
      </c>
      <c r="D356" s="9" t="str">
        <f>+'[1]BASE RED COMERCIAL'!$E354</f>
        <v>CALLE 519</v>
      </c>
      <c r="E356" s="7">
        <f>+'[1]BASE RED COMERCIAL'!$F354</f>
        <v>2602</v>
      </c>
      <c r="F356" s="14" t="str">
        <f>+'[1]BASE RED COMERCIAL'!$I354</f>
        <v>B7631ZAA</v>
      </c>
      <c r="G356" s="7" t="str">
        <f>+'[1]BASE RED COMERCIAL'!$D354</f>
        <v>QUEQUEN</v>
      </c>
      <c r="H356" s="7" t="str">
        <f>+'[1]BASE RED COMERCIAL'!$B354</f>
        <v>BUENOS AIRES</v>
      </c>
      <c r="I356" s="8" t="str">
        <f>+'[1]BASE RED COMERCIAL'!$C354</f>
        <v>NECOCHEA</v>
      </c>
      <c r="J356" s="10"/>
      <c r="K356" s="10"/>
    </row>
    <row r="357" spans="1:11" x14ac:dyDescent="0.25">
      <c r="A357" s="14" t="str">
        <f>+'[1]BASE RED COMERCIAL'!$A355</f>
        <v>B0956</v>
      </c>
      <c r="B357" s="8" t="str">
        <f>+'[1]BASE RED COMERCIAL'!$H355</f>
        <v>SAN CAYETANO</v>
      </c>
      <c r="C357" s="7" t="s">
        <v>33</v>
      </c>
      <c r="D357" s="9" t="str">
        <f>+'[1]BASE RED COMERCIAL'!$E355</f>
        <v>BME MITRE</v>
      </c>
      <c r="E357" s="7">
        <f>+'[1]BASE RED COMERCIAL'!$F355</f>
        <v>325</v>
      </c>
      <c r="F357" s="14" t="str">
        <f>+'[1]BASE RED COMERCIAL'!$I355</f>
        <v>B7521ZAA</v>
      </c>
      <c r="G357" s="7" t="str">
        <f>+'[1]BASE RED COMERCIAL'!$D355</f>
        <v>SAN CAYETANO</v>
      </c>
      <c r="H357" s="7" t="str">
        <f>+'[1]BASE RED COMERCIAL'!$B355</f>
        <v>BUENOS AIRES</v>
      </c>
      <c r="I357" s="8" t="str">
        <f>+'[1]BASE RED COMERCIAL'!$C355</f>
        <v>SAN CAYETANO</v>
      </c>
      <c r="J357" s="10"/>
      <c r="K357" s="10"/>
    </row>
    <row r="358" spans="1:11" x14ac:dyDescent="0.25">
      <c r="A358" s="14" t="str">
        <f>+'[1]BASE RED COMERCIAL'!$A356</f>
        <v>B0957</v>
      </c>
      <c r="B358" s="8" t="str">
        <f>+'[1]BASE RED COMERCIAL'!$H356</f>
        <v>SAN CLEMENTE DEL TUYU</v>
      </c>
      <c r="C358" s="7" t="s">
        <v>33</v>
      </c>
      <c r="D358" s="9" t="str">
        <f>+'[1]BASE RED COMERCIAL'!$E356</f>
        <v>CALLE 4</v>
      </c>
      <c r="E358" s="7">
        <f>+'[1]BASE RED COMERCIAL'!$F356</f>
        <v>2037</v>
      </c>
      <c r="F358" s="14" t="str">
        <f>+'[1]BASE RED COMERCIAL'!$I356</f>
        <v>B7105ZAA</v>
      </c>
      <c r="G358" s="7" t="str">
        <f>+'[1]BASE RED COMERCIAL'!$D356</f>
        <v>SAN CLEMENTE DEL TUYU</v>
      </c>
      <c r="H358" s="7" t="str">
        <f>+'[1]BASE RED COMERCIAL'!$B356</f>
        <v>BUENOS AIRES</v>
      </c>
      <c r="I358" s="8" t="str">
        <f>+'[1]BASE RED COMERCIAL'!$C356</f>
        <v>LA COSTA</v>
      </c>
      <c r="J358" s="10"/>
      <c r="K358" s="10"/>
    </row>
    <row r="359" spans="1:11" x14ac:dyDescent="0.25">
      <c r="A359" s="14" t="str">
        <f>+'[1]BASE RED COMERCIAL'!$A357</f>
        <v>B0958</v>
      </c>
      <c r="B359" s="8" t="str">
        <f>+'[1]BASE RED COMERCIAL'!$H357</f>
        <v>SANTA TERESITA</v>
      </c>
      <c r="C359" s="7" t="s">
        <v>33</v>
      </c>
      <c r="D359" s="9" t="str">
        <f>+'[1]BASE RED COMERCIAL'!$E357</f>
        <v>CALLE 37</v>
      </c>
      <c r="E359" s="7">
        <f>+'[1]BASE RED COMERCIAL'!$F357</f>
        <v>226</v>
      </c>
      <c r="F359" s="14" t="str">
        <f>+'[1]BASE RED COMERCIAL'!$I357</f>
        <v>B7107ZAA</v>
      </c>
      <c r="G359" s="7" t="str">
        <f>+'[1]BASE RED COMERCIAL'!$D357</f>
        <v>SANTA TERESITA</v>
      </c>
      <c r="H359" s="7" t="str">
        <f>+'[1]BASE RED COMERCIAL'!$B357</f>
        <v>BUENOS AIRES</v>
      </c>
      <c r="I359" s="8" t="str">
        <f>+'[1]BASE RED COMERCIAL'!$C357</f>
        <v>LA COSTA</v>
      </c>
      <c r="J359" s="10"/>
      <c r="K359" s="10"/>
    </row>
    <row r="360" spans="1:11" x14ac:dyDescent="0.25">
      <c r="A360" s="14" t="str">
        <f>+'[1]BASE RED COMERCIAL'!$A358</f>
        <v>B0959</v>
      </c>
      <c r="B360" s="8" t="str">
        <f>+'[1]BASE RED COMERCIAL'!$H358</f>
        <v>SANTA CLARA DEL MAR</v>
      </c>
      <c r="C360" s="7" t="s">
        <v>33</v>
      </c>
      <c r="D360" s="9" t="str">
        <f>+'[1]BASE RED COMERCIAL'!$E358</f>
        <v>PUNTA LARA</v>
      </c>
      <c r="E360" s="7">
        <f>+'[1]BASE RED COMERCIAL'!$F358</f>
        <v>472</v>
      </c>
      <c r="F360" s="14" t="str">
        <f>+'[1]BASE RED COMERCIAL'!$I358</f>
        <v>B7609ZAA</v>
      </c>
      <c r="G360" s="7" t="str">
        <f>+'[1]BASE RED COMERCIAL'!$D358</f>
        <v>SANTA CLARA DEL MAR</v>
      </c>
      <c r="H360" s="7" t="str">
        <f>+'[1]BASE RED COMERCIAL'!$B358</f>
        <v>BUENOS AIRES</v>
      </c>
      <c r="I360" s="8" t="str">
        <f>+'[1]BASE RED COMERCIAL'!$C358</f>
        <v>MAR CHIQUITA</v>
      </c>
      <c r="J360" s="10"/>
      <c r="K360" s="10"/>
    </row>
    <row r="361" spans="1:11" x14ac:dyDescent="0.25">
      <c r="A361" s="14" t="str">
        <f>+'[1]BASE RED COMERCIAL'!$A359</f>
        <v>B0960</v>
      </c>
      <c r="B361" s="8" t="str">
        <f>+'[1]BASE RED COMERCIAL'!$H359</f>
        <v>VILLA GESELL</v>
      </c>
      <c r="C361" s="7" t="s">
        <v>33</v>
      </c>
      <c r="D361" s="9" t="str">
        <f>+'[1]BASE RED COMERCIAL'!$E359</f>
        <v>AV 3</v>
      </c>
      <c r="E361" s="7">
        <f>+'[1]BASE RED COMERCIAL'!$F359</f>
        <v>806</v>
      </c>
      <c r="F361" s="14" t="str">
        <f>+'[1]BASE RED COMERCIAL'!$I359</f>
        <v>B7165ZAA</v>
      </c>
      <c r="G361" s="7" t="str">
        <f>+'[1]BASE RED COMERCIAL'!$D359</f>
        <v>VILLA GESELL</v>
      </c>
      <c r="H361" s="7" t="str">
        <f>+'[1]BASE RED COMERCIAL'!$B359</f>
        <v>BUENOS AIRES</v>
      </c>
      <c r="I361" s="8" t="str">
        <f>+'[1]BASE RED COMERCIAL'!$C359</f>
        <v>VILLA GESELL</v>
      </c>
      <c r="J361" s="10"/>
      <c r="K361" s="10"/>
    </row>
    <row r="362" spans="1:11" x14ac:dyDescent="0.25">
      <c r="A362" s="14" t="str">
        <f>+'[1]BASE RED COMERCIAL'!$A360</f>
        <v>B0970</v>
      </c>
      <c r="B362" s="8" t="str">
        <f>+'[1]BASE RED COMERCIAL'!$H360</f>
        <v>NAVARRO</v>
      </c>
      <c r="C362" s="7" t="s">
        <v>33</v>
      </c>
      <c r="D362" s="9" t="str">
        <f>+'[1]BASE RED COMERCIAL'!$E360</f>
        <v>MONS MIGUEL DE ANDREA</v>
      </c>
      <c r="E362" s="7">
        <f>+'[1]BASE RED COMERCIAL'!$F360</f>
        <v>167</v>
      </c>
      <c r="F362" s="14" t="str">
        <f>+'[1]BASE RED COMERCIAL'!$I360</f>
        <v>B6605ZAA</v>
      </c>
      <c r="G362" s="7" t="str">
        <f>+'[1]BASE RED COMERCIAL'!$D360</f>
        <v>NAVARRO</v>
      </c>
      <c r="H362" s="7" t="str">
        <f>+'[1]BASE RED COMERCIAL'!$B360</f>
        <v>BUENOS AIRES</v>
      </c>
      <c r="I362" s="8" t="str">
        <f>+'[1]BASE RED COMERCIAL'!$C360</f>
        <v>NAVARRO</v>
      </c>
      <c r="J362" s="10"/>
      <c r="K362" s="10"/>
    </row>
    <row r="363" spans="1:11" x14ac:dyDescent="0.25">
      <c r="A363" s="14" t="str">
        <f>+'[1]BASE RED COMERCIAL'!$A361</f>
        <v>B0971</v>
      </c>
      <c r="B363" s="8" t="str">
        <f>+'[1]BASE RED COMERCIAL'!$H361</f>
        <v>PILA</v>
      </c>
      <c r="C363" s="7" t="s">
        <v>33</v>
      </c>
      <c r="D363" s="9" t="str">
        <f>+'[1]BASE RED COMERCIAL'!$E361</f>
        <v>PTE H YRIGOYEN</v>
      </c>
      <c r="E363" s="7">
        <f>+'[1]BASE RED COMERCIAL'!$F361</f>
        <v>117</v>
      </c>
      <c r="F363" s="14" t="str">
        <f>+'[1]BASE RED COMERCIAL'!$I361</f>
        <v>B7120ZAA</v>
      </c>
      <c r="G363" s="7" t="str">
        <f>+'[1]BASE RED COMERCIAL'!$D361</f>
        <v>PILA</v>
      </c>
      <c r="H363" s="7" t="str">
        <f>+'[1]BASE RED COMERCIAL'!$B361</f>
        <v>BUENOS AIRES</v>
      </c>
      <c r="I363" s="8" t="str">
        <f>+'[1]BASE RED COMERCIAL'!$C361</f>
        <v>PILA</v>
      </c>
      <c r="J363" s="10"/>
      <c r="K363" s="10"/>
    </row>
    <row r="364" spans="1:11" x14ac:dyDescent="0.25">
      <c r="A364" s="14" t="str">
        <f>+'[1]BASE RED COMERCIAL'!$A362</f>
        <v>B0972</v>
      </c>
      <c r="B364" s="8" t="str">
        <f>+'[1]BASE RED COMERCIAL'!$H362</f>
        <v>RANCHOS</v>
      </c>
      <c r="C364" s="7" t="s">
        <v>33</v>
      </c>
      <c r="D364" s="9" t="str">
        <f>+'[1]BASE RED COMERCIAL'!$E362</f>
        <v>RAMON SEIJAS</v>
      </c>
      <c r="E364" s="7">
        <f>+'[1]BASE RED COMERCIAL'!$F362</f>
        <v>2836</v>
      </c>
      <c r="F364" s="14" t="str">
        <f>+'[1]BASE RED COMERCIAL'!$I362</f>
        <v>B1987ZAA</v>
      </c>
      <c r="G364" s="7" t="str">
        <f>+'[1]BASE RED COMERCIAL'!$D362</f>
        <v>RANCHOS</v>
      </c>
      <c r="H364" s="7" t="str">
        <f>+'[1]BASE RED COMERCIAL'!$B362</f>
        <v>BUENOS AIRES</v>
      </c>
      <c r="I364" s="8" t="str">
        <f>+'[1]BASE RED COMERCIAL'!$C362</f>
        <v>GENERAL PAZ</v>
      </c>
      <c r="J364" s="10"/>
      <c r="K364" s="10"/>
    </row>
    <row r="365" spans="1:11" x14ac:dyDescent="0.25">
      <c r="A365" s="14" t="str">
        <f>+'[1]BASE RED COMERCIAL'!$A363</f>
        <v>B0973</v>
      </c>
      <c r="B365" s="8" t="str">
        <f>+'[1]BASE RED COMERCIAL'!$H363</f>
        <v>RAUCH</v>
      </c>
      <c r="C365" s="7" t="s">
        <v>33</v>
      </c>
      <c r="D365" s="9" t="str">
        <f>+'[1]BASE RED COMERCIAL'!$E363</f>
        <v>MAURICIO FRANCISCO LETAMENDI</v>
      </c>
      <c r="E365" s="7">
        <f>+'[1]BASE RED COMERCIAL'!$F363</f>
        <v>416</v>
      </c>
      <c r="F365" s="14" t="str">
        <f>+'[1]BASE RED COMERCIAL'!$I363</f>
        <v>B7203ZAA</v>
      </c>
      <c r="G365" s="7" t="str">
        <f>+'[1]BASE RED COMERCIAL'!$D363</f>
        <v>RAUCH</v>
      </c>
      <c r="H365" s="7" t="str">
        <f>+'[1]BASE RED COMERCIAL'!$B363</f>
        <v>BUENOS AIRES</v>
      </c>
      <c r="I365" s="8" t="str">
        <f>+'[1]BASE RED COMERCIAL'!$C363</f>
        <v>RAUCH</v>
      </c>
      <c r="J365" s="10"/>
      <c r="K365" s="10"/>
    </row>
    <row r="366" spans="1:11" x14ac:dyDescent="0.25">
      <c r="A366" s="14" t="str">
        <f>+'[1]BASE RED COMERCIAL'!$A364</f>
        <v>B0974</v>
      </c>
      <c r="B366" s="8" t="str">
        <f>+'[1]BASE RED COMERCIAL'!$H364</f>
        <v>ROQUE PEREZ</v>
      </c>
      <c r="C366" s="7" t="s">
        <v>33</v>
      </c>
      <c r="D366" s="9" t="str">
        <f>+'[1]BASE RED COMERCIAL'!$E364</f>
        <v>ALSINA</v>
      </c>
      <c r="E366" s="7">
        <f>+'[1]BASE RED COMERCIAL'!$F364</f>
        <v>1144</v>
      </c>
      <c r="F366" s="14" t="str">
        <f>+'[1]BASE RED COMERCIAL'!$I364</f>
        <v>B7245ZAA</v>
      </c>
      <c r="G366" s="7" t="str">
        <f>+'[1]BASE RED COMERCIAL'!$D364</f>
        <v>ROQUE PEREZ</v>
      </c>
      <c r="H366" s="7" t="str">
        <f>+'[1]BASE RED COMERCIAL'!$B364</f>
        <v>BUENOS AIRES</v>
      </c>
      <c r="I366" s="8" t="str">
        <f>+'[1]BASE RED COMERCIAL'!$C364</f>
        <v>ROQUE PEREZ</v>
      </c>
      <c r="J366" s="10"/>
      <c r="K366" s="10"/>
    </row>
    <row r="367" spans="1:11" x14ac:dyDescent="0.25">
      <c r="A367" s="14" t="str">
        <f>+'[1]BASE RED COMERCIAL'!$A365</f>
        <v>B0975</v>
      </c>
      <c r="B367" s="8" t="str">
        <f>+'[1]BASE RED COMERCIAL'!$H365</f>
        <v>SALADILLO</v>
      </c>
      <c r="C367" s="7" t="s">
        <v>33</v>
      </c>
      <c r="D367" s="9" t="str">
        <f>+'[1]BASE RED COMERCIAL'!$E365</f>
        <v>AV B RIVADAVIA</v>
      </c>
      <c r="E367" s="7">
        <f>+'[1]BASE RED COMERCIAL'!$F365</f>
        <v>3001</v>
      </c>
      <c r="F367" s="14" t="str">
        <f>+'[1]BASE RED COMERCIAL'!$I365</f>
        <v>B7260ZAA</v>
      </c>
      <c r="G367" s="7" t="str">
        <f>+'[1]BASE RED COMERCIAL'!$D365</f>
        <v>SALADILLO</v>
      </c>
      <c r="H367" s="7" t="str">
        <f>+'[1]BASE RED COMERCIAL'!$B365</f>
        <v>BUENOS AIRES</v>
      </c>
      <c r="I367" s="8" t="str">
        <f>+'[1]BASE RED COMERCIAL'!$C365</f>
        <v>SALADILLO</v>
      </c>
      <c r="J367" s="10"/>
      <c r="K367" s="10"/>
    </row>
    <row r="368" spans="1:11" x14ac:dyDescent="0.25">
      <c r="A368" s="14" t="str">
        <f>+'[1]BASE RED COMERCIAL'!$A366</f>
        <v>B0976</v>
      </c>
      <c r="B368" s="8" t="str">
        <f>+'[1]BASE RED COMERCIAL'!$H366</f>
        <v>SAN VICENTE</v>
      </c>
      <c r="C368" s="7" t="s">
        <v>33</v>
      </c>
      <c r="D368" s="9" t="str">
        <f>+'[1]BASE RED COMERCIAL'!$E366</f>
        <v>9 DE JULIO</v>
      </c>
      <c r="E368" s="7">
        <f>+'[1]BASE RED COMERCIAL'!$F366</f>
        <v>37</v>
      </c>
      <c r="F368" s="14" t="str">
        <f>+'[1]BASE RED COMERCIAL'!$I366</f>
        <v>B1865ZAA</v>
      </c>
      <c r="G368" s="7" t="str">
        <f>+'[1]BASE RED COMERCIAL'!$D366</f>
        <v>SAN VICENTE</v>
      </c>
      <c r="H368" s="7" t="str">
        <f>+'[1]BASE RED COMERCIAL'!$B366</f>
        <v>BUENOS AIRES</v>
      </c>
      <c r="I368" s="8" t="str">
        <f>+'[1]BASE RED COMERCIAL'!$C366</f>
        <v>SAN VICENTE</v>
      </c>
      <c r="J368" s="10"/>
      <c r="K368" s="10"/>
    </row>
    <row r="369" spans="1:11" x14ac:dyDescent="0.25">
      <c r="A369" s="14" t="str">
        <f>+'[1]BASE RED COMERCIAL'!$A367</f>
        <v>B0977</v>
      </c>
      <c r="B369" s="8" t="str">
        <f>+'[1]BASE RED COMERCIAL'!$H367</f>
        <v>TANDIL</v>
      </c>
      <c r="C369" s="7" t="s">
        <v>33</v>
      </c>
      <c r="D369" s="9" t="str">
        <f>+'[1]BASE RED COMERCIAL'!$E367</f>
        <v>GRAL PINTO</v>
      </c>
      <c r="E369" s="7">
        <f>+'[1]BASE RED COMERCIAL'!$F367</f>
        <v>623</v>
      </c>
      <c r="F369" s="14" t="str">
        <f>+'[1]BASE RED COMERCIAL'!$I367</f>
        <v>B7000ZAA</v>
      </c>
      <c r="G369" s="7" t="str">
        <f>+'[1]BASE RED COMERCIAL'!$D367</f>
        <v>TANDIL</v>
      </c>
      <c r="H369" s="7" t="str">
        <f>+'[1]BASE RED COMERCIAL'!$B367</f>
        <v>BUENOS AIRES</v>
      </c>
      <c r="I369" s="8" t="str">
        <f>+'[1]BASE RED COMERCIAL'!$C367</f>
        <v>TANDIL</v>
      </c>
      <c r="J369" s="10"/>
      <c r="K369" s="10"/>
    </row>
    <row r="370" spans="1:11" x14ac:dyDescent="0.25">
      <c r="A370" s="14" t="str">
        <f>+'[1]BASE RED COMERCIAL'!$A368</f>
        <v>B0978</v>
      </c>
      <c r="B370" s="8" t="str">
        <f>+'[1]BASE RED COMERCIAL'!$H368</f>
        <v>TAPALQUE</v>
      </c>
      <c r="C370" s="7" t="s">
        <v>33</v>
      </c>
      <c r="D370" s="9" t="str">
        <f>+'[1]BASE RED COMERCIAL'!$E368</f>
        <v>AV 25 DE MAYO</v>
      </c>
      <c r="E370" s="7">
        <f>+'[1]BASE RED COMERCIAL'!$F368</f>
        <v>599</v>
      </c>
      <c r="F370" s="14" t="str">
        <f>+'[1]BASE RED COMERCIAL'!$I368</f>
        <v>B7303ZAA</v>
      </c>
      <c r="G370" s="7" t="str">
        <f>+'[1]BASE RED COMERCIAL'!$D368</f>
        <v>TAPALQUE</v>
      </c>
      <c r="H370" s="7" t="str">
        <f>+'[1]BASE RED COMERCIAL'!$B368</f>
        <v>BUENOS AIRES</v>
      </c>
      <c r="I370" s="8" t="str">
        <f>+'[1]BASE RED COMERCIAL'!$C368</f>
        <v>TAPALQUE</v>
      </c>
      <c r="J370" s="10"/>
      <c r="K370" s="10"/>
    </row>
    <row r="371" spans="1:11" x14ac:dyDescent="0.25">
      <c r="A371" s="14" t="str">
        <f>+'[1]BASE RED COMERCIAL'!$A369</f>
        <v>B0980</v>
      </c>
      <c r="B371" s="8" t="str">
        <f>+'[1]BASE RED COMERCIAL'!$H369</f>
        <v>VELA</v>
      </c>
      <c r="C371" s="7" t="s">
        <v>33</v>
      </c>
      <c r="D371" s="9" t="str">
        <f>+'[1]BASE RED COMERCIAL'!$E369</f>
        <v>AV TANDIL</v>
      </c>
      <c r="E371" s="7">
        <f>+'[1]BASE RED COMERCIAL'!$F369</f>
        <v>575</v>
      </c>
      <c r="F371" s="14" t="str">
        <f>+'[1]BASE RED COMERCIAL'!$I369</f>
        <v>B7003ZAA</v>
      </c>
      <c r="G371" s="7" t="str">
        <f>+'[1]BASE RED COMERCIAL'!$D369</f>
        <v>VELA</v>
      </c>
      <c r="H371" s="7" t="str">
        <f>+'[1]BASE RED COMERCIAL'!$B369</f>
        <v>BUENOS AIRES</v>
      </c>
      <c r="I371" s="8" t="str">
        <f>+'[1]BASE RED COMERCIAL'!$C369</f>
        <v>TANDIL</v>
      </c>
      <c r="J371" s="10"/>
      <c r="K371" s="10"/>
    </row>
    <row r="372" spans="1:11" x14ac:dyDescent="0.25">
      <c r="A372" s="14" t="str">
        <f>+'[1]BASE RED COMERCIAL'!$A370</f>
        <v>B0981</v>
      </c>
      <c r="B372" s="8" t="str">
        <f>+'[1]BASE RED COMERCIAL'!$H370</f>
        <v>VERONICA</v>
      </c>
      <c r="C372" s="7" t="s">
        <v>33</v>
      </c>
      <c r="D372" s="9" t="str">
        <f>+'[1]BASE RED COMERCIAL'!$E370</f>
        <v>STA MARIA DE ORO</v>
      </c>
      <c r="E372" s="7">
        <f>+'[1]BASE RED COMERCIAL'!$F370</f>
        <v>1597</v>
      </c>
      <c r="F372" s="14" t="str">
        <f>+'[1]BASE RED COMERCIAL'!$I370</f>
        <v>B1917ZAA</v>
      </c>
      <c r="G372" s="7" t="str">
        <f>+'[1]BASE RED COMERCIAL'!$D370</f>
        <v>VERONICA</v>
      </c>
      <c r="H372" s="7" t="str">
        <f>+'[1]BASE RED COMERCIAL'!$B370</f>
        <v>BUENOS AIRES</v>
      </c>
      <c r="I372" s="8" t="str">
        <f>+'[1]BASE RED COMERCIAL'!$C370</f>
        <v>PUNTA INDIO</v>
      </c>
      <c r="J372" s="10"/>
      <c r="K372" s="10"/>
    </row>
    <row r="373" spans="1:11" x14ac:dyDescent="0.25">
      <c r="A373" s="14" t="str">
        <f>+'[1]BASE RED COMERCIAL'!$A371</f>
        <v>B0982</v>
      </c>
      <c r="B373" s="8" t="str">
        <f>+'[1]BASE RED COMERCIAL'!$H371</f>
        <v>VILLA ELISA</v>
      </c>
      <c r="C373" s="7" t="s">
        <v>33</v>
      </c>
      <c r="D373" s="9" t="str">
        <f>+'[1]BASE RED COMERCIAL'!$E371</f>
        <v>AV CAMINO CENTENARIO</v>
      </c>
      <c r="E373" s="7">
        <f>+'[1]BASE RED COMERCIAL'!$F371</f>
        <v>322</v>
      </c>
      <c r="F373" s="14" t="str">
        <f>+'[1]BASE RED COMERCIAL'!$I371</f>
        <v>B1894ZAA</v>
      </c>
      <c r="G373" s="7" t="str">
        <f>+'[1]BASE RED COMERCIAL'!$D371</f>
        <v>VILLA ELISA</v>
      </c>
      <c r="H373" s="7" t="str">
        <f>+'[1]BASE RED COMERCIAL'!$B371</f>
        <v>BUENOS AIRES</v>
      </c>
      <c r="I373" s="8" t="str">
        <f>+'[1]BASE RED COMERCIAL'!$C371</f>
        <v>LA PLATA</v>
      </c>
      <c r="J373" s="10"/>
      <c r="K373" s="10"/>
    </row>
    <row r="374" spans="1:11" x14ac:dyDescent="0.25">
      <c r="A374" s="14" t="str">
        <f>+'[1]BASE RED COMERCIAL'!$A372</f>
        <v>B0984</v>
      </c>
      <c r="B374" s="8" t="str">
        <f>+'[1]BASE RED COMERCIAL'!$H372</f>
        <v>MAIPU</v>
      </c>
      <c r="C374" s="7" t="s">
        <v>33</v>
      </c>
      <c r="D374" s="9" t="str">
        <f>+'[1]BASE RED COMERCIAL'!$E372</f>
        <v>MANUEL BELGRANO</v>
      </c>
      <c r="E374" s="7">
        <f>+'[1]BASE RED COMERCIAL'!$F372</f>
        <v>359</v>
      </c>
      <c r="F374" s="14" t="str">
        <f>+'[1]BASE RED COMERCIAL'!$I372</f>
        <v>B7160ZAA</v>
      </c>
      <c r="G374" s="7" t="str">
        <f>+'[1]BASE RED COMERCIAL'!$D372</f>
        <v>MAIPU</v>
      </c>
      <c r="H374" s="7" t="str">
        <f>+'[1]BASE RED COMERCIAL'!$B372</f>
        <v>BUENOS AIRES</v>
      </c>
      <c r="I374" s="8" t="str">
        <f>+'[1]BASE RED COMERCIAL'!$C372</f>
        <v>MAIPU</v>
      </c>
      <c r="J374" s="10"/>
      <c r="K374" s="10"/>
    </row>
    <row r="375" spans="1:11" x14ac:dyDescent="0.25">
      <c r="A375" s="14" t="str">
        <f>+'[1]BASE RED COMERCIAL'!$A373</f>
        <v>B0986</v>
      </c>
      <c r="B375" s="8" t="str">
        <f>+'[1]BASE RED COMERCIAL'!$H373</f>
        <v>MAR DE AJO</v>
      </c>
      <c r="C375" s="7" t="s">
        <v>33</v>
      </c>
      <c r="D375" s="9" t="str">
        <f>+'[1]BASE RED COMERCIAL'!$E373</f>
        <v>TOMAS ESPORA</v>
      </c>
      <c r="E375" s="7">
        <f>+'[1]BASE RED COMERCIAL'!$F373</f>
        <v>55</v>
      </c>
      <c r="F375" s="14" t="str">
        <f>+'[1]BASE RED COMERCIAL'!$I373</f>
        <v>B7109ZAA</v>
      </c>
      <c r="G375" s="7" t="str">
        <f>+'[1]BASE RED COMERCIAL'!$D373</f>
        <v>MAR DE AJO</v>
      </c>
      <c r="H375" s="7" t="str">
        <f>+'[1]BASE RED COMERCIAL'!$B373</f>
        <v>BUENOS AIRES</v>
      </c>
      <c r="I375" s="8" t="str">
        <f>+'[1]BASE RED COMERCIAL'!$C373</f>
        <v>LA COSTA</v>
      </c>
      <c r="J375" s="10"/>
      <c r="K375" s="10"/>
    </row>
    <row r="376" spans="1:11" x14ac:dyDescent="0.25">
      <c r="A376" s="14" t="str">
        <f>+'[1]BASE RED COMERCIAL'!$A374</f>
        <v>B1046</v>
      </c>
      <c r="B376" s="8" t="str">
        <f>+'[1]BASE RED COMERCIAL'!$H374</f>
        <v>TRIBUNALES DE BANFIELD</v>
      </c>
      <c r="C376" s="7" t="s">
        <v>33</v>
      </c>
      <c r="D376" s="9" t="str">
        <f>+'[1]BASE RED COMERCIAL'!$E374</f>
        <v>ALBERTO LARROQUE</v>
      </c>
      <c r="E376" s="7">
        <f>+'[1]BASE RED COMERCIAL'!$F374</f>
        <v>2450</v>
      </c>
      <c r="F376" s="14" t="str">
        <f>+'[1]BASE RED COMERCIAL'!$I374</f>
        <v>B1828ZAB</v>
      </c>
      <c r="G376" s="7" t="str">
        <f>+'[1]BASE RED COMERCIAL'!$D374</f>
        <v>BANFIELD</v>
      </c>
      <c r="H376" s="7" t="str">
        <f>+'[1]BASE RED COMERCIAL'!$B374</f>
        <v>BUENOS AIRES</v>
      </c>
      <c r="I376" s="8" t="str">
        <f>+'[1]BASE RED COMERCIAL'!$C374</f>
        <v>LOMAS DE ZAMORA</v>
      </c>
      <c r="J376" s="10"/>
      <c r="K376" s="10"/>
    </row>
    <row r="377" spans="1:11" x14ac:dyDescent="0.25">
      <c r="A377" s="14" t="str">
        <f>+'[1]BASE RED COMERCIAL'!$A375</f>
        <v>B1563</v>
      </c>
      <c r="B377" s="8" t="str">
        <f>+'[1]BASE RED COMERCIAL'!$H375</f>
        <v>SEDE OPERATIVA CENTRAL</v>
      </c>
      <c r="C377" s="7" t="s">
        <v>33</v>
      </c>
      <c r="D377" s="9" t="str">
        <f>+'[1]BASE RED COMERCIAL'!$E375</f>
        <v>AV FAIR</v>
      </c>
      <c r="E377" s="7">
        <f>+'[1]BASE RED COMERCIAL'!$F375</f>
        <v>1101</v>
      </c>
      <c r="F377" s="14" t="str">
        <f>+'[1]BASE RED COMERCIAL'!$I375</f>
        <v>B1842ZAJ</v>
      </c>
      <c r="G377" s="7" t="str">
        <f>+'[1]BASE RED COMERCIAL'!$D375</f>
        <v>MONTE GRANDE</v>
      </c>
      <c r="H377" s="7" t="str">
        <f>+'[1]BASE RED COMERCIAL'!$B375</f>
        <v>BUENOS AIRES</v>
      </c>
      <c r="I377" s="8" t="str">
        <f>+'[1]BASE RED COMERCIAL'!$C375</f>
        <v>ESTEBAN ECHEVERRIA</v>
      </c>
      <c r="J377" s="10"/>
      <c r="K377" s="10"/>
    </row>
    <row r="378" spans="1:11" s="11" customFormat="1" x14ac:dyDescent="0.25">
      <c r="A378" s="14" t="str">
        <f>+'[1]BASE RED COMERCIAL'!$A376</f>
        <v>B1618</v>
      </c>
      <c r="B378" s="8" t="str">
        <f>+'[1]BASE RED COMERCIAL'!$H376</f>
        <v>TRISTAN SUAREZ</v>
      </c>
      <c r="C378" s="7" t="s">
        <v>33</v>
      </c>
      <c r="D378" s="9" t="str">
        <f>+'[1]BASE RED COMERCIAL'!$E376</f>
        <v>DR MANUEL BELGRANO</v>
      </c>
      <c r="E378" s="7">
        <f>+'[1]BASE RED COMERCIAL'!$F376</f>
        <v>90</v>
      </c>
      <c r="F378" s="14" t="str">
        <f>+'[1]BASE RED COMERCIAL'!$I376</f>
        <v>B1806ZAG</v>
      </c>
      <c r="G378" s="7" t="str">
        <f>+'[1]BASE RED COMERCIAL'!$D376</f>
        <v>TRISTAN SUAREZ</v>
      </c>
      <c r="H378" s="7" t="str">
        <f>+'[1]BASE RED COMERCIAL'!$B376</f>
        <v>BUENOS AIRES</v>
      </c>
      <c r="I378" s="8" t="str">
        <f>+'[1]BASE RED COMERCIAL'!$C376</f>
        <v>EZEIZA</v>
      </c>
    </row>
    <row r="379" spans="1:11" x14ac:dyDescent="0.25">
      <c r="A379" s="14" t="str">
        <f>+'[1]BASE RED COMERCIAL'!$A377</f>
        <v>B2195</v>
      </c>
      <c r="B379" s="8" t="str">
        <f>+'[1]BASE RED COMERCIAL'!$H377</f>
        <v>SAN MANUEL</v>
      </c>
      <c r="C379" s="7" t="s">
        <v>33</v>
      </c>
      <c r="D379" s="9" t="str">
        <f>+'[1]BASE RED COMERCIAL'!$E377</f>
        <v>DOMINGO SARMIENTO</v>
      </c>
      <c r="E379" s="7">
        <f>+'[1]BASE RED COMERCIAL'!$F377</f>
        <v>164</v>
      </c>
      <c r="F379" s="14" t="str">
        <f>+'[1]BASE RED COMERCIAL'!$I377</f>
        <v>B7007ZAA</v>
      </c>
      <c r="G379" s="7" t="str">
        <f>+'[1]BASE RED COMERCIAL'!$D377</f>
        <v>SAN MANUEL</v>
      </c>
      <c r="H379" s="7" t="str">
        <f>+'[1]BASE RED COMERCIAL'!$B377</f>
        <v>BUENOS AIRES</v>
      </c>
      <c r="I379" s="8" t="str">
        <f>+'[1]BASE RED COMERCIAL'!$C377</f>
        <v>LOBERIA</v>
      </c>
      <c r="J379" s="10"/>
      <c r="K379" s="10"/>
    </row>
    <row r="380" spans="1:11" x14ac:dyDescent="0.25">
      <c r="A380" s="14" t="str">
        <f>+'[1]BASE RED COMERCIAL'!$A378</f>
        <v>B2358</v>
      </c>
      <c r="B380" s="8" t="str">
        <f>+'[1]BASE RED COMERCIAL'!$H378</f>
        <v>UNIDAD TURISTICA MIRAMAR</v>
      </c>
      <c r="C380" s="7" t="s">
        <v>33</v>
      </c>
      <c r="D380" s="9" t="str">
        <f>+'[1]BASE RED COMERCIAL'!$E378</f>
        <v>AV E</v>
      </c>
      <c r="E380" s="7">
        <f>+'[1]BASE RED COMERCIAL'!$F378</f>
        <v>0</v>
      </c>
      <c r="F380" s="14" t="str">
        <f>+'[1]BASE RED COMERCIAL'!$I378</f>
        <v>B7618ZAA</v>
      </c>
      <c r="G380" s="7" t="str">
        <f>+'[1]BASE RED COMERCIAL'!$D378</f>
        <v>BARRIO CHAPADMALAL</v>
      </c>
      <c r="H380" s="7" t="str">
        <f>+'[1]BASE RED COMERCIAL'!$B378</f>
        <v>BUENOS AIRES</v>
      </c>
      <c r="I380" s="8" t="str">
        <f>+'[1]BASE RED COMERCIAL'!$C378</f>
        <v>GENERAL PUEYRREDON</v>
      </c>
      <c r="J380" s="10"/>
      <c r="K380" s="10"/>
    </row>
    <row r="381" spans="1:11" x14ac:dyDescent="0.25">
      <c r="A381" s="14" t="str">
        <f>+'[1]BASE RED COMERCIAL'!$A379</f>
        <v>B2480</v>
      </c>
      <c r="B381" s="8" t="str">
        <f>+'[1]BASE RED COMERCIAL'!$H379</f>
        <v>PUNTA INDIO</v>
      </c>
      <c r="C381" s="7" t="s">
        <v>33</v>
      </c>
      <c r="D381" s="9" t="str">
        <f>+'[1]BASE RED COMERCIAL'!$E379</f>
        <v>R NAC 11</v>
      </c>
      <c r="E381" s="7">
        <f>+'[1]BASE RED COMERCIAL'!$F379</f>
        <v>0</v>
      </c>
      <c r="F381" s="14" t="str">
        <f>+'[1]BASE RED COMERCIAL'!$I379</f>
        <v>B1952ZAA</v>
      </c>
      <c r="G381" s="7" t="str">
        <f>+'[1]BASE RED COMERCIAL'!$D379</f>
        <v>PUNTA INDIO</v>
      </c>
      <c r="H381" s="7" t="str">
        <f>+'[1]BASE RED COMERCIAL'!$B379</f>
        <v>BUENOS AIRES</v>
      </c>
      <c r="I381" s="8" t="str">
        <f>+'[1]BASE RED COMERCIAL'!$C379</f>
        <v>PUNTA INDIO</v>
      </c>
      <c r="J381" s="10"/>
      <c r="K381" s="10"/>
    </row>
    <row r="382" spans="1:11" x14ac:dyDescent="0.25">
      <c r="A382" s="14" t="str">
        <f>+'[1]BASE RED COMERCIAL'!$A380</f>
        <v>B2556</v>
      </c>
      <c r="B382" s="8" t="str">
        <f>+'[1]BASE RED COMERCIAL'!$H380</f>
        <v>ABASTO</v>
      </c>
      <c r="C382" s="7" t="s">
        <v>33</v>
      </c>
      <c r="D382" s="9" t="str">
        <f>+'[1]BASE RED COMERCIAL'!$E380</f>
        <v>CALLE 516 BIS</v>
      </c>
      <c r="E382" s="7">
        <f>+'[1]BASE RED COMERCIAL'!$F380</f>
        <v>0</v>
      </c>
      <c r="F382" s="14" t="str">
        <f>+'[1]BASE RED COMERCIAL'!$I380</f>
        <v>B1933ZAA</v>
      </c>
      <c r="G382" s="7" t="str">
        <f>+'[1]BASE RED COMERCIAL'!$D380</f>
        <v>ABASTO</v>
      </c>
      <c r="H382" s="7" t="str">
        <f>+'[1]BASE RED COMERCIAL'!$B380</f>
        <v>BUENOS AIRES</v>
      </c>
      <c r="I382" s="8" t="str">
        <f>+'[1]BASE RED COMERCIAL'!$C380</f>
        <v>LA PLATA</v>
      </c>
      <c r="J382" s="10"/>
      <c r="K382" s="10"/>
    </row>
    <row r="383" spans="1:11" x14ac:dyDescent="0.25">
      <c r="A383" s="14" t="str">
        <f>+'[1]BASE RED COMERCIAL'!$A381</f>
        <v>B2903</v>
      </c>
      <c r="B383" s="8" t="str">
        <f>+'[1]BASE RED COMERCIAL'!$H381</f>
        <v>BARRIO PALIHUE</v>
      </c>
      <c r="C383" s="7" t="s">
        <v>33</v>
      </c>
      <c r="D383" s="9" t="str">
        <f>+'[1]BASE RED COMERCIAL'!$E381</f>
        <v>AV DE LA RECONQUISTA</v>
      </c>
      <c r="E383" s="7">
        <f>+'[1]BASE RED COMERCIAL'!$F381</f>
        <v>399</v>
      </c>
      <c r="F383" s="14" t="str">
        <f>+'[1]BASE RED COMERCIAL'!$I381</f>
        <v>B8001ZAB</v>
      </c>
      <c r="G383" s="7" t="str">
        <f>+'[1]BASE RED COMERCIAL'!$D381</f>
        <v>BAHIA BLANCA</v>
      </c>
      <c r="H383" s="7" t="str">
        <f>+'[1]BASE RED COMERCIAL'!$B381</f>
        <v>BUENOS AIRES</v>
      </c>
      <c r="I383" s="8" t="str">
        <f>+'[1]BASE RED COMERCIAL'!$C381</f>
        <v>BAHIA BLANCA</v>
      </c>
      <c r="J383" s="10"/>
      <c r="K383" s="10"/>
    </row>
    <row r="384" spans="1:11" x14ac:dyDescent="0.25">
      <c r="A384" s="14" t="str">
        <f>+'[1]BASE RED COMERCIAL'!$A382</f>
        <v>B2928</v>
      </c>
      <c r="B384" s="8" t="str">
        <f>+'[1]BASE RED COMERCIAL'!$H382</f>
        <v>LOMA NEGRA</v>
      </c>
      <c r="C384" s="7" t="s">
        <v>33</v>
      </c>
      <c r="D384" s="9" t="str">
        <f>+'[1]BASE RED COMERCIAL'!$E382</f>
        <v>CORRIENTES</v>
      </c>
      <c r="E384" s="7">
        <f>+'[1]BASE RED COMERCIAL'!$F382</f>
        <v>1363</v>
      </c>
      <c r="F384" s="14" t="str">
        <f>+'[1]BASE RED COMERCIAL'!$I382</f>
        <v>B7436ZAA</v>
      </c>
      <c r="G384" s="7" t="str">
        <f>+'[1]BASE RED COMERCIAL'!$D382</f>
        <v>LOMA NEGRA</v>
      </c>
      <c r="H384" s="7" t="str">
        <f>+'[1]BASE RED COMERCIAL'!$B382</f>
        <v>BUENOS AIRES</v>
      </c>
      <c r="I384" s="8" t="str">
        <f>+'[1]BASE RED COMERCIAL'!$C382</f>
        <v>OLAVARRIA</v>
      </c>
      <c r="J384" s="10"/>
      <c r="K384" s="10"/>
    </row>
    <row r="385" spans="1:11" x14ac:dyDescent="0.25">
      <c r="A385" s="14" t="str">
        <f>+'[1]BASE RED COMERCIAL'!$A383</f>
        <v>B3122</v>
      </c>
      <c r="B385" s="8" t="str">
        <f>+'[1]BASE RED COMERCIAL'!$H383</f>
        <v>LOS CARDALES</v>
      </c>
      <c r="C385" s="7" t="s">
        <v>33</v>
      </c>
      <c r="D385" s="9" t="str">
        <f>+'[1]BASE RED COMERCIAL'!$E383</f>
        <v>VIAMONTE</v>
      </c>
      <c r="E385" s="7">
        <f>+'[1]BASE RED COMERCIAL'!$F383</f>
        <v>173</v>
      </c>
      <c r="F385" s="14" t="str">
        <f>+'[1]BASE RED COMERCIAL'!$I383</f>
        <v>B2814ZAA</v>
      </c>
      <c r="G385" s="7" t="str">
        <f>+'[1]BASE RED COMERCIAL'!$D383</f>
        <v>LOS CARDALES</v>
      </c>
      <c r="H385" s="7" t="str">
        <f>+'[1]BASE RED COMERCIAL'!$B383</f>
        <v>BUENOS AIRES</v>
      </c>
      <c r="I385" s="8" t="str">
        <f>+'[1]BASE RED COMERCIAL'!$C383</f>
        <v>EXALTACION DE LA CRUZ</v>
      </c>
      <c r="J385" s="10"/>
      <c r="K385" s="10"/>
    </row>
    <row r="386" spans="1:11" x14ac:dyDescent="0.25">
      <c r="A386" s="14" t="str">
        <f>+'[1]BASE RED COMERCIAL'!$A384</f>
        <v>B3317</v>
      </c>
      <c r="B386" s="8" t="str">
        <f>+'[1]BASE RED COMERCIAL'!$H384</f>
        <v>PARADA ROBLES</v>
      </c>
      <c r="C386" s="7" t="s">
        <v>33</v>
      </c>
      <c r="D386" s="9" t="str">
        <f>+'[1]BASE RED COMERCIAL'!$E384</f>
        <v>LOS NOGALES</v>
      </c>
      <c r="E386" s="7">
        <f>+'[1]BASE RED COMERCIAL'!$F384</f>
        <v>177</v>
      </c>
      <c r="F386" s="14" t="str">
        <f>+'[1]BASE RED COMERCIAL'!$I384</f>
        <v>B6753ZAF</v>
      </c>
      <c r="G386" s="7" t="str">
        <f>+'[1]BASE RED COMERCIAL'!$D384</f>
        <v>PARADA ROBLES</v>
      </c>
      <c r="H386" s="7" t="str">
        <f>+'[1]BASE RED COMERCIAL'!$B384</f>
        <v>BUENOS AIRES</v>
      </c>
      <c r="I386" s="8" t="str">
        <f>+'[1]BASE RED COMERCIAL'!$C384</f>
        <v>EXALTACION DE LA CRUZ</v>
      </c>
      <c r="J386" s="10"/>
      <c r="K386" s="10"/>
    </row>
    <row r="387" spans="1:11" x14ac:dyDescent="0.25">
      <c r="A387" s="14" t="str">
        <f>+'[1]BASE RED COMERCIAL'!$A385</f>
        <v>B3355</v>
      </c>
      <c r="B387" s="8" t="str">
        <f>+'[1]BASE RED COMERCIAL'!$H385</f>
        <v>LA PLATA RENTAS</v>
      </c>
      <c r="C387" s="7" t="s">
        <v>33</v>
      </c>
      <c r="D387" s="9" t="str">
        <f>+'[1]BASE RED COMERCIAL'!$E385</f>
        <v>AV 7</v>
      </c>
      <c r="E387" s="7">
        <f>+'[1]BASE RED COMERCIAL'!$F385</f>
        <v>670</v>
      </c>
      <c r="F387" s="14" t="str">
        <f>+'[1]BASE RED COMERCIAL'!$I385</f>
        <v>B1902ZAB</v>
      </c>
      <c r="G387" s="7" t="str">
        <f>+'[1]BASE RED COMERCIAL'!$D385</f>
        <v>LA PLATA</v>
      </c>
      <c r="H387" s="7" t="str">
        <f>+'[1]BASE RED COMERCIAL'!$B385</f>
        <v>BUENOS AIRES</v>
      </c>
      <c r="I387" s="8" t="str">
        <f>+'[1]BASE RED COMERCIAL'!$C385</f>
        <v>LA PLATA</v>
      </c>
      <c r="J387" s="10"/>
      <c r="K387" s="10"/>
    </row>
    <row r="388" spans="1:11" x14ac:dyDescent="0.25">
      <c r="A388" s="14" t="str">
        <f>+'[1]BASE RED COMERCIAL'!$A386</f>
        <v>B3357</v>
      </c>
      <c r="B388" s="8" t="str">
        <f>+'[1]BASE RED COMERCIAL'!$H386</f>
        <v>ANTONIO CARBONI</v>
      </c>
      <c r="C388" s="7" t="s">
        <v>33</v>
      </c>
      <c r="D388" s="9" t="str">
        <f>+'[1]BASE RED COMERCIAL'!$E386</f>
        <v>CALLE 11</v>
      </c>
      <c r="E388" s="7">
        <f>+'[1]BASE RED COMERCIAL'!$F386</f>
        <v>0</v>
      </c>
      <c r="F388" s="14" t="str">
        <f>+'[1]BASE RED COMERCIAL'!$I386</f>
        <v>B7243ZAA</v>
      </c>
      <c r="G388" s="7" t="str">
        <f>+'[1]BASE RED COMERCIAL'!$D386</f>
        <v>ANTONIO CARBONI</v>
      </c>
      <c r="H388" s="7" t="str">
        <f>+'[1]BASE RED COMERCIAL'!$B386</f>
        <v>BUENOS AIRES</v>
      </c>
      <c r="I388" s="8" t="str">
        <f>+'[1]BASE RED COMERCIAL'!$C386</f>
        <v>LOBOS</v>
      </c>
      <c r="J388" s="10"/>
      <c r="K388" s="10"/>
    </row>
    <row r="389" spans="1:11" x14ac:dyDescent="0.25">
      <c r="A389" s="14" t="str">
        <f>+'[1]BASE RED COMERCIAL'!$A387</f>
        <v>B3402</v>
      </c>
      <c r="B389" s="8" t="str">
        <f>+'[1]BASE RED COMERCIAL'!$H387</f>
        <v>TRIBUNALES DE SAN ISIDRO</v>
      </c>
      <c r="C389" s="7" t="s">
        <v>33</v>
      </c>
      <c r="D389" s="9" t="str">
        <f>+'[1]BASE RED COMERCIAL'!$E387</f>
        <v>ITUZAINGO</v>
      </c>
      <c r="E389" s="7">
        <f>+'[1]BASE RED COMERCIAL'!$F387</f>
        <v>429</v>
      </c>
      <c r="F389" s="14" t="str">
        <f>+'[1]BASE RED COMERCIAL'!$I387</f>
        <v>B1642ZAC</v>
      </c>
      <c r="G389" s="7" t="str">
        <f>+'[1]BASE RED COMERCIAL'!$D387</f>
        <v>SAN ISIDRO</v>
      </c>
      <c r="H389" s="7" t="str">
        <f>+'[1]BASE RED COMERCIAL'!$B387</f>
        <v>BUENOS AIRES</v>
      </c>
      <c r="I389" s="8" t="str">
        <f>+'[1]BASE RED COMERCIAL'!$C387</f>
        <v>SAN ISIDRO</v>
      </c>
      <c r="J389" s="10"/>
      <c r="K389" s="10"/>
    </row>
    <row r="390" spans="1:11" x14ac:dyDescent="0.25">
      <c r="A390" s="14" t="str">
        <f>+'[1]BASE RED COMERCIAL'!$A388</f>
        <v>B3413</v>
      </c>
      <c r="B390" s="8" t="str">
        <f>+'[1]BASE RED COMERCIAL'!$H388</f>
        <v>LA PLATA 2</v>
      </c>
      <c r="C390" s="7" t="s">
        <v>33</v>
      </c>
      <c r="D390" s="9" t="str">
        <f>+'[1]BASE RED COMERCIAL'!$E388</f>
        <v>DIAG 74</v>
      </c>
      <c r="E390" s="7">
        <f>+'[1]BASE RED COMERCIAL'!$F388</f>
        <v>1342</v>
      </c>
      <c r="F390" s="14" t="str">
        <f>+'[1]BASE RED COMERCIAL'!$I388</f>
        <v>B1900ZAB</v>
      </c>
      <c r="G390" s="7" t="str">
        <f>+'[1]BASE RED COMERCIAL'!$D388</f>
        <v>LA PLATA</v>
      </c>
      <c r="H390" s="7" t="str">
        <f>+'[1]BASE RED COMERCIAL'!$B388</f>
        <v>BUENOS AIRES</v>
      </c>
      <c r="I390" s="8" t="str">
        <f>+'[1]BASE RED COMERCIAL'!$C388</f>
        <v>LA PLATA</v>
      </c>
      <c r="J390" s="10"/>
      <c r="K390" s="10"/>
    </row>
    <row r="391" spans="1:11" x14ac:dyDescent="0.25">
      <c r="A391" s="14" t="str">
        <f>+'[1]BASE RED COMERCIAL'!$A389</f>
        <v>B3521</v>
      </c>
      <c r="B391" s="8" t="str">
        <f>+'[1]BASE RED COMERCIAL'!$H389</f>
        <v>BAHIA BLANCA CENTRO</v>
      </c>
      <c r="C391" s="7" t="s">
        <v>33</v>
      </c>
      <c r="D391" s="9" t="str">
        <f>+'[1]BASE RED COMERCIAL'!$E389</f>
        <v>DORREGO</v>
      </c>
      <c r="E391" s="7">
        <f>+'[1]BASE RED COMERCIAL'!$F389</f>
        <v>579</v>
      </c>
      <c r="F391" s="14" t="str">
        <f>+'[1]BASE RED COMERCIAL'!$I389</f>
        <v>B8003ZAA</v>
      </c>
      <c r="G391" s="7" t="str">
        <f>+'[1]BASE RED COMERCIAL'!$D389</f>
        <v>BAHIA BLANCA</v>
      </c>
      <c r="H391" s="7" t="str">
        <f>+'[1]BASE RED COMERCIAL'!$B389</f>
        <v>BUENOS AIRES</v>
      </c>
      <c r="I391" s="8" t="str">
        <f>+'[1]BASE RED COMERCIAL'!$C389</f>
        <v>BAHIA BLANCA</v>
      </c>
      <c r="J391" s="10"/>
      <c r="K391" s="10"/>
    </row>
    <row r="392" spans="1:11" x14ac:dyDescent="0.25">
      <c r="A392" s="14" t="str">
        <f>+'[1]BASE RED COMERCIAL'!$A390</f>
        <v>B3703</v>
      </c>
      <c r="B392" s="8" t="str">
        <f>+'[1]BASE RED COMERCIAL'!$H390</f>
        <v>EL JAGUEL</v>
      </c>
      <c r="C392" s="7" t="s">
        <v>33</v>
      </c>
      <c r="D392" s="9" t="str">
        <f>+'[1]BASE RED COMERCIAL'!$E390</f>
        <v>AV ENRIQUE SANTAMARINA</v>
      </c>
      <c r="E392" s="7">
        <f>+'[1]BASE RED COMERCIAL'!$F390</f>
        <v>2766</v>
      </c>
      <c r="F392" s="14" t="str">
        <f>+'[1]BASE RED COMERCIAL'!$I390</f>
        <v>B1805ZAF</v>
      </c>
      <c r="G392" s="7" t="str">
        <f>+'[1]BASE RED COMERCIAL'!$D390</f>
        <v>EL JAGUEL</v>
      </c>
      <c r="H392" s="7" t="str">
        <f>+'[1]BASE RED COMERCIAL'!$B390</f>
        <v>BUENOS AIRES</v>
      </c>
      <c r="I392" s="8" t="str">
        <f>+'[1]BASE RED COMERCIAL'!$C390</f>
        <v>ESTEBAN ECHEVERRIA</v>
      </c>
      <c r="J392" s="10"/>
      <c r="K392" s="10"/>
    </row>
    <row r="393" spans="1:11" x14ac:dyDescent="0.25">
      <c r="A393" s="14" t="str">
        <f>+'[1]BASE RED COMERCIAL'!$A391</f>
        <v>B3906</v>
      </c>
      <c r="B393" s="8" t="str">
        <f>+'[1]BASE RED COMERCIAL'!$H391</f>
        <v>WILLIAM MORRIS</v>
      </c>
      <c r="C393" s="7" t="s">
        <v>33</v>
      </c>
      <c r="D393" s="9" t="str">
        <f>+'[1]BASE RED COMERCIAL'!$E391</f>
        <v>GRAL CONRADO VILLEGAS</v>
      </c>
      <c r="E393" s="7">
        <f>+'[1]BASE RED COMERCIAL'!$F391</f>
        <v>1764</v>
      </c>
      <c r="F393" s="14" t="str">
        <f>+'[1]BASE RED COMERCIAL'!$I391</f>
        <v>B1681ZAA</v>
      </c>
      <c r="G393" s="7" t="str">
        <f>+'[1]BASE RED COMERCIAL'!$D391</f>
        <v>WILLIAM MORRIS</v>
      </c>
      <c r="H393" s="7" t="str">
        <f>+'[1]BASE RED COMERCIAL'!$B391</f>
        <v>BUENOS AIRES</v>
      </c>
      <c r="I393" s="8" t="str">
        <f>+'[1]BASE RED COMERCIAL'!$C391</f>
        <v>HURLINGHAM</v>
      </c>
      <c r="J393" s="10"/>
      <c r="K393" s="10"/>
    </row>
    <row r="394" spans="1:11" x14ac:dyDescent="0.25">
      <c r="A394" s="14" t="str">
        <f>+'[1]BASE RED COMERCIAL'!$A392</f>
        <v>B4002</v>
      </c>
      <c r="B394" s="8" t="str">
        <f>+'[1]BASE RED COMERCIAL'!$H392</f>
        <v>MINIPOST TRIBUNALES</v>
      </c>
      <c r="C394" s="7" t="s">
        <v>33</v>
      </c>
      <c r="D394" s="9" t="str">
        <f>+'[1]BASE RED COMERCIAL'!$E392</f>
        <v>AV DR RICARDO BALBIN</v>
      </c>
      <c r="E394" s="7">
        <f>+'[1]BASE RED COMERCIAL'!$F392</f>
        <v>1753</v>
      </c>
      <c r="F394" s="14" t="str">
        <f>+'[1]BASE RED COMERCIAL'!$I392</f>
        <v>B1650ZAD</v>
      </c>
      <c r="G394" s="7" t="str">
        <f>+'[1]BASE RED COMERCIAL'!$D392</f>
        <v>GENERAL SAN MARTIN</v>
      </c>
      <c r="H394" s="7" t="str">
        <f>+'[1]BASE RED COMERCIAL'!$B392</f>
        <v>BUENOS AIRES</v>
      </c>
      <c r="I394" s="8" t="str">
        <f>+'[1]BASE RED COMERCIAL'!$C392</f>
        <v>GENERAL SAN MARTIN</v>
      </c>
      <c r="J394" s="10"/>
      <c r="K394" s="10"/>
    </row>
    <row r="395" spans="1:11" x14ac:dyDescent="0.25">
      <c r="A395" s="14" t="str">
        <f>+'[1]BASE RED COMERCIAL'!$A393</f>
        <v>B4004</v>
      </c>
      <c r="B395" s="8" t="str">
        <f>+'[1]BASE RED COMERCIAL'!$H393</f>
        <v>ISLA MARTIN GARCIA</v>
      </c>
      <c r="C395" s="7" t="s">
        <v>33</v>
      </c>
      <c r="D395" s="9" t="str">
        <f>+'[1]BASE RED COMERCIAL'!$E393</f>
        <v>ISLA MARTIN GARCIA</v>
      </c>
      <c r="E395" s="7">
        <f>+'[1]BASE RED COMERCIAL'!$F393</f>
        <v>0</v>
      </c>
      <c r="F395" s="14" t="str">
        <f>+'[1]BASE RED COMERCIAL'!$I393</f>
        <v>B1601ZAA</v>
      </c>
      <c r="G395" s="7" t="str">
        <f>+'[1]BASE RED COMERCIAL'!$D393</f>
        <v>ISLA MARTIN GARCIA</v>
      </c>
      <c r="H395" s="7" t="str">
        <f>+'[1]BASE RED COMERCIAL'!$B393</f>
        <v>BUENOS AIRES</v>
      </c>
      <c r="I395" s="8" t="str">
        <f>+'[1]BASE RED COMERCIAL'!$C393</f>
        <v>LA PLATA</v>
      </c>
      <c r="J395" s="10"/>
      <c r="K395" s="10"/>
    </row>
    <row r="396" spans="1:11" x14ac:dyDescent="0.25">
      <c r="A396" s="14" t="str">
        <f>+'[1]BASE RED COMERCIAL'!$A394</f>
        <v>B4005</v>
      </c>
      <c r="B396" s="8" t="str">
        <f>+'[1]BASE RED COMERCIAL'!$H394</f>
        <v>FORESTAL D.F. SARMIENTO</v>
      </c>
      <c r="C396" s="7" t="s">
        <v>33</v>
      </c>
      <c r="D396" s="9" t="str">
        <f>+'[1]BASE RED COMERCIAL'!$E394</f>
        <v>SARMIENTO</v>
      </c>
      <c r="E396" s="7">
        <f>+'[1]BASE RED COMERCIAL'!$F394</f>
        <v>0</v>
      </c>
      <c r="F396" s="14" t="str">
        <f>+'[1]BASE RED COMERCIAL'!$I394</f>
        <v>B1649ZAA</v>
      </c>
      <c r="G396" s="7" t="str">
        <f>+'[1]BASE RED COMERCIAL'!$D394</f>
        <v>ZONA DELTA TIGRE</v>
      </c>
      <c r="H396" s="7" t="str">
        <f>+'[1]BASE RED COMERCIAL'!$B394</f>
        <v>BUENOS AIRES</v>
      </c>
      <c r="I396" s="8" t="str">
        <f>+'[1]BASE RED COMERCIAL'!$C394</f>
        <v>TIGRE</v>
      </c>
      <c r="J396" s="10"/>
      <c r="K396" s="10"/>
    </row>
    <row r="397" spans="1:11" x14ac:dyDescent="0.25">
      <c r="A397" s="14" t="str">
        <f>+'[1]BASE RED COMERCIAL'!$A395</f>
        <v>B4015</v>
      </c>
      <c r="B397" s="8" t="str">
        <f>+'[1]BASE RED COMERCIAL'!$H395</f>
        <v>DOCK SUD</v>
      </c>
      <c r="C397" s="7" t="s">
        <v>33</v>
      </c>
      <c r="D397" s="9" t="str">
        <f>+'[1]BASE RED COMERCIAL'!$E395</f>
        <v>VIRREY VERTIZ</v>
      </c>
      <c r="E397" s="7">
        <f>+'[1]BASE RED COMERCIAL'!$F395</f>
        <v>1043</v>
      </c>
      <c r="F397" s="14" t="str">
        <f>+'[1]BASE RED COMERCIAL'!$I395</f>
        <v>B1871ZAD</v>
      </c>
      <c r="G397" s="7" t="str">
        <f>+'[1]BASE RED COMERCIAL'!$D395</f>
        <v>DOCK SUD</v>
      </c>
      <c r="H397" s="7" t="str">
        <f>+'[1]BASE RED COMERCIAL'!$B395</f>
        <v>BUENOS AIRES</v>
      </c>
      <c r="I397" s="8" t="str">
        <f>+'[1]BASE RED COMERCIAL'!$C395</f>
        <v>AVELLANEDA</v>
      </c>
      <c r="J397" s="10"/>
      <c r="K397" s="10"/>
    </row>
    <row r="398" spans="1:11" x14ac:dyDescent="0.25">
      <c r="A398" s="14" t="str">
        <f>+'[1]BASE RED COMERCIAL'!$A396</f>
        <v>B4048</v>
      </c>
      <c r="B398" s="8" t="str">
        <f>+'[1]BASE RED COMERCIAL'!$H396</f>
        <v>TODD</v>
      </c>
      <c r="C398" s="7" t="s">
        <v>33</v>
      </c>
      <c r="D398" s="9" t="str">
        <f>+'[1]BASE RED COMERCIAL'!$E396</f>
        <v>SARMIENTO</v>
      </c>
      <c r="E398" s="7">
        <f>+'[1]BASE RED COMERCIAL'!$F396</f>
        <v>26</v>
      </c>
      <c r="F398" s="14" t="str">
        <f>+'[1]BASE RED COMERCIAL'!$I396</f>
        <v>B2754ZAF</v>
      </c>
      <c r="G398" s="7" t="str">
        <f>+'[1]BASE RED COMERCIAL'!$D396</f>
        <v>TODD</v>
      </c>
      <c r="H398" s="7" t="str">
        <f>+'[1]BASE RED COMERCIAL'!$B396</f>
        <v>BUENOS AIRES</v>
      </c>
      <c r="I398" s="8" t="str">
        <f>+'[1]BASE RED COMERCIAL'!$C396</f>
        <v>ARRECIFES</v>
      </c>
      <c r="J398" s="10"/>
      <c r="K398" s="10"/>
    </row>
    <row r="399" spans="1:11" x14ac:dyDescent="0.25">
      <c r="A399" s="14" t="str">
        <f>+'[1]BASE RED COMERCIAL'!$A397</f>
        <v>B4601</v>
      </c>
      <c r="B399" s="8" t="str">
        <f>+'[1]BASE RED COMERCIAL'!$H397</f>
        <v>EL PATO</v>
      </c>
      <c r="C399" s="7" t="s">
        <v>33</v>
      </c>
      <c r="D399" s="9" t="str">
        <f>+'[1]BASE RED COMERCIAL'!$E397</f>
        <v>CALLE 522</v>
      </c>
      <c r="E399" s="7">
        <f>+'[1]BASE RED COMERCIAL'!$F397</f>
        <v>1960</v>
      </c>
      <c r="F399" s="14" t="str">
        <f>+'[1]BASE RED COMERCIAL'!$I397</f>
        <v>B1893ZAA</v>
      </c>
      <c r="G399" s="7" t="str">
        <f>+'[1]BASE RED COMERCIAL'!$D397</f>
        <v>CENTRO AGRICOLA EL PATO</v>
      </c>
      <c r="H399" s="7" t="str">
        <f>+'[1]BASE RED COMERCIAL'!$B397</f>
        <v>BUENOS AIRES</v>
      </c>
      <c r="I399" s="8" t="str">
        <f>+'[1]BASE RED COMERCIAL'!$C397</f>
        <v>BERAZATEGUI</v>
      </c>
      <c r="J399" s="10"/>
      <c r="K399" s="10"/>
    </row>
    <row r="400" spans="1:11" x14ac:dyDescent="0.25">
      <c r="A400" s="14" t="str">
        <f>+'[1]BASE RED COMERCIAL'!$A398</f>
        <v>B8909</v>
      </c>
      <c r="B400" s="8" t="str">
        <f>+'[1]BASE RED COMERCIAL'!$H398</f>
        <v>PILAR PARQUE INDUSTRIAL</v>
      </c>
      <c r="C400" s="7" t="s">
        <v>33</v>
      </c>
      <c r="D400" s="9" t="str">
        <f>+'[1]BASE RED COMERCIAL'!$E398</f>
        <v>CALLE 9</v>
      </c>
      <c r="E400" s="7">
        <f>+'[1]BASE RED COMERCIAL'!$F398</f>
        <v>1846</v>
      </c>
      <c r="F400" s="14" t="str">
        <f>+'[1]BASE RED COMERCIAL'!$I398</f>
        <v>B1629ZAB</v>
      </c>
      <c r="G400" s="7" t="str">
        <f>+'[1]BASE RED COMERCIAL'!$D398</f>
        <v>FATIMA ESTACION EMPALME</v>
      </c>
      <c r="H400" s="7" t="str">
        <f>+'[1]BASE RED COMERCIAL'!$B398</f>
        <v>BUENOS AIRES</v>
      </c>
      <c r="I400" s="8" t="str">
        <f>+'[1]BASE RED COMERCIAL'!$C398</f>
        <v>PILAR</v>
      </c>
      <c r="J400" s="10"/>
      <c r="K400" s="10"/>
    </row>
    <row r="401" spans="1:11" x14ac:dyDescent="0.25">
      <c r="A401" s="14" t="str">
        <f>+'[1]BASE RED COMERCIAL'!$A399</f>
        <v>C0000</v>
      </c>
      <c r="B401" s="8" t="str">
        <f>+'[1]BASE RED COMERCIAL'!$H399</f>
        <v>CENTRO</v>
      </c>
      <c r="C401" s="7" t="s">
        <v>33</v>
      </c>
      <c r="D401" s="9" t="str">
        <f>+'[1]BASE RED COMERCIAL'!$E399</f>
        <v>TTE GRAL JUAN D PERON</v>
      </c>
      <c r="E401" s="7">
        <f>+'[1]BASE RED COMERCIAL'!$F399</f>
        <v>321</v>
      </c>
      <c r="F401" s="14" t="str">
        <f>+'[1]BASE RED COMERCIAL'!$I399</f>
        <v>C1000ZAA</v>
      </c>
      <c r="G401" s="7" t="str">
        <f>+'[1]BASE RED COMERCIAL'!$D399</f>
        <v>CIUDAD AUTONOMA BUENOS AIRES</v>
      </c>
      <c r="H401" s="7" t="str">
        <f>+'[1]BASE RED COMERCIAL'!$B399</f>
        <v>CAPITAL FEDERAL</v>
      </c>
      <c r="I401" s="8" t="str">
        <f>+'[1]BASE RED COMERCIAL'!$C399</f>
        <v>CAPITAL FEDERAL</v>
      </c>
      <c r="J401" s="10"/>
      <c r="K401" s="10"/>
    </row>
    <row r="402" spans="1:11" x14ac:dyDescent="0.25">
      <c r="A402" s="14" t="str">
        <f>+'[1]BASE RED COMERCIAL'!$A400</f>
        <v>C0001</v>
      </c>
      <c r="B402" s="8" t="str">
        <f>+'[1]BASE RED COMERCIAL'!$H400</f>
        <v>AVENIDA DE MAYO</v>
      </c>
      <c r="C402" s="7" t="s">
        <v>33</v>
      </c>
      <c r="D402" s="9" t="str">
        <f>+'[1]BASE RED COMERCIAL'!$E400</f>
        <v>AV DE MAYO</v>
      </c>
      <c r="E402" s="7">
        <f>+'[1]BASE RED COMERCIAL'!$F400</f>
        <v>770</v>
      </c>
      <c r="F402" s="14" t="str">
        <f>+'[1]BASE RED COMERCIAL'!$I400</f>
        <v>C1084ZAA</v>
      </c>
      <c r="G402" s="7" t="str">
        <f>+'[1]BASE RED COMERCIAL'!$D400</f>
        <v>CIUDAD AUTONOMA BUENOS AIRES</v>
      </c>
      <c r="H402" s="7" t="str">
        <f>+'[1]BASE RED COMERCIAL'!$B400</f>
        <v>CAPITAL FEDERAL</v>
      </c>
      <c r="I402" s="8" t="str">
        <f>+'[1]BASE RED COMERCIAL'!$C400</f>
        <v>CAPITAL FEDERAL</v>
      </c>
      <c r="J402" s="10"/>
      <c r="K402" s="10"/>
    </row>
    <row r="403" spans="1:11" x14ac:dyDescent="0.25">
      <c r="A403" s="14" t="str">
        <f>+'[1]BASE RED COMERCIAL'!$A401</f>
        <v>C0002</v>
      </c>
      <c r="B403" s="8" t="str">
        <f>+'[1]BASE RED COMERCIAL'!$H401</f>
        <v>CONGRESO</v>
      </c>
      <c r="C403" s="7" t="s">
        <v>33</v>
      </c>
      <c r="D403" s="9" t="str">
        <f>+'[1]BASE RED COMERCIAL'!$E401</f>
        <v>AV CALLAO</v>
      </c>
      <c r="E403" s="7">
        <f>+'[1]BASE RED COMERCIAL'!$F401</f>
        <v>131</v>
      </c>
      <c r="F403" s="14" t="str">
        <f>+'[1]BASE RED COMERCIAL'!$I401</f>
        <v>C1022ZAA</v>
      </c>
      <c r="G403" s="7" t="str">
        <f>+'[1]BASE RED COMERCIAL'!$D401</f>
        <v>CIUDAD AUTONOMA BUENOS AIRES</v>
      </c>
      <c r="H403" s="7" t="str">
        <f>+'[1]BASE RED COMERCIAL'!$B401</f>
        <v>CAPITAL FEDERAL</v>
      </c>
      <c r="I403" s="8" t="str">
        <f>+'[1]BASE RED COMERCIAL'!$C401</f>
        <v>CAPITAL FEDERAL</v>
      </c>
      <c r="J403" s="10"/>
      <c r="K403" s="10"/>
    </row>
    <row r="404" spans="1:11" x14ac:dyDescent="0.25">
      <c r="A404" s="14" t="str">
        <f>+'[1]BASE RED COMERCIAL'!$A402</f>
        <v>C0003</v>
      </c>
      <c r="B404" s="8" t="str">
        <f>+'[1]BASE RED COMERCIAL'!$H402</f>
        <v>ONCE</v>
      </c>
      <c r="C404" s="7" t="s">
        <v>33</v>
      </c>
      <c r="D404" s="9" t="str">
        <f>+'[1]BASE RED COMERCIAL'!$E402</f>
        <v>TTE GRAL JUAN D PERON</v>
      </c>
      <c r="E404" s="7">
        <f>+'[1]BASE RED COMERCIAL'!$F402</f>
        <v>2821</v>
      </c>
      <c r="F404" s="14" t="str">
        <f>+'[1]BASE RED COMERCIAL'!$I402</f>
        <v>C1032ZAA</v>
      </c>
      <c r="G404" s="7" t="str">
        <f>+'[1]BASE RED COMERCIAL'!$D402</f>
        <v>CIUDAD AUTONOMA BUENOS AIRES</v>
      </c>
      <c r="H404" s="7" t="str">
        <f>+'[1]BASE RED COMERCIAL'!$B402</f>
        <v>CAPITAL FEDERAL</v>
      </c>
      <c r="I404" s="8" t="str">
        <f>+'[1]BASE RED COMERCIAL'!$C402</f>
        <v>CAPITAL FEDERAL</v>
      </c>
      <c r="J404" s="10"/>
      <c r="K404" s="10"/>
    </row>
    <row r="405" spans="1:11" x14ac:dyDescent="0.25">
      <c r="A405" s="14" t="str">
        <f>+'[1]BASE RED COMERCIAL'!$A403</f>
        <v>C0004</v>
      </c>
      <c r="B405" s="8" t="str">
        <f>+'[1]BASE RED COMERCIAL'!$H403</f>
        <v>ALMAGRO</v>
      </c>
      <c r="C405" s="7" t="s">
        <v>33</v>
      </c>
      <c r="D405" s="9" t="str">
        <f>+'[1]BASE RED COMERCIAL'!$E403</f>
        <v>AV MEDRANO</v>
      </c>
      <c r="E405" s="7">
        <f>+'[1]BASE RED COMERCIAL'!$F403</f>
        <v>66</v>
      </c>
      <c r="F405" s="14" t="str">
        <f>+'[1]BASE RED COMERCIAL'!$I403</f>
        <v>C1178ZAA</v>
      </c>
      <c r="G405" s="7" t="str">
        <f>+'[1]BASE RED COMERCIAL'!$D403</f>
        <v>CIUDAD AUTONOMA BUENOS AIRES</v>
      </c>
      <c r="H405" s="7" t="str">
        <f>+'[1]BASE RED COMERCIAL'!$B403</f>
        <v>CAPITAL FEDERAL</v>
      </c>
      <c r="I405" s="8" t="str">
        <f>+'[1]BASE RED COMERCIAL'!$C403</f>
        <v>CAPITAL FEDERAL</v>
      </c>
      <c r="J405" s="10"/>
      <c r="K405" s="10"/>
    </row>
    <row r="406" spans="1:11" x14ac:dyDescent="0.25">
      <c r="A406" s="14" t="str">
        <f>+'[1]BASE RED COMERCIAL'!$A404</f>
        <v>C0005</v>
      </c>
      <c r="B406" s="8" t="str">
        <f>+'[1]BASE RED COMERCIAL'!$H404</f>
        <v>PARQUE CENTENARIO</v>
      </c>
      <c r="C406" s="7" t="s">
        <v>33</v>
      </c>
      <c r="D406" s="9" t="str">
        <f>+'[1]BASE RED COMERCIAL'!$E404</f>
        <v>AV ANGEL GALLARDO</v>
      </c>
      <c r="E406" s="7">
        <f>+'[1]BASE RED COMERCIAL'!$F404</f>
        <v>756</v>
      </c>
      <c r="F406" s="14" t="str">
        <f>+'[1]BASE RED COMERCIAL'!$I404</f>
        <v>C1405ZAA</v>
      </c>
      <c r="G406" s="7" t="str">
        <f>+'[1]BASE RED COMERCIAL'!$D404</f>
        <v>CIUDAD AUTONOMA BUENOS AIRES</v>
      </c>
      <c r="H406" s="7" t="str">
        <f>+'[1]BASE RED COMERCIAL'!$B404</f>
        <v>CAPITAL FEDERAL</v>
      </c>
      <c r="I406" s="8" t="str">
        <f>+'[1]BASE RED COMERCIAL'!$C404</f>
        <v>CAPITAL FEDERAL</v>
      </c>
      <c r="J406" s="10"/>
      <c r="K406" s="10"/>
    </row>
    <row r="407" spans="1:11" x14ac:dyDescent="0.25">
      <c r="A407" s="14" t="str">
        <f>+'[1]BASE RED COMERCIAL'!$A405</f>
        <v>C0007</v>
      </c>
      <c r="B407" s="8" t="str">
        <f>+'[1]BASE RED COMERCIAL'!$H405</f>
        <v>FLORESTA</v>
      </c>
      <c r="C407" s="7" t="s">
        <v>33</v>
      </c>
      <c r="D407" s="9" t="str">
        <f>+'[1]BASE RED COMERCIAL'!$E405</f>
        <v>PEDRO CARRASCO</v>
      </c>
      <c r="E407" s="7">
        <f>+'[1]BASE RED COMERCIAL'!$F405</f>
        <v>31</v>
      </c>
      <c r="F407" s="14" t="str">
        <f>+'[1]BASE RED COMERCIAL'!$I405</f>
        <v>C1407ZAA</v>
      </c>
      <c r="G407" s="7" t="str">
        <f>+'[1]BASE RED COMERCIAL'!$D405</f>
        <v>CIUDAD AUTONOMA BUENOS AIRES</v>
      </c>
      <c r="H407" s="7" t="str">
        <f>+'[1]BASE RED COMERCIAL'!$B405</f>
        <v>CAPITAL FEDERAL</v>
      </c>
      <c r="I407" s="8" t="str">
        <f>+'[1]BASE RED COMERCIAL'!$C405</f>
        <v>CAPITAL FEDERAL</v>
      </c>
      <c r="J407" s="10"/>
      <c r="K407" s="10"/>
    </row>
    <row r="408" spans="1:11" x14ac:dyDescent="0.25">
      <c r="A408" s="14" t="str">
        <f>+'[1]BASE RED COMERCIAL'!$A406</f>
        <v>C0008</v>
      </c>
      <c r="B408" s="8" t="str">
        <f>+'[1]BASE RED COMERCIAL'!$H406</f>
        <v>LINIERS</v>
      </c>
      <c r="C408" s="7" t="s">
        <v>33</v>
      </c>
      <c r="D408" s="9" t="str">
        <f>+'[1]BASE RED COMERCIAL'!$E406</f>
        <v>AV B RIVADAVIA</v>
      </c>
      <c r="E408" s="7">
        <f>+'[1]BASE RED COMERCIAL'!$F406</f>
        <v>11256</v>
      </c>
      <c r="F408" s="14" t="str">
        <f>+'[1]BASE RED COMERCIAL'!$I406</f>
        <v>C1408ZAA</v>
      </c>
      <c r="G408" s="7" t="str">
        <f>+'[1]BASE RED COMERCIAL'!$D406</f>
        <v>CIUDAD AUTONOMA BUENOS AIRES</v>
      </c>
      <c r="H408" s="7" t="str">
        <f>+'[1]BASE RED COMERCIAL'!$B406</f>
        <v>CAPITAL FEDERAL</v>
      </c>
      <c r="I408" s="8" t="str">
        <f>+'[1]BASE RED COMERCIAL'!$C406</f>
        <v>CAPITAL FEDERAL</v>
      </c>
      <c r="J408" s="10"/>
      <c r="K408" s="10"/>
    </row>
    <row r="409" spans="1:11" x14ac:dyDescent="0.25">
      <c r="A409" s="14" t="str">
        <f>+'[1]BASE RED COMERCIAL'!$A407</f>
        <v>C0009</v>
      </c>
      <c r="B409" s="8" t="str">
        <f>+'[1]BASE RED COMERCIAL'!$H407</f>
        <v>MONTE CASTRO</v>
      </c>
      <c r="C409" s="7" t="s">
        <v>33</v>
      </c>
      <c r="D409" s="9" t="str">
        <f>+'[1]BASE RED COMERCIAL'!$E407</f>
        <v>AV ALVAREZ JONTE</v>
      </c>
      <c r="E409" s="7">
        <f>+'[1]BASE RED COMERCIAL'!$F407</f>
        <v>5150</v>
      </c>
      <c r="F409" s="14" t="str">
        <f>+'[1]BASE RED COMERCIAL'!$I407</f>
        <v>C1407ZAC</v>
      </c>
      <c r="G409" s="7" t="str">
        <f>+'[1]BASE RED COMERCIAL'!$D407</f>
        <v>CIUDAD AUTONOMA BUENOS AIRES</v>
      </c>
      <c r="H409" s="7" t="str">
        <f>+'[1]BASE RED COMERCIAL'!$B407</f>
        <v>CAPITAL FEDERAL</v>
      </c>
      <c r="I409" s="8" t="str">
        <f>+'[1]BASE RED COMERCIAL'!$C407</f>
        <v>CAPITAL FEDERAL</v>
      </c>
      <c r="J409" s="10"/>
      <c r="K409" s="10"/>
    </row>
    <row r="410" spans="1:11" x14ac:dyDescent="0.25">
      <c r="A410" s="14" t="str">
        <f>+'[1]BASE RED COMERCIAL'!$A408</f>
        <v>C0010</v>
      </c>
      <c r="B410" s="8" t="str">
        <f>+'[1]BASE RED COMERCIAL'!$H408</f>
        <v>RECOLETA</v>
      </c>
      <c r="C410" s="7" t="s">
        <v>33</v>
      </c>
      <c r="D410" s="9" t="str">
        <f>+'[1]BASE RED COMERCIAL'!$E408</f>
        <v>AV CALLAO</v>
      </c>
      <c r="E410" s="7">
        <f>+'[1]BASE RED COMERCIAL'!$F408</f>
        <v>1577</v>
      </c>
      <c r="F410" s="14" t="str">
        <f>+'[1]BASE RED COMERCIAL'!$I408</f>
        <v>C1024ZAA</v>
      </c>
      <c r="G410" s="7" t="str">
        <f>+'[1]BASE RED COMERCIAL'!$D408</f>
        <v>CIUDAD AUTONOMA BUENOS AIRES</v>
      </c>
      <c r="H410" s="7" t="str">
        <f>+'[1]BASE RED COMERCIAL'!$B408</f>
        <v>CAPITAL FEDERAL</v>
      </c>
      <c r="I410" s="8" t="str">
        <f>+'[1]BASE RED COMERCIAL'!$C408</f>
        <v>CAPITAL FEDERAL</v>
      </c>
      <c r="J410" s="10"/>
      <c r="K410" s="10"/>
    </row>
    <row r="411" spans="1:11" x14ac:dyDescent="0.25">
      <c r="A411" s="14" t="str">
        <f>+'[1]BASE RED COMERCIAL'!$A409</f>
        <v>C0011</v>
      </c>
      <c r="B411" s="8" t="str">
        <f>+'[1]BASE RED COMERCIAL'!$H409</f>
        <v>PARQUE CHACABUCO</v>
      </c>
      <c r="C411" s="7" t="s">
        <v>33</v>
      </c>
      <c r="D411" s="9" t="str">
        <f>+'[1]BASE RED COMERCIAL'!$E409</f>
        <v>AV CURAPALIGUE</v>
      </c>
      <c r="E411" s="7">
        <f>+'[1]BASE RED COMERCIAL'!$F409</f>
        <v>815</v>
      </c>
      <c r="F411" s="14" t="str">
        <f>+'[1]BASE RED COMERCIAL'!$I409</f>
        <v>C1406ZAC</v>
      </c>
      <c r="G411" s="7" t="str">
        <f>+'[1]BASE RED COMERCIAL'!$D409</f>
        <v>CIUDAD AUTONOMA BUENOS AIRES</v>
      </c>
      <c r="H411" s="7" t="str">
        <f>+'[1]BASE RED COMERCIAL'!$B409</f>
        <v>CAPITAL FEDERAL</v>
      </c>
      <c r="I411" s="8" t="str">
        <f>+'[1]BASE RED COMERCIAL'!$C409</f>
        <v>CAPITAL FEDERAL</v>
      </c>
      <c r="J411" s="10"/>
      <c r="K411" s="10"/>
    </row>
    <row r="412" spans="1:11" x14ac:dyDescent="0.25">
      <c r="A412" s="14" t="str">
        <f>+'[1]BASE RED COMERCIAL'!$A410</f>
        <v>C0012</v>
      </c>
      <c r="B412" s="8" t="str">
        <f>+'[1]BASE RED COMERCIAL'!$H410</f>
        <v>BARRIO NORTE</v>
      </c>
      <c r="C412" s="7" t="s">
        <v>33</v>
      </c>
      <c r="D412" s="9" t="str">
        <f>+'[1]BASE RED COMERCIAL'!$E410</f>
        <v>AV PUEYRREDON</v>
      </c>
      <c r="E412" s="7">
        <f>+'[1]BASE RED COMERCIAL'!$F410</f>
        <v>1352</v>
      </c>
      <c r="F412" s="14" t="str">
        <f>+'[1]BASE RED COMERCIAL'!$I410</f>
        <v>C1118ZAB</v>
      </c>
      <c r="G412" s="7" t="str">
        <f>+'[1]BASE RED COMERCIAL'!$D410</f>
        <v>CIUDAD AUTONOMA BUENOS AIRES</v>
      </c>
      <c r="H412" s="7" t="str">
        <f>+'[1]BASE RED COMERCIAL'!$B410</f>
        <v>CAPITAL FEDERAL</v>
      </c>
      <c r="I412" s="8" t="str">
        <f>+'[1]BASE RED COMERCIAL'!$C410</f>
        <v>CAPITAL FEDERAL</v>
      </c>
      <c r="J412" s="10"/>
      <c r="K412" s="10"/>
    </row>
    <row r="413" spans="1:11" x14ac:dyDescent="0.25">
      <c r="A413" s="14" t="str">
        <f>+'[1]BASE RED COMERCIAL'!$A411</f>
        <v>C0013</v>
      </c>
      <c r="B413" s="8" t="str">
        <f>+'[1]BASE RED COMERCIAL'!$H411</f>
        <v>ABASTO</v>
      </c>
      <c r="C413" s="7" t="s">
        <v>33</v>
      </c>
      <c r="D413" s="9" t="str">
        <f>+'[1]BASE RED COMERCIAL'!$E411</f>
        <v>AV CORRIENTES</v>
      </c>
      <c r="E413" s="7">
        <f>+'[1]BASE RED COMERCIAL'!$F411</f>
        <v>3702</v>
      </c>
      <c r="F413" s="14" t="str">
        <f>+'[1]BASE RED COMERCIAL'!$I411</f>
        <v>C1194ZAC</v>
      </c>
      <c r="G413" s="7" t="str">
        <f>+'[1]BASE RED COMERCIAL'!$D411</f>
        <v>CIUDAD AUTONOMA BUENOS AIRES</v>
      </c>
      <c r="H413" s="7" t="str">
        <f>+'[1]BASE RED COMERCIAL'!$B411</f>
        <v>CAPITAL FEDERAL</v>
      </c>
      <c r="I413" s="8" t="str">
        <f>+'[1]BASE RED COMERCIAL'!$C411</f>
        <v>CAPITAL FEDERAL</v>
      </c>
      <c r="J413" s="10"/>
      <c r="K413" s="10"/>
    </row>
    <row r="414" spans="1:11" x14ac:dyDescent="0.25">
      <c r="A414" s="14" t="str">
        <f>+'[1]BASE RED COMERCIAL'!$A412</f>
        <v>C0016</v>
      </c>
      <c r="B414" s="8" t="str">
        <f>+'[1]BASE RED COMERCIAL'!$H412</f>
        <v>PATERNAL</v>
      </c>
      <c r="C414" s="7" t="s">
        <v>33</v>
      </c>
      <c r="D414" s="9" t="str">
        <f>+'[1]BASE RED COMERCIAL'!$E412</f>
        <v>AV SAN MARTIN</v>
      </c>
      <c r="E414" s="7">
        <f>+'[1]BASE RED COMERCIAL'!$F412</f>
        <v>2710</v>
      </c>
      <c r="F414" s="14" t="str">
        <f>+'[1]BASE RED COMERCIAL'!$I412</f>
        <v>C1416ZAA</v>
      </c>
      <c r="G414" s="7" t="str">
        <f>+'[1]BASE RED COMERCIAL'!$D412</f>
        <v>CIUDAD AUTONOMA BUENOS AIRES</v>
      </c>
      <c r="H414" s="7" t="str">
        <f>+'[1]BASE RED COMERCIAL'!$B412</f>
        <v>CAPITAL FEDERAL</v>
      </c>
      <c r="I414" s="8" t="str">
        <f>+'[1]BASE RED COMERCIAL'!$C412</f>
        <v>CAPITAL FEDERAL</v>
      </c>
      <c r="J414" s="10"/>
      <c r="K414" s="10"/>
    </row>
    <row r="415" spans="1:11" x14ac:dyDescent="0.25">
      <c r="A415" s="14" t="str">
        <f>+'[1]BASE RED COMERCIAL'!$A413</f>
        <v>C0017</v>
      </c>
      <c r="B415" s="8" t="str">
        <f>+'[1]BASE RED COMERCIAL'!$H413</f>
        <v>VILLA DEL PARQUE</v>
      </c>
      <c r="C415" s="7" t="s">
        <v>33</v>
      </c>
      <c r="D415" s="9" t="str">
        <f>+'[1]BASE RED COMERCIAL'!$E413</f>
        <v>HELGUERA</v>
      </c>
      <c r="E415" s="7">
        <f>+'[1]BASE RED COMERCIAL'!$F413</f>
        <v>2901</v>
      </c>
      <c r="F415" s="14" t="str">
        <f>+'[1]BASE RED COMERCIAL'!$I413</f>
        <v>C1417ZAA</v>
      </c>
      <c r="G415" s="7" t="str">
        <f>+'[1]BASE RED COMERCIAL'!$D413</f>
        <v>CIUDAD AUTONOMA BUENOS AIRES</v>
      </c>
      <c r="H415" s="7" t="str">
        <f>+'[1]BASE RED COMERCIAL'!$B413</f>
        <v>CAPITAL FEDERAL</v>
      </c>
      <c r="I415" s="8" t="str">
        <f>+'[1]BASE RED COMERCIAL'!$C413</f>
        <v>CAPITAL FEDERAL</v>
      </c>
      <c r="J415" s="10"/>
      <c r="K415" s="10"/>
    </row>
    <row r="416" spans="1:11" x14ac:dyDescent="0.25">
      <c r="A416" s="14" t="str">
        <f>+'[1]BASE RED COMERCIAL'!$A414</f>
        <v>C0018</v>
      </c>
      <c r="B416" s="8" t="str">
        <f>+'[1]BASE RED COMERCIAL'!$H414</f>
        <v>VILLA PUEYRREDON</v>
      </c>
      <c r="C416" s="7" t="s">
        <v>33</v>
      </c>
      <c r="D416" s="9" t="str">
        <f>+'[1]BASE RED COMERCIAL'!$E414</f>
        <v>CNEL JUAN TERRADA</v>
      </c>
      <c r="E416" s="7">
        <f>+'[1]BASE RED COMERCIAL'!$F414</f>
        <v>4675</v>
      </c>
      <c r="F416" s="14" t="str">
        <f>+'[1]BASE RED COMERCIAL'!$I414</f>
        <v>C1419ZAB</v>
      </c>
      <c r="G416" s="7" t="str">
        <f>+'[1]BASE RED COMERCIAL'!$D414</f>
        <v>CIUDAD AUTONOMA BUENOS AIRES</v>
      </c>
      <c r="H416" s="7" t="str">
        <f>+'[1]BASE RED COMERCIAL'!$B414</f>
        <v>CAPITAL FEDERAL</v>
      </c>
      <c r="I416" s="8" t="str">
        <f>+'[1]BASE RED COMERCIAL'!$C414</f>
        <v>CAPITAL FEDERAL</v>
      </c>
      <c r="J416" s="10"/>
      <c r="K416" s="10"/>
    </row>
    <row r="417" spans="1:11" x14ac:dyDescent="0.25">
      <c r="A417" s="14" t="str">
        <f>+'[1]BASE RED COMERCIAL'!$A415</f>
        <v>C0019</v>
      </c>
      <c r="B417" s="8" t="str">
        <f>+'[1]BASE RED COMERCIAL'!$H415</f>
        <v>VILLA DEVOTO</v>
      </c>
      <c r="C417" s="7" t="s">
        <v>33</v>
      </c>
      <c r="D417" s="9" t="str">
        <f>+'[1]BASE RED COMERCIAL'!$E415</f>
        <v>AV SAN MARTIN</v>
      </c>
      <c r="E417" s="7">
        <f>+'[1]BASE RED COMERCIAL'!$F415</f>
        <v>6354</v>
      </c>
      <c r="F417" s="14" t="str">
        <f>+'[1]BASE RED COMERCIAL'!$I415</f>
        <v>C1419ZAA</v>
      </c>
      <c r="G417" s="7" t="str">
        <f>+'[1]BASE RED COMERCIAL'!$D415</f>
        <v>CIUDAD AUTONOMA BUENOS AIRES</v>
      </c>
      <c r="H417" s="7" t="str">
        <f>+'[1]BASE RED COMERCIAL'!$B415</f>
        <v>CAPITAL FEDERAL</v>
      </c>
      <c r="I417" s="8" t="str">
        <f>+'[1]BASE RED COMERCIAL'!$C415</f>
        <v>CAPITAL FEDERAL</v>
      </c>
      <c r="J417" s="10"/>
      <c r="K417" s="10"/>
    </row>
    <row r="418" spans="1:11" x14ac:dyDescent="0.25">
      <c r="A418" s="14" t="str">
        <f>+'[1]BASE RED COMERCIAL'!$A416</f>
        <v>C0020</v>
      </c>
      <c r="B418" s="8" t="str">
        <f>+'[1]BASE RED COMERCIAL'!$H416</f>
        <v>SAN TELMO</v>
      </c>
      <c r="C418" s="7" t="s">
        <v>33</v>
      </c>
      <c r="D418" s="9" t="str">
        <f>+'[1]BASE RED COMERCIAL'!$E416</f>
        <v>DR BERNARDO DE IRIGOYEN</v>
      </c>
      <c r="E418" s="7">
        <f>+'[1]BASE RED COMERCIAL'!$F416</f>
        <v>698</v>
      </c>
      <c r="F418" s="14" t="str">
        <f>+'[1]BASE RED COMERCIAL'!$I416</f>
        <v>C1099ZAA</v>
      </c>
      <c r="G418" s="7" t="str">
        <f>+'[1]BASE RED COMERCIAL'!$D416</f>
        <v>CIUDAD AUTONOMA BUENOS AIRES</v>
      </c>
      <c r="H418" s="7" t="str">
        <f>+'[1]BASE RED COMERCIAL'!$B416</f>
        <v>CAPITAL FEDERAL</v>
      </c>
      <c r="I418" s="8" t="str">
        <f>+'[1]BASE RED COMERCIAL'!$C416</f>
        <v>CAPITAL FEDERAL</v>
      </c>
      <c r="J418" s="10"/>
      <c r="K418" s="10"/>
    </row>
    <row r="419" spans="1:11" x14ac:dyDescent="0.25">
      <c r="A419" s="14" t="str">
        <f>+'[1]BASE RED COMERCIAL'!$A417</f>
        <v>C0021</v>
      </c>
      <c r="B419" s="8" t="str">
        <f>+'[1]BASE RED COMERCIAL'!$H417</f>
        <v>MONSERRAT</v>
      </c>
      <c r="C419" s="7" t="s">
        <v>33</v>
      </c>
      <c r="D419" s="9" t="str">
        <f>+'[1]BASE RED COMERCIAL'!$E417</f>
        <v>AV ENTRE RIOS</v>
      </c>
      <c r="E419" s="7">
        <f>+'[1]BASE RED COMERCIAL'!$F417</f>
        <v>452</v>
      </c>
      <c r="F419" s="14" t="str">
        <f>+'[1]BASE RED COMERCIAL'!$I417</f>
        <v>C1100ZAA</v>
      </c>
      <c r="G419" s="7" t="str">
        <f>+'[1]BASE RED COMERCIAL'!$D417</f>
        <v>CIUDAD AUTONOMA BUENOS AIRES</v>
      </c>
      <c r="H419" s="7" t="str">
        <f>+'[1]BASE RED COMERCIAL'!$B417</f>
        <v>CAPITAL FEDERAL</v>
      </c>
      <c r="I419" s="8" t="str">
        <f>+'[1]BASE RED COMERCIAL'!$C417</f>
        <v>CAPITAL FEDERAL</v>
      </c>
      <c r="J419" s="10"/>
      <c r="K419" s="10"/>
    </row>
    <row r="420" spans="1:11" x14ac:dyDescent="0.25">
      <c r="A420" s="14" t="str">
        <f>+'[1]BASE RED COMERCIAL'!$A418</f>
        <v>C0022</v>
      </c>
      <c r="B420" s="8" t="str">
        <f>+'[1]BASE RED COMERCIAL'!$H418</f>
        <v>VILLA CRESPO</v>
      </c>
      <c r="C420" s="7" t="s">
        <v>33</v>
      </c>
      <c r="D420" s="9" t="str">
        <f>+'[1]BASE RED COMERCIAL'!$E418</f>
        <v>AV SCALABRINI ORTIZ</v>
      </c>
      <c r="E420" s="7">
        <f>+'[1]BASE RED COMERCIAL'!$F418</f>
        <v>176</v>
      </c>
      <c r="F420" s="14" t="str">
        <f>+'[1]BASE RED COMERCIAL'!$I418</f>
        <v>C1414ZAA</v>
      </c>
      <c r="G420" s="7" t="str">
        <f>+'[1]BASE RED COMERCIAL'!$D418</f>
        <v>CIUDAD AUTONOMA BUENOS AIRES</v>
      </c>
      <c r="H420" s="7" t="str">
        <f>+'[1]BASE RED COMERCIAL'!$B418</f>
        <v>CAPITAL FEDERAL</v>
      </c>
      <c r="I420" s="8" t="str">
        <f>+'[1]BASE RED COMERCIAL'!$C418</f>
        <v>CAPITAL FEDERAL</v>
      </c>
      <c r="J420" s="10"/>
      <c r="K420" s="10"/>
    </row>
    <row r="421" spans="1:11" x14ac:dyDescent="0.25">
      <c r="A421" s="14" t="str">
        <f>+'[1]BASE RED COMERCIAL'!$A419</f>
        <v>C0023</v>
      </c>
      <c r="B421" s="8" t="str">
        <f>+'[1]BASE RED COMERCIAL'!$H419</f>
        <v>SAN CRISTOBAL</v>
      </c>
      <c r="C421" s="7" t="s">
        <v>33</v>
      </c>
      <c r="D421" s="9" t="str">
        <f>+'[1]BASE RED COMERCIAL'!$E419</f>
        <v>AV SAN JUAN</v>
      </c>
      <c r="E421" s="7">
        <f>+'[1]BASE RED COMERCIAL'!$F419</f>
        <v>3001</v>
      </c>
      <c r="F421" s="14" t="str">
        <f>+'[1]BASE RED COMERCIAL'!$I419</f>
        <v>C1233ZAB</v>
      </c>
      <c r="G421" s="7" t="str">
        <f>+'[1]BASE RED COMERCIAL'!$D419</f>
        <v>CIUDAD AUTONOMA BUENOS AIRES</v>
      </c>
      <c r="H421" s="7" t="str">
        <f>+'[1]BASE RED COMERCIAL'!$B419</f>
        <v>CAPITAL FEDERAL</v>
      </c>
      <c r="I421" s="8" t="str">
        <f>+'[1]BASE RED COMERCIAL'!$C419</f>
        <v>CAPITAL FEDERAL</v>
      </c>
      <c r="J421" s="10"/>
      <c r="K421" s="10"/>
    </row>
    <row r="422" spans="1:11" x14ac:dyDescent="0.25">
      <c r="A422" s="14" t="str">
        <f>+'[1]BASE RED COMERCIAL'!$A420</f>
        <v>C0024</v>
      </c>
      <c r="B422" s="8" t="str">
        <f>+'[1]BASE RED COMERCIAL'!$H420</f>
        <v>DIRECTORIO Y J.M. MORENO</v>
      </c>
      <c r="C422" s="7" t="s">
        <v>33</v>
      </c>
      <c r="D422" s="9" t="str">
        <f>+'[1]BASE RED COMERCIAL'!$E420</f>
        <v>AV DIRECTORIO</v>
      </c>
      <c r="E422" s="7">
        <f>+'[1]BASE RED COMERCIAL'!$F420</f>
        <v>552</v>
      </c>
      <c r="F422" s="14" t="str">
        <f>+'[1]BASE RED COMERCIAL'!$I420</f>
        <v>C1424ZAA</v>
      </c>
      <c r="G422" s="7" t="str">
        <f>+'[1]BASE RED COMERCIAL'!$D420</f>
        <v>CIUDAD AUTONOMA BUENOS AIRES</v>
      </c>
      <c r="H422" s="7" t="str">
        <f>+'[1]BASE RED COMERCIAL'!$B420</f>
        <v>CAPITAL FEDERAL</v>
      </c>
      <c r="I422" s="8" t="str">
        <f>+'[1]BASE RED COMERCIAL'!$C420</f>
        <v>CAPITAL FEDERAL</v>
      </c>
      <c r="J422" s="10"/>
      <c r="K422" s="10"/>
    </row>
    <row r="423" spans="1:11" x14ac:dyDescent="0.25">
      <c r="A423" s="14" t="str">
        <f>+'[1]BASE RED COMERCIAL'!$A421</f>
        <v>C0025</v>
      </c>
      <c r="B423" s="8" t="str">
        <f>+'[1]BASE RED COMERCIAL'!$H421</f>
        <v>PLAZA ITALIA</v>
      </c>
      <c r="C423" s="7" t="s">
        <v>33</v>
      </c>
      <c r="D423" s="9" t="str">
        <f>+'[1]BASE RED COMERCIAL'!$E421</f>
        <v>AV SANTA FE</v>
      </c>
      <c r="E423" s="7">
        <f>+'[1]BASE RED COMERCIAL'!$F421</f>
        <v>3882</v>
      </c>
      <c r="F423" s="14" t="str">
        <f>+'[1]BASE RED COMERCIAL'!$I421</f>
        <v>C1425ZAB</v>
      </c>
      <c r="G423" s="7" t="str">
        <f>+'[1]BASE RED COMERCIAL'!$D421</f>
        <v>CIUDAD AUTONOMA BUENOS AIRES</v>
      </c>
      <c r="H423" s="7" t="str">
        <f>+'[1]BASE RED COMERCIAL'!$B421</f>
        <v>CAPITAL FEDERAL</v>
      </c>
      <c r="I423" s="8" t="str">
        <f>+'[1]BASE RED COMERCIAL'!$C421</f>
        <v>CAPITAL FEDERAL</v>
      </c>
      <c r="J423" s="10"/>
      <c r="K423" s="10"/>
    </row>
    <row r="424" spans="1:11" x14ac:dyDescent="0.25">
      <c r="A424" s="14" t="str">
        <f>+'[1]BASE RED COMERCIAL'!$A422</f>
        <v>C0026</v>
      </c>
      <c r="B424" s="8" t="str">
        <f>+'[1]BASE RED COMERCIAL'!$H422</f>
        <v>COLEGIALES</v>
      </c>
      <c r="C424" s="7" t="s">
        <v>33</v>
      </c>
      <c r="D424" s="9" t="str">
        <f>+'[1]BASE RED COMERCIAL'!$E422</f>
        <v>AV FEDERICO LACROZE</v>
      </c>
      <c r="E424" s="7">
        <f>+'[1]BASE RED COMERCIAL'!$F422</f>
        <v>2476</v>
      </c>
      <c r="F424" s="14" t="str">
        <f>+'[1]BASE RED COMERCIAL'!$I422</f>
        <v>C1426ZAA</v>
      </c>
      <c r="G424" s="7" t="str">
        <f>+'[1]BASE RED COMERCIAL'!$D422</f>
        <v>CIUDAD AUTONOMA BUENOS AIRES</v>
      </c>
      <c r="H424" s="7" t="str">
        <f>+'[1]BASE RED COMERCIAL'!$B422</f>
        <v>CAPITAL FEDERAL</v>
      </c>
      <c r="I424" s="8" t="str">
        <f>+'[1]BASE RED COMERCIAL'!$C422</f>
        <v>CAPITAL FEDERAL</v>
      </c>
      <c r="J424" s="10"/>
      <c r="K424" s="10"/>
    </row>
    <row r="425" spans="1:11" x14ac:dyDescent="0.25">
      <c r="A425" s="14" t="str">
        <f>+'[1]BASE RED COMERCIAL'!$A423</f>
        <v>C0028</v>
      </c>
      <c r="B425" s="8" t="str">
        <f>+'[1]BASE RED COMERCIAL'!$H423</f>
        <v>BELGRANO</v>
      </c>
      <c r="C425" s="7" t="s">
        <v>33</v>
      </c>
      <c r="D425" s="9" t="str">
        <f>+'[1]BASE RED COMERCIAL'!$E423</f>
        <v>AV CABILDO</v>
      </c>
      <c r="E425" s="7">
        <f>+'[1]BASE RED COMERCIAL'!$F423</f>
        <v>2349</v>
      </c>
      <c r="F425" s="14" t="str">
        <f>+'[1]BASE RED COMERCIAL'!$I423</f>
        <v>C1428ZAA</v>
      </c>
      <c r="G425" s="7" t="str">
        <f>+'[1]BASE RED COMERCIAL'!$D423</f>
        <v>CIUDAD AUTONOMA BUENOS AIRES</v>
      </c>
      <c r="H425" s="7" t="str">
        <f>+'[1]BASE RED COMERCIAL'!$B423</f>
        <v>CAPITAL FEDERAL</v>
      </c>
      <c r="I425" s="8" t="str">
        <f>+'[1]BASE RED COMERCIAL'!$C423</f>
        <v>CAPITAL FEDERAL</v>
      </c>
      <c r="J425" s="10"/>
      <c r="K425" s="10"/>
    </row>
    <row r="426" spans="1:11" x14ac:dyDescent="0.25">
      <c r="A426" s="14" t="str">
        <f>+'[1]BASE RED COMERCIAL'!$A424</f>
        <v>C0029</v>
      </c>
      <c r="B426" s="8" t="str">
        <f>+'[1]BASE RED COMERCIAL'!$H424</f>
        <v>NUÃ‘EZ</v>
      </c>
      <c r="C426" s="7" t="s">
        <v>33</v>
      </c>
      <c r="D426" s="9" t="str">
        <f>+'[1]BASE RED COMERCIAL'!$E424</f>
        <v>AV CABILDO</v>
      </c>
      <c r="E426" s="7">
        <f>+'[1]BASE RED COMERCIAL'!$F424</f>
        <v>4576</v>
      </c>
      <c r="F426" s="14" t="str">
        <f>+'[1]BASE RED COMERCIAL'!$I424</f>
        <v>C1429ZAA</v>
      </c>
      <c r="G426" s="7" t="str">
        <f>+'[1]BASE RED COMERCIAL'!$D424</f>
        <v>CIUDAD AUTONOMA BUENOS AIRES</v>
      </c>
      <c r="H426" s="7" t="str">
        <f>+'[1]BASE RED COMERCIAL'!$B424</f>
        <v>CAPITAL FEDERAL</v>
      </c>
      <c r="I426" s="8" t="str">
        <f>+'[1]BASE RED COMERCIAL'!$C424</f>
        <v>CAPITAL FEDERAL</v>
      </c>
      <c r="J426" s="10"/>
      <c r="K426" s="10"/>
    </row>
    <row r="427" spans="1:11" x14ac:dyDescent="0.25">
      <c r="A427" s="14" t="str">
        <f>+'[1]BASE RED COMERCIAL'!$A425</f>
        <v>C0030</v>
      </c>
      <c r="B427" s="8" t="str">
        <f>+'[1]BASE RED COMERCIAL'!$H425</f>
        <v>COGHLAN</v>
      </c>
      <c r="C427" s="7" t="s">
        <v>33</v>
      </c>
      <c r="D427" s="9" t="str">
        <f>+'[1]BASE RED COMERCIAL'!$E425</f>
        <v>AV MONROE</v>
      </c>
      <c r="E427" s="7">
        <f>+'[1]BASE RED COMERCIAL'!$F425</f>
        <v>3381</v>
      </c>
      <c r="F427" s="14" t="str">
        <f>+'[1]BASE RED COMERCIAL'!$I425</f>
        <v>C1430ZAD</v>
      </c>
      <c r="G427" s="7" t="str">
        <f>+'[1]BASE RED COMERCIAL'!$D425</f>
        <v>CIUDAD AUTONOMA BUENOS AIRES</v>
      </c>
      <c r="H427" s="7" t="str">
        <f>+'[1]BASE RED COMERCIAL'!$B425</f>
        <v>CAPITAL FEDERAL</v>
      </c>
      <c r="I427" s="8" t="str">
        <f>+'[1]BASE RED COMERCIAL'!$C425</f>
        <v>CAPITAL FEDERAL</v>
      </c>
      <c r="J427" s="10"/>
      <c r="K427" s="10"/>
    </row>
    <row r="428" spans="1:11" x14ac:dyDescent="0.25">
      <c r="A428" s="14" t="str">
        <f>+'[1]BASE RED COMERCIAL'!$A426</f>
        <v>C0031</v>
      </c>
      <c r="B428" s="8" t="str">
        <f>+'[1]BASE RED COMERCIAL'!$H426</f>
        <v>VILLA URQUIZA</v>
      </c>
      <c r="C428" s="7" t="s">
        <v>33</v>
      </c>
      <c r="D428" s="9" t="str">
        <f>+'[1]BASE RED COMERCIAL'!$E426</f>
        <v>MONROE</v>
      </c>
      <c r="E428" s="7">
        <f>+'[1]BASE RED COMERCIAL'!$F426</f>
        <v>5254</v>
      </c>
      <c r="F428" s="14" t="str">
        <f>+'[1]BASE RED COMERCIAL'!$I426</f>
        <v>C1431ZAD</v>
      </c>
      <c r="G428" s="7" t="str">
        <f>+'[1]BASE RED COMERCIAL'!$D426</f>
        <v>CIUDAD AUTONOMA BUENOS AIRES</v>
      </c>
      <c r="H428" s="7" t="str">
        <f>+'[1]BASE RED COMERCIAL'!$B426</f>
        <v>CAPITAL FEDERAL</v>
      </c>
      <c r="I428" s="8" t="str">
        <f>+'[1]BASE RED COMERCIAL'!$C426</f>
        <v>CAPITAL FEDERAL</v>
      </c>
      <c r="J428" s="10"/>
      <c r="K428" s="10"/>
    </row>
    <row r="429" spans="1:11" x14ac:dyDescent="0.25">
      <c r="A429" s="14" t="str">
        <f>+'[1]BASE RED COMERCIAL'!$A427</f>
        <v>C0032</v>
      </c>
      <c r="B429" s="8" t="str">
        <f>+'[1]BASE RED COMERCIAL'!$H427</f>
        <v>LA BOCA</v>
      </c>
      <c r="C429" s="7" t="s">
        <v>33</v>
      </c>
      <c r="D429" s="9" t="str">
        <f>+'[1]BASE RED COMERCIAL'!$E427</f>
        <v>AV ALTE G BROWN</v>
      </c>
      <c r="E429" s="7">
        <f>+'[1]BASE RED COMERCIAL'!$F427</f>
        <v>780</v>
      </c>
      <c r="F429" s="14" t="str">
        <f>+'[1]BASE RED COMERCIAL'!$I427</f>
        <v>C1155ZAA</v>
      </c>
      <c r="G429" s="7" t="str">
        <f>+'[1]BASE RED COMERCIAL'!$D427</f>
        <v>CIUDAD AUTONOMA BUENOS AIRES</v>
      </c>
      <c r="H429" s="7" t="str">
        <f>+'[1]BASE RED COMERCIAL'!$B427</f>
        <v>CAPITAL FEDERAL</v>
      </c>
      <c r="I429" s="8" t="str">
        <f>+'[1]BASE RED COMERCIAL'!$C427</f>
        <v>CAPITAL FEDERAL</v>
      </c>
      <c r="J429" s="10"/>
      <c r="K429" s="10"/>
    </row>
    <row r="430" spans="1:11" x14ac:dyDescent="0.25">
      <c r="A430" s="14" t="str">
        <f>+'[1]BASE RED COMERCIAL'!$A428</f>
        <v>C0033</v>
      </c>
      <c r="B430" s="8" t="str">
        <f>+'[1]BASE RED COMERCIAL'!$H428</f>
        <v>BARRACAS</v>
      </c>
      <c r="C430" s="7" t="s">
        <v>33</v>
      </c>
      <c r="D430" s="9" t="str">
        <f>+'[1]BASE RED COMERCIAL'!$E428</f>
        <v>AV SUAREZ</v>
      </c>
      <c r="E430" s="7">
        <f>+'[1]BASE RED COMERCIAL'!$F428</f>
        <v>1750</v>
      </c>
      <c r="F430" s="14" t="str">
        <f>+'[1]BASE RED COMERCIAL'!$I428</f>
        <v>C1270ZAB</v>
      </c>
      <c r="G430" s="7" t="str">
        <f>+'[1]BASE RED COMERCIAL'!$D428</f>
        <v>CIUDAD AUTONOMA BUENOS AIRES</v>
      </c>
      <c r="H430" s="7" t="str">
        <f>+'[1]BASE RED COMERCIAL'!$B428</f>
        <v>CAPITAL FEDERAL</v>
      </c>
      <c r="I430" s="8" t="str">
        <f>+'[1]BASE RED COMERCIAL'!$C428</f>
        <v>CAPITAL FEDERAL</v>
      </c>
      <c r="J430" s="10"/>
      <c r="K430" s="10"/>
    </row>
    <row r="431" spans="1:11" x14ac:dyDescent="0.25">
      <c r="A431" s="14" t="str">
        <f>+'[1]BASE RED COMERCIAL'!$A429</f>
        <v>C0035</v>
      </c>
      <c r="B431" s="8" t="str">
        <f>+'[1]BASE RED COMERCIAL'!$H429</f>
        <v>CASEROS Y ENTRE RIOS</v>
      </c>
      <c r="C431" s="7" t="s">
        <v>33</v>
      </c>
      <c r="D431" s="9" t="str">
        <f>+'[1]BASE RED COMERCIAL'!$E429</f>
        <v>AV CASEROS</v>
      </c>
      <c r="E431" s="7">
        <f>+'[1]BASE RED COMERCIAL'!$F429</f>
        <v>1999</v>
      </c>
      <c r="F431" s="14" t="str">
        <f>+'[1]BASE RED COMERCIAL'!$I429</f>
        <v>C1152ZAA</v>
      </c>
      <c r="G431" s="7" t="str">
        <f>+'[1]BASE RED COMERCIAL'!$D429</f>
        <v>CIUDAD AUTONOMA BUENOS AIRES</v>
      </c>
      <c r="H431" s="7" t="str">
        <f>+'[1]BASE RED COMERCIAL'!$B429</f>
        <v>CAPITAL FEDERAL</v>
      </c>
      <c r="I431" s="8" t="str">
        <f>+'[1]BASE RED COMERCIAL'!$C429</f>
        <v>CAPITAL FEDERAL</v>
      </c>
      <c r="J431" s="10"/>
      <c r="K431" s="10"/>
    </row>
    <row r="432" spans="1:11" x14ac:dyDescent="0.25">
      <c r="A432" s="14" t="str">
        <f>+'[1]BASE RED COMERCIAL'!$A430</f>
        <v>C0036</v>
      </c>
      <c r="B432" s="8" t="str">
        <f>+'[1]BASE RED COMERCIAL'!$H430</f>
        <v>PARQUE PATRICIOS</v>
      </c>
      <c r="C432" s="7" t="s">
        <v>33</v>
      </c>
      <c r="D432" s="9" t="str">
        <f>+'[1]BASE RED COMERCIAL'!$E430</f>
        <v>LA RIOJA</v>
      </c>
      <c r="E432" s="7">
        <f>+'[1]BASE RED COMERCIAL'!$F430</f>
        <v>1954</v>
      </c>
      <c r="F432" s="14" t="str">
        <f>+'[1]BASE RED COMERCIAL'!$I430</f>
        <v>C1244ZAB</v>
      </c>
      <c r="G432" s="7" t="str">
        <f>+'[1]BASE RED COMERCIAL'!$D430</f>
        <v>CIUDAD AUTONOMA BUENOS AIRES</v>
      </c>
      <c r="H432" s="7" t="str">
        <f>+'[1]BASE RED COMERCIAL'!$B430</f>
        <v>CAPITAL FEDERAL</v>
      </c>
      <c r="I432" s="8" t="str">
        <f>+'[1]BASE RED COMERCIAL'!$C430</f>
        <v>CAPITAL FEDERAL</v>
      </c>
      <c r="J432" s="10"/>
      <c r="K432" s="10"/>
    </row>
    <row r="433" spans="1:11" x14ac:dyDescent="0.25">
      <c r="A433" s="14" t="str">
        <f>+'[1]BASE RED COMERCIAL'!$A431</f>
        <v>C0037</v>
      </c>
      <c r="B433" s="8" t="str">
        <f>+'[1]BASE RED COMERCIAL'!$H431</f>
        <v>NUEVA POMPEYA</v>
      </c>
      <c r="C433" s="7" t="s">
        <v>33</v>
      </c>
      <c r="D433" s="9" t="str">
        <f>+'[1]BASE RED COMERCIAL'!$E431</f>
        <v>AV SAENZ</v>
      </c>
      <c r="E433" s="7">
        <f>+'[1]BASE RED COMERCIAL'!$F431</f>
        <v>753</v>
      </c>
      <c r="F433" s="14" t="str">
        <f>+'[1]BASE RED COMERCIAL'!$I431</f>
        <v>C1437ZAA</v>
      </c>
      <c r="G433" s="7" t="str">
        <f>+'[1]BASE RED COMERCIAL'!$D431</f>
        <v>CIUDAD AUTONOMA BUENOS AIRES</v>
      </c>
      <c r="H433" s="7" t="str">
        <f>+'[1]BASE RED COMERCIAL'!$B431</f>
        <v>CAPITAL FEDERAL</v>
      </c>
      <c r="I433" s="8" t="str">
        <f>+'[1]BASE RED COMERCIAL'!$C431</f>
        <v>CAPITAL FEDERAL</v>
      </c>
      <c r="J433" s="10"/>
      <c r="K433" s="10"/>
    </row>
    <row r="434" spans="1:11" x14ac:dyDescent="0.25">
      <c r="A434" s="14" t="str">
        <f>+'[1]BASE RED COMERCIAL'!$A432</f>
        <v>C0038</v>
      </c>
      <c r="B434" s="8" t="str">
        <f>+'[1]BASE RED COMERCIAL'!$H432</f>
        <v>VILLA SOLDATI</v>
      </c>
      <c r="C434" s="7" t="s">
        <v>33</v>
      </c>
      <c r="D434" s="9" t="str">
        <f>+'[1]BASE RED COMERCIAL'!$E432</f>
        <v>JOSE MARTI</v>
      </c>
      <c r="E434" s="7">
        <f>+'[1]BASE RED COMERCIAL'!$F432</f>
        <v>2995</v>
      </c>
      <c r="F434" s="14" t="str">
        <f>+'[1]BASE RED COMERCIAL'!$I432</f>
        <v>C1437ZAD</v>
      </c>
      <c r="G434" s="7" t="str">
        <f>+'[1]BASE RED COMERCIAL'!$D432</f>
        <v>CIUDAD AUTONOMA BUENOS AIRES</v>
      </c>
      <c r="H434" s="7" t="str">
        <f>+'[1]BASE RED COMERCIAL'!$B432</f>
        <v>CAPITAL FEDERAL</v>
      </c>
      <c r="I434" s="8" t="str">
        <f>+'[1]BASE RED COMERCIAL'!$C432</f>
        <v>CAPITAL FEDERAL</v>
      </c>
      <c r="J434" s="10"/>
      <c r="K434" s="10"/>
    </row>
    <row r="435" spans="1:11" x14ac:dyDescent="0.25">
      <c r="A435" s="14" t="str">
        <f>+'[1]BASE RED COMERCIAL'!$A433</f>
        <v>C0039</v>
      </c>
      <c r="B435" s="8" t="str">
        <f>+'[1]BASE RED COMERCIAL'!$H433</f>
        <v>VILLA LUGANO</v>
      </c>
      <c r="C435" s="7" t="s">
        <v>33</v>
      </c>
      <c r="D435" s="9" t="str">
        <f>+'[1]BASE RED COMERCIAL'!$E433</f>
        <v>AV NORBERTO DE LA RIESTRA</v>
      </c>
      <c r="E435" s="7">
        <f>+'[1]BASE RED COMERCIAL'!$F433</f>
        <v>5719</v>
      </c>
      <c r="F435" s="14" t="str">
        <f>+'[1]BASE RED COMERCIAL'!$I433</f>
        <v>C1439ZAC</v>
      </c>
      <c r="G435" s="7" t="str">
        <f>+'[1]BASE RED COMERCIAL'!$D433</f>
        <v>CIUDAD AUTONOMA BUENOS AIRES</v>
      </c>
      <c r="H435" s="7" t="str">
        <f>+'[1]BASE RED COMERCIAL'!$B433</f>
        <v>CAPITAL FEDERAL</v>
      </c>
      <c r="I435" s="8" t="str">
        <f>+'[1]BASE RED COMERCIAL'!$C433</f>
        <v>CAPITAL FEDERAL</v>
      </c>
      <c r="J435" s="10"/>
      <c r="K435" s="10"/>
    </row>
    <row r="436" spans="1:11" x14ac:dyDescent="0.25">
      <c r="A436" s="14" t="str">
        <f>+'[1]BASE RED COMERCIAL'!$A434</f>
        <v>C0040</v>
      </c>
      <c r="B436" s="8" t="str">
        <f>+'[1]BASE RED COMERCIAL'!$H434</f>
        <v>MATADEROS</v>
      </c>
      <c r="C436" s="7" t="s">
        <v>33</v>
      </c>
      <c r="D436" s="9" t="str">
        <f>+'[1]BASE RED COMERCIAL'!$E434</f>
        <v>AV JUAN B ALBERDI</v>
      </c>
      <c r="E436" s="7">
        <f>+'[1]BASE RED COMERCIAL'!$F434</f>
        <v>5924</v>
      </c>
      <c r="F436" s="14" t="str">
        <f>+'[1]BASE RED COMERCIAL'!$I434</f>
        <v>C1440ZAA</v>
      </c>
      <c r="G436" s="7" t="str">
        <f>+'[1]BASE RED COMERCIAL'!$D434</f>
        <v>CIUDAD AUTONOMA BUENOS AIRES</v>
      </c>
      <c r="H436" s="7" t="str">
        <f>+'[1]BASE RED COMERCIAL'!$B434</f>
        <v>CAPITAL FEDERAL</v>
      </c>
      <c r="I436" s="8" t="str">
        <f>+'[1]BASE RED COMERCIAL'!$C434</f>
        <v>CAPITAL FEDERAL</v>
      </c>
      <c r="J436" s="10"/>
      <c r="K436" s="10"/>
    </row>
    <row r="437" spans="1:11" x14ac:dyDescent="0.25">
      <c r="A437" s="14" t="str">
        <f>+'[1]BASE RED COMERCIAL'!$A435</f>
        <v>C0041</v>
      </c>
      <c r="B437" s="8" t="str">
        <f>+'[1]BASE RED COMERCIAL'!$H435</f>
        <v>PARQUE CHAS</v>
      </c>
      <c r="C437" s="7" t="s">
        <v>33</v>
      </c>
      <c r="D437" s="9" t="str">
        <f>+'[1]BASE RED COMERCIAL'!$E435</f>
        <v>AV DE LOS INCAS</v>
      </c>
      <c r="E437" s="7">
        <f>+'[1]BASE RED COMERCIAL'!$F435</f>
        <v>4624</v>
      </c>
      <c r="F437" s="14" t="str">
        <f>+'[1]BASE RED COMERCIAL'!$I435</f>
        <v>C1427ZAC</v>
      </c>
      <c r="G437" s="7" t="str">
        <f>+'[1]BASE RED COMERCIAL'!$D435</f>
        <v>CIUDAD AUTONOMA BUENOS AIRES</v>
      </c>
      <c r="H437" s="7" t="str">
        <f>+'[1]BASE RED COMERCIAL'!$B435</f>
        <v>CAPITAL FEDERAL</v>
      </c>
      <c r="I437" s="8" t="str">
        <f>+'[1]BASE RED COMERCIAL'!$C435</f>
        <v>CAPITAL FEDERAL</v>
      </c>
      <c r="J437" s="10"/>
      <c r="K437" s="10"/>
    </row>
    <row r="438" spans="1:11" x14ac:dyDescent="0.25">
      <c r="A438" s="14" t="str">
        <f>+'[1]BASE RED COMERCIAL'!$A436</f>
        <v>C0042</v>
      </c>
      <c r="B438" s="8" t="str">
        <f>+'[1]BASE RED COMERCIAL'!$H436</f>
        <v>CASA DE GOBIERNO</v>
      </c>
      <c r="C438" s="7" t="s">
        <v>33</v>
      </c>
      <c r="D438" s="9" t="str">
        <f>+'[1]BASE RED COMERCIAL'!$E436</f>
        <v>BALCARCE</v>
      </c>
      <c r="E438" s="7">
        <f>+'[1]BASE RED COMERCIAL'!$F436</f>
        <v>24</v>
      </c>
      <c r="F438" s="14" t="str">
        <f>+'[1]BASE RED COMERCIAL'!$I436</f>
        <v>C1064ZAA</v>
      </c>
      <c r="G438" s="7" t="str">
        <f>+'[1]BASE RED COMERCIAL'!$D436</f>
        <v>CIUDAD AUTONOMA BUENOS AIRES</v>
      </c>
      <c r="H438" s="7" t="str">
        <f>+'[1]BASE RED COMERCIAL'!$B436</f>
        <v>CAPITAL FEDERAL</v>
      </c>
      <c r="I438" s="8" t="str">
        <f>+'[1]BASE RED COMERCIAL'!$C436</f>
        <v>CAPITAL FEDERAL</v>
      </c>
      <c r="J438" s="10"/>
      <c r="K438" s="10"/>
    </row>
    <row r="439" spans="1:11" x14ac:dyDescent="0.25">
      <c r="A439" s="14" t="str">
        <f>+'[1]BASE RED COMERCIAL'!$A437</f>
        <v>C0048</v>
      </c>
      <c r="B439" s="8" t="str">
        <f>+'[1]BASE RED COMERCIAL'!$H437</f>
        <v>PLAZA RODRIGUEZ PEÃ‘A</v>
      </c>
      <c r="C439" s="7" t="s">
        <v>33</v>
      </c>
      <c r="D439" s="9" t="str">
        <f>+'[1]BASE RED COMERCIAL'!$E437</f>
        <v>URUGUAY</v>
      </c>
      <c r="E439" s="7">
        <f>+'[1]BASE RED COMERCIAL'!$F437</f>
        <v>1069</v>
      </c>
      <c r="F439" s="14" t="str">
        <f>+'[1]BASE RED COMERCIAL'!$I437</f>
        <v>C1060ZAA</v>
      </c>
      <c r="G439" s="7" t="str">
        <f>+'[1]BASE RED COMERCIAL'!$D437</f>
        <v>CIUDAD AUTONOMA BUENOS AIRES</v>
      </c>
      <c r="H439" s="7" t="str">
        <f>+'[1]BASE RED COMERCIAL'!$B437</f>
        <v>CAPITAL FEDERAL</v>
      </c>
      <c r="I439" s="8" t="str">
        <f>+'[1]BASE RED COMERCIAL'!$C437</f>
        <v>CAPITAL FEDERAL</v>
      </c>
      <c r="J439" s="10"/>
      <c r="K439" s="10"/>
    </row>
    <row r="440" spans="1:11" x14ac:dyDescent="0.25">
      <c r="A440" s="14" t="str">
        <f>+'[1]BASE RED COMERCIAL'!$A438</f>
        <v>C0049</v>
      </c>
      <c r="B440" s="8" t="str">
        <f>+'[1]BASE RED COMERCIAL'!$H438</f>
        <v>CABALLITO</v>
      </c>
      <c r="C440" s="7" t="s">
        <v>33</v>
      </c>
      <c r="D440" s="9" t="str">
        <f>+'[1]BASE RED COMERCIAL'!$E438</f>
        <v>AV B RIVADAVIA</v>
      </c>
      <c r="E440" s="7">
        <f>+'[1]BASE RED COMERCIAL'!$F438</f>
        <v>5337</v>
      </c>
      <c r="F440" s="14" t="str">
        <f>+'[1]BASE RED COMERCIAL'!$I438</f>
        <v>C1424ZAD</v>
      </c>
      <c r="G440" s="7" t="str">
        <f>+'[1]BASE RED COMERCIAL'!$D438</f>
        <v>CIUDAD AUTONOMA BUENOS AIRES</v>
      </c>
      <c r="H440" s="7" t="str">
        <f>+'[1]BASE RED COMERCIAL'!$B438</f>
        <v>CAPITAL FEDERAL</v>
      </c>
      <c r="I440" s="8" t="str">
        <f>+'[1]BASE RED COMERCIAL'!$C438</f>
        <v>CAPITAL FEDERAL</v>
      </c>
      <c r="J440" s="10"/>
      <c r="K440" s="10"/>
    </row>
    <row r="441" spans="1:11" x14ac:dyDescent="0.25">
      <c r="A441" s="14" t="str">
        <f>+'[1]BASE RED COMERCIAL'!$A439</f>
        <v>C0051</v>
      </c>
      <c r="B441" s="8" t="str">
        <f>+'[1]BASE RED COMERCIAL'!$H439</f>
        <v>ESTACION CONSTITUCION</v>
      </c>
      <c r="C441" s="7" t="s">
        <v>33</v>
      </c>
      <c r="D441" s="9" t="str">
        <f>+'[1]BASE RED COMERCIAL'!$E439</f>
        <v>BRASIL</v>
      </c>
      <c r="E441" s="7">
        <f>+'[1]BASE RED COMERCIAL'!$F439</f>
        <v>1153</v>
      </c>
      <c r="F441" s="14" t="str">
        <f>+'[1]BASE RED COMERCIAL'!$I439</f>
        <v>C1154ZAA</v>
      </c>
      <c r="G441" s="7" t="str">
        <f>+'[1]BASE RED COMERCIAL'!$D439</f>
        <v>CIUDAD AUTONOMA BUENOS AIRES</v>
      </c>
      <c r="H441" s="7" t="str">
        <f>+'[1]BASE RED COMERCIAL'!$B439</f>
        <v>CAPITAL FEDERAL</v>
      </c>
      <c r="I441" s="8" t="str">
        <f>+'[1]BASE RED COMERCIAL'!$C439</f>
        <v>CAPITAL FEDERAL</v>
      </c>
      <c r="J441" s="10"/>
      <c r="K441" s="10"/>
    </row>
    <row r="442" spans="1:11" x14ac:dyDescent="0.25">
      <c r="A442" s="14" t="str">
        <f>+'[1]BASE RED COMERCIAL'!$A440</f>
        <v>C0052</v>
      </c>
      <c r="B442" s="8" t="str">
        <f>+'[1]BASE RED COMERCIAL'!$H440</f>
        <v>BANCO NACION</v>
      </c>
      <c r="C442" s="7" t="s">
        <v>33</v>
      </c>
      <c r="D442" s="9" t="str">
        <f>+'[1]BASE RED COMERCIAL'!$E440</f>
        <v>BME MITRE</v>
      </c>
      <c r="E442" s="7">
        <f>+'[1]BASE RED COMERCIAL'!$F440</f>
        <v>326</v>
      </c>
      <c r="F442" s="14" t="str">
        <f>+'[1]BASE RED COMERCIAL'!$I440</f>
        <v>C1036ZAA</v>
      </c>
      <c r="G442" s="7" t="str">
        <f>+'[1]BASE RED COMERCIAL'!$D440</f>
        <v>CIUDAD AUTONOMA BUENOS AIRES</v>
      </c>
      <c r="H442" s="7" t="str">
        <f>+'[1]BASE RED COMERCIAL'!$B440</f>
        <v>CAPITAL FEDERAL</v>
      </c>
      <c r="I442" s="8" t="str">
        <f>+'[1]BASE RED COMERCIAL'!$C440</f>
        <v>CAPITAL FEDERAL</v>
      </c>
      <c r="J442" s="10"/>
      <c r="K442" s="10"/>
    </row>
    <row r="443" spans="1:11" x14ac:dyDescent="0.25">
      <c r="A443" s="14" t="str">
        <f>+'[1]BASE RED COMERCIAL'!$A441</f>
        <v>C0053</v>
      </c>
      <c r="B443" s="8" t="str">
        <f>+'[1]BASE RED COMERCIAL'!$H441</f>
        <v>FACULTAD</v>
      </c>
      <c r="C443" s="7" t="s">
        <v>33</v>
      </c>
      <c r="D443" s="9" t="str">
        <f>+'[1]BASE RED COMERCIAL'!$E441</f>
        <v>DR LUIS PASTEUR</v>
      </c>
      <c r="E443" s="7">
        <f>+'[1]BASE RED COMERCIAL'!$F441</f>
        <v>768</v>
      </c>
      <c r="F443" s="14" t="str">
        <f>+'[1]BASE RED COMERCIAL'!$I441</f>
        <v>C1120ZAA</v>
      </c>
      <c r="G443" s="7" t="str">
        <f>+'[1]BASE RED COMERCIAL'!$D441</f>
        <v>CIUDAD AUTONOMA BUENOS AIRES</v>
      </c>
      <c r="H443" s="7" t="str">
        <f>+'[1]BASE RED COMERCIAL'!$B441</f>
        <v>CAPITAL FEDERAL</v>
      </c>
      <c r="I443" s="8" t="str">
        <f>+'[1]BASE RED COMERCIAL'!$C441</f>
        <v>CAPITAL FEDERAL</v>
      </c>
      <c r="J443" s="10"/>
      <c r="K443" s="10"/>
    </row>
    <row r="444" spans="1:11" x14ac:dyDescent="0.25">
      <c r="A444" s="14" t="str">
        <f>+'[1]BASE RED COMERCIAL'!$A442</f>
        <v>C0055</v>
      </c>
      <c r="B444" s="8" t="str">
        <f>+'[1]BASE RED COMERCIAL'!$H442</f>
        <v>COMANDO EN JEFE DEL EJERCITO</v>
      </c>
      <c r="C444" s="7" t="s">
        <v>33</v>
      </c>
      <c r="D444" s="9" t="str">
        <f>+'[1]BASE RED COMERCIAL'!$E442</f>
        <v>AZOPARDO</v>
      </c>
      <c r="E444" s="7">
        <f>+'[1]BASE RED COMERCIAL'!$F442</f>
        <v>250</v>
      </c>
      <c r="F444" s="14" t="str">
        <f>+'[1]BASE RED COMERCIAL'!$I442</f>
        <v>C1107ZAA</v>
      </c>
      <c r="G444" s="7" t="str">
        <f>+'[1]BASE RED COMERCIAL'!$D442</f>
        <v>CIUDAD AUTONOMA BUENOS AIRES</v>
      </c>
      <c r="H444" s="7" t="str">
        <f>+'[1]BASE RED COMERCIAL'!$B442</f>
        <v>CAPITAL FEDERAL</v>
      </c>
      <c r="I444" s="8" t="str">
        <f>+'[1]BASE RED COMERCIAL'!$C442</f>
        <v>CAPITAL FEDERAL</v>
      </c>
      <c r="J444" s="10"/>
      <c r="K444" s="10"/>
    </row>
    <row r="445" spans="1:11" x14ac:dyDescent="0.25">
      <c r="A445" s="14" t="str">
        <f>+'[1]BASE RED COMERCIAL'!$A443</f>
        <v>C0056</v>
      </c>
      <c r="B445" s="8" t="str">
        <f>+'[1]BASE RED COMERCIAL'!$H443</f>
        <v>SAAVEDRA</v>
      </c>
      <c r="C445" s="7" t="s">
        <v>33</v>
      </c>
      <c r="D445" s="9" t="str">
        <f>+'[1]BASE RED COMERCIAL'!$E443</f>
        <v>PLAZA</v>
      </c>
      <c r="E445" s="7">
        <f>+'[1]BASE RED COMERCIAL'!$F443</f>
        <v>3855</v>
      </c>
      <c r="F445" s="14" t="str">
        <f>+'[1]BASE RED COMERCIAL'!$I443</f>
        <v>C1430ZAC</v>
      </c>
      <c r="G445" s="7" t="str">
        <f>+'[1]BASE RED COMERCIAL'!$D443</f>
        <v>CIUDAD AUTONOMA BUENOS AIRES</v>
      </c>
      <c r="H445" s="7" t="str">
        <f>+'[1]BASE RED COMERCIAL'!$B443</f>
        <v>CAPITAL FEDERAL</v>
      </c>
      <c r="I445" s="8" t="str">
        <f>+'[1]BASE RED COMERCIAL'!$C443</f>
        <v>CAPITAL FEDERAL</v>
      </c>
      <c r="J445" s="10"/>
      <c r="K445" s="10"/>
    </row>
    <row r="446" spans="1:11" x14ac:dyDescent="0.25">
      <c r="A446" s="14" t="str">
        <f>+'[1]BASE RED COMERCIAL'!$A444</f>
        <v>C0058</v>
      </c>
      <c r="B446" s="8" t="str">
        <f>+'[1]BASE RED COMERCIAL'!$H444</f>
        <v>CATALINAS CENTRAL</v>
      </c>
      <c r="C446" s="7" t="s">
        <v>33</v>
      </c>
      <c r="D446" s="9" t="str">
        <f>+'[1]BASE RED COMERCIAL'!$E444</f>
        <v>AV L N ALEM</v>
      </c>
      <c r="E446" s="7">
        <f>+'[1]BASE RED COMERCIAL'!$F444</f>
        <v>616</v>
      </c>
      <c r="F446" s="14" t="str">
        <f>+'[1]BASE RED COMERCIAL'!$I444</f>
        <v>C1054ZAA</v>
      </c>
      <c r="G446" s="7" t="str">
        <f>+'[1]BASE RED COMERCIAL'!$D444</f>
        <v>CIUDAD AUTONOMA BUENOS AIRES</v>
      </c>
      <c r="H446" s="7" t="str">
        <f>+'[1]BASE RED COMERCIAL'!$B444</f>
        <v>CAPITAL FEDERAL</v>
      </c>
      <c r="I446" s="8" t="str">
        <f>+'[1]BASE RED COMERCIAL'!$C444</f>
        <v>CAPITAL FEDERAL</v>
      </c>
      <c r="J446" s="10"/>
      <c r="K446" s="10"/>
    </row>
    <row r="447" spans="1:11" x14ac:dyDescent="0.25">
      <c r="A447" s="14" t="str">
        <f>+'[1]BASE RED COMERCIAL'!$A445</f>
        <v>C0059</v>
      </c>
      <c r="B447" s="8" t="str">
        <f>+'[1]BASE RED COMERCIAL'!$H445</f>
        <v>MINISTERIO DE ECONOMÃA</v>
      </c>
      <c r="C447" s="7" t="s">
        <v>33</v>
      </c>
      <c r="D447" s="9" t="str">
        <f>+'[1]BASE RED COMERCIAL'!$E445</f>
        <v>PTE H YRIGOYEN</v>
      </c>
      <c r="E447" s="7">
        <f>+'[1]BASE RED COMERCIAL'!$F445</f>
        <v>250</v>
      </c>
      <c r="F447" s="14" t="str">
        <f>+'[1]BASE RED COMERCIAL'!$I445</f>
        <v>C1086ZAA</v>
      </c>
      <c r="G447" s="7" t="str">
        <f>+'[1]BASE RED COMERCIAL'!$D445</f>
        <v>CIUDAD AUTONOMA BUENOS AIRES</v>
      </c>
      <c r="H447" s="7" t="str">
        <f>+'[1]BASE RED COMERCIAL'!$B445</f>
        <v>CAPITAL FEDERAL</v>
      </c>
      <c r="I447" s="8" t="str">
        <f>+'[1]BASE RED COMERCIAL'!$C445</f>
        <v>CAPITAL FEDERAL</v>
      </c>
      <c r="J447" s="10"/>
      <c r="K447" s="10"/>
    </row>
    <row r="448" spans="1:11" x14ac:dyDescent="0.25">
      <c r="A448" s="14" t="str">
        <f>+'[1]BASE RED COMERCIAL'!$A446</f>
        <v>C0060</v>
      </c>
      <c r="B448" s="8" t="str">
        <f>+'[1]BASE RED COMERCIAL'!$H446</f>
        <v>ESTACION RETIRO</v>
      </c>
      <c r="C448" s="7" t="s">
        <v>33</v>
      </c>
      <c r="D448" s="9" t="str">
        <f>+'[1]BASE RED COMERCIAL'!$E446</f>
        <v>AV DEL LIBERTADOR</v>
      </c>
      <c r="E448" s="7">
        <f>+'[1]BASE RED COMERCIAL'!$F446</f>
        <v>132</v>
      </c>
      <c r="F448" s="14" t="str">
        <f>+'[1]BASE RED COMERCIAL'!$I446</f>
        <v>C1104ZAD</v>
      </c>
      <c r="G448" s="7" t="str">
        <f>+'[1]BASE RED COMERCIAL'!$D446</f>
        <v>CIUDAD AUTONOMA BUENOS AIRES</v>
      </c>
      <c r="H448" s="7" t="str">
        <f>+'[1]BASE RED COMERCIAL'!$B446</f>
        <v>CAPITAL FEDERAL</v>
      </c>
      <c r="I448" s="8" t="str">
        <f>+'[1]BASE RED COMERCIAL'!$C446</f>
        <v>CAPITAL FEDERAL</v>
      </c>
      <c r="J448" s="10"/>
      <c r="K448" s="10"/>
    </row>
    <row r="449" spans="1:11" x14ac:dyDescent="0.25">
      <c r="A449" s="14" t="str">
        <f>+'[1]BASE RED COMERCIAL'!$A447</f>
        <v>C0061</v>
      </c>
      <c r="B449" s="8" t="str">
        <f>+'[1]BASE RED COMERCIAL'!$H447</f>
        <v>PLAZA LAS HERAS</v>
      </c>
      <c r="C449" s="7" t="s">
        <v>33</v>
      </c>
      <c r="D449" s="9" t="str">
        <f>+'[1]BASE RED COMERCIAL'!$E447</f>
        <v>LAPRIDA</v>
      </c>
      <c r="E449" s="7">
        <f>+'[1]BASE RED COMERCIAL'!$F447</f>
        <v>2128</v>
      </c>
      <c r="F449" s="14" t="str">
        <f>+'[1]BASE RED COMERCIAL'!$I447</f>
        <v>C1425ZAA</v>
      </c>
      <c r="G449" s="7" t="str">
        <f>+'[1]BASE RED COMERCIAL'!$D447</f>
        <v>CIUDAD AUTONOMA BUENOS AIRES</v>
      </c>
      <c r="H449" s="7" t="str">
        <f>+'[1]BASE RED COMERCIAL'!$B447</f>
        <v>CAPITAL FEDERAL</v>
      </c>
      <c r="I449" s="8" t="str">
        <f>+'[1]BASE RED COMERCIAL'!$C447</f>
        <v>CAPITAL FEDERAL</v>
      </c>
      <c r="J449" s="10"/>
      <c r="K449" s="10"/>
    </row>
    <row r="450" spans="1:11" x14ac:dyDescent="0.25">
      <c r="A450" s="14" t="str">
        <f>+'[1]BASE RED COMERCIAL'!$A448</f>
        <v>C0063</v>
      </c>
      <c r="B450" s="8" t="str">
        <f>+'[1]BASE RED COMERCIAL'!$H448</f>
        <v>VILLA REAL</v>
      </c>
      <c r="C450" s="7" t="s">
        <v>33</v>
      </c>
      <c r="D450" s="9" t="str">
        <f>+'[1]BASE RED COMERCIAL'!$E448</f>
        <v>AV LOPE DE VEGA</v>
      </c>
      <c r="E450" s="7">
        <f>+'[1]BASE RED COMERCIAL'!$F448</f>
        <v>2888</v>
      </c>
      <c r="F450" s="14" t="str">
        <f>+'[1]BASE RED COMERCIAL'!$I448</f>
        <v>C1417ZAB</v>
      </c>
      <c r="G450" s="7" t="str">
        <f>+'[1]BASE RED COMERCIAL'!$D448</f>
        <v>CIUDAD AUTONOMA BUENOS AIRES</v>
      </c>
      <c r="H450" s="7" t="str">
        <f>+'[1]BASE RED COMERCIAL'!$B448</f>
        <v>CAPITAL FEDERAL</v>
      </c>
      <c r="I450" s="8" t="str">
        <f>+'[1]BASE RED COMERCIAL'!$C448</f>
        <v>CAPITAL FEDERAL</v>
      </c>
      <c r="J450" s="10"/>
      <c r="K450" s="10"/>
    </row>
    <row r="451" spans="1:11" x14ac:dyDescent="0.25">
      <c r="A451" s="14" t="str">
        <f>+'[1]BASE RED COMERCIAL'!$A449</f>
        <v>C0065</v>
      </c>
      <c r="B451" s="8" t="str">
        <f>+'[1]BASE RED COMERCIAL'!$H449</f>
        <v>OBELISCO</v>
      </c>
      <c r="C451" s="7" t="s">
        <v>33</v>
      </c>
      <c r="D451" s="9" t="str">
        <f>+'[1]BASE RED COMERCIAL'!$E449</f>
        <v>CERRITO</v>
      </c>
      <c r="E451" s="7">
        <f>+'[1]BASE RED COMERCIAL'!$F449</f>
        <v>368</v>
      </c>
      <c r="F451" s="14" t="str">
        <f>+'[1]BASE RED COMERCIAL'!$I449</f>
        <v>C1043ZAC</v>
      </c>
      <c r="G451" s="7" t="str">
        <f>+'[1]BASE RED COMERCIAL'!$D449</f>
        <v>CIUDAD AUTONOMA BUENOS AIRES</v>
      </c>
      <c r="H451" s="7" t="str">
        <f>+'[1]BASE RED COMERCIAL'!$B449</f>
        <v>CAPITAL FEDERAL</v>
      </c>
      <c r="I451" s="8" t="str">
        <f>+'[1]BASE RED COMERCIAL'!$C449</f>
        <v>CAPITAL FEDERAL</v>
      </c>
      <c r="J451" s="10"/>
      <c r="K451" s="10"/>
    </row>
    <row r="452" spans="1:11" x14ac:dyDescent="0.25">
      <c r="A452" s="14" t="str">
        <f>+'[1]BASE RED COMERCIAL'!$A450</f>
        <v>C0069</v>
      </c>
      <c r="B452" s="8" t="str">
        <f>+'[1]BASE RED COMERCIAL'!$H450</f>
        <v>PLAZA SAN MARTIN</v>
      </c>
      <c r="C452" s="7" t="s">
        <v>33</v>
      </c>
      <c r="D452" s="9" t="str">
        <f>+'[1]BASE RED COMERCIAL'!$E450</f>
        <v>AV SANTA FE</v>
      </c>
      <c r="E452" s="7">
        <f>+'[1]BASE RED COMERCIAL'!$F450</f>
        <v>945</v>
      </c>
      <c r="F452" s="14" t="str">
        <f>+'[1]BASE RED COMERCIAL'!$I450</f>
        <v>C1059ZAB</v>
      </c>
      <c r="G452" s="7" t="str">
        <f>+'[1]BASE RED COMERCIAL'!$D450</f>
        <v>CIUDAD AUTONOMA BUENOS AIRES</v>
      </c>
      <c r="H452" s="7" t="str">
        <f>+'[1]BASE RED COMERCIAL'!$B450</f>
        <v>CAPITAL FEDERAL</v>
      </c>
      <c r="I452" s="8" t="str">
        <f>+'[1]BASE RED COMERCIAL'!$C450</f>
        <v>CAPITAL FEDERAL</v>
      </c>
      <c r="J452" s="10"/>
      <c r="K452" s="10"/>
    </row>
    <row r="453" spans="1:11" x14ac:dyDescent="0.25">
      <c r="A453" s="14" t="str">
        <f>+'[1]BASE RED COMERCIAL'!$A451</f>
        <v>C0071</v>
      </c>
      <c r="B453" s="8" t="str">
        <f>+'[1]BASE RED COMERCIAL'!$H451</f>
        <v>CHACARITA</v>
      </c>
      <c r="C453" s="7" t="s">
        <v>33</v>
      </c>
      <c r="D453" s="9" t="str">
        <f>+'[1]BASE RED COMERCIAL'!$E451</f>
        <v>AV FEDERICO LACROZE</v>
      </c>
      <c r="E453" s="7">
        <f>+'[1]BASE RED COMERCIAL'!$F451</f>
        <v>4164</v>
      </c>
      <c r="F453" s="14" t="str">
        <f>+'[1]BASE RED COMERCIAL'!$I451</f>
        <v>C1427ZAB</v>
      </c>
      <c r="G453" s="7" t="str">
        <f>+'[1]BASE RED COMERCIAL'!$D451</f>
        <v>CIUDAD AUTONOMA BUENOS AIRES</v>
      </c>
      <c r="H453" s="7" t="str">
        <f>+'[1]BASE RED COMERCIAL'!$B451</f>
        <v>CAPITAL FEDERAL</v>
      </c>
      <c r="I453" s="8" t="str">
        <f>+'[1]BASE RED COMERCIAL'!$C451</f>
        <v>CAPITAL FEDERAL</v>
      </c>
      <c r="J453" s="10"/>
      <c r="K453" s="10"/>
    </row>
    <row r="454" spans="1:11" x14ac:dyDescent="0.25">
      <c r="A454" s="14" t="str">
        <f>+'[1]BASE RED COMERCIAL'!$A452</f>
        <v>C0072</v>
      </c>
      <c r="B454" s="8" t="str">
        <f>+'[1]BASE RED COMERCIAL'!$H452</f>
        <v>FLORES</v>
      </c>
      <c r="C454" s="7" t="s">
        <v>33</v>
      </c>
      <c r="D454" s="9" t="str">
        <f>+'[1]BASE RED COMERCIAL'!$E452</f>
        <v>GRAL JOSE G ARTIGAS</v>
      </c>
      <c r="E454" s="7">
        <f>+'[1]BASE RED COMERCIAL'!$F452</f>
        <v>40</v>
      </c>
      <c r="F454" s="14" t="str">
        <f>+'[1]BASE RED COMERCIAL'!$I452</f>
        <v>C1406ZAB</v>
      </c>
      <c r="G454" s="7" t="str">
        <f>+'[1]BASE RED COMERCIAL'!$D452</f>
        <v>CIUDAD AUTONOMA BUENOS AIRES</v>
      </c>
      <c r="H454" s="7" t="str">
        <f>+'[1]BASE RED COMERCIAL'!$B452</f>
        <v>CAPITAL FEDERAL</v>
      </c>
      <c r="I454" s="8" t="str">
        <f>+'[1]BASE RED COMERCIAL'!$C452</f>
        <v>CAPITAL FEDERAL</v>
      </c>
      <c r="J454" s="10"/>
      <c r="K454" s="10"/>
    </row>
    <row r="455" spans="1:11" x14ac:dyDescent="0.25">
      <c r="A455" s="14" t="str">
        <f>+'[1]BASE RED COMERCIAL'!$A453</f>
        <v>C0076</v>
      </c>
      <c r="B455" s="8" t="str">
        <f>+'[1]BASE RED COMERCIAL'!$H453</f>
        <v>TRIBUNALES 1</v>
      </c>
      <c r="C455" s="7" t="s">
        <v>33</v>
      </c>
      <c r="D455" s="9" t="str">
        <f>+'[1]BASE RED COMERCIAL'!$E453</f>
        <v>PARANA</v>
      </c>
      <c r="E455" s="7">
        <f>+'[1]BASE RED COMERCIAL'!$F453</f>
        <v>777</v>
      </c>
      <c r="F455" s="14" t="str">
        <f>+'[1]BASE RED COMERCIAL'!$I453</f>
        <v>C1015ZAA</v>
      </c>
      <c r="G455" s="7" t="str">
        <f>+'[1]BASE RED COMERCIAL'!$D453</f>
        <v>CIUDAD AUTONOMA BUENOS AIRES</v>
      </c>
      <c r="H455" s="7" t="str">
        <f>+'[1]BASE RED COMERCIAL'!$B453</f>
        <v>CAPITAL FEDERAL</v>
      </c>
      <c r="I455" s="8" t="str">
        <f>+'[1]BASE RED COMERCIAL'!$C453</f>
        <v>CAPITAL FEDERAL</v>
      </c>
      <c r="J455" s="10"/>
      <c r="K455" s="10"/>
    </row>
    <row r="456" spans="1:11" x14ac:dyDescent="0.25">
      <c r="A456" s="14" t="str">
        <f>+'[1]BASE RED COMERCIAL'!$A454</f>
        <v>C0085</v>
      </c>
      <c r="B456" s="8" t="str">
        <f>+'[1]BASE RED COMERCIAL'!$H454</f>
        <v>CORDOBA Y FLORIDA</v>
      </c>
      <c r="C456" s="7" t="s">
        <v>33</v>
      </c>
      <c r="D456" s="9" t="str">
        <f>+'[1]BASE RED COMERCIAL'!$E454</f>
        <v>AV CORDOBA</v>
      </c>
      <c r="E456" s="7">
        <f>+'[1]BASE RED COMERCIAL'!$F454</f>
        <v>663</v>
      </c>
      <c r="F456" s="14" t="str">
        <f>+'[1]BASE RED COMERCIAL'!$I454</f>
        <v>C1054ZAB</v>
      </c>
      <c r="G456" s="7" t="str">
        <f>+'[1]BASE RED COMERCIAL'!$D454</f>
        <v>CIUDAD AUTONOMA BUENOS AIRES</v>
      </c>
      <c r="H456" s="7" t="str">
        <f>+'[1]BASE RED COMERCIAL'!$B454</f>
        <v>CAPITAL FEDERAL</v>
      </c>
      <c r="I456" s="8" t="str">
        <f>+'[1]BASE RED COMERCIAL'!$C454</f>
        <v>CAPITAL FEDERAL</v>
      </c>
      <c r="J456" s="10"/>
      <c r="K456" s="10"/>
    </row>
    <row r="457" spans="1:11" x14ac:dyDescent="0.25">
      <c r="A457" s="14" t="str">
        <f>+'[1]BASE RED COMERCIAL'!$A455</f>
        <v>C0500</v>
      </c>
      <c r="B457" s="8" t="str">
        <f>+'[1]BASE RED COMERCIAL'!$H455</f>
        <v>FILATELIA CORDOBA Y FLORIDA</v>
      </c>
      <c r="C457" s="7" t="s">
        <v>33</v>
      </c>
      <c r="D457" s="9" t="str">
        <f>+'[1]BASE RED COMERCIAL'!$E455</f>
        <v>AV CORDOBA</v>
      </c>
      <c r="E457" s="7">
        <f>+'[1]BASE RED COMERCIAL'!$F455</f>
        <v>663</v>
      </c>
      <c r="F457" s="14" t="str">
        <f>+'[1]BASE RED COMERCIAL'!$I455</f>
        <v>C1041ZAC</v>
      </c>
      <c r="G457" s="7" t="str">
        <f>+'[1]BASE RED COMERCIAL'!$D455</f>
        <v>CIUDAD AUTONOMA BUENOS AIRES</v>
      </c>
      <c r="H457" s="7" t="str">
        <f>+'[1]BASE RED COMERCIAL'!$B455</f>
        <v>CAPITAL FEDERAL</v>
      </c>
      <c r="I457" s="8" t="str">
        <f>+'[1]BASE RED COMERCIAL'!$C455</f>
        <v>CAPITAL FEDERAL</v>
      </c>
      <c r="J457" s="10"/>
      <c r="K457" s="10"/>
    </row>
    <row r="458" spans="1:11" x14ac:dyDescent="0.25">
      <c r="A458" s="14" t="str">
        <f>+'[1]BASE RED COMERCIAL'!$A456</f>
        <v>C2060</v>
      </c>
      <c r="B458" s="8" t="str">
        <f>+'[1]BASE RED COMERCIAL'!$H456</f>
        <v>CTE [ENCOMIENDAS]</v>
      </c>
      <c r="C458" s="7" t="s">
        <v>33</v>
      </c>
      <c r="D458" s="9" t="str">
        <f>+'[1]BASE RED COMERCIAL'!$E456</f>
        <v>AV SAN JUAN</v>
      </c>
      <c r="E458" s="7">
        <f>+'[1]BASE RED COMERCIAL'!$F456</f>
        <v>1349</v>
      </c>
      <c r="F458" s="14" t="str">
        <f>+'[1]BASE RED COMERCIAL'!$I456</f>
        <v>C1148ZAA</v>
      </c>
      <c r="G458" s="7" t="str">
        <f>+'[1]BASE RED COMERCIAL'!$D456</f>
        <v>CIUDAD AUTONOMA BUENOS AIRES</v>
      </c>
      <c r="H458" s="7" t="str">
        <f>+'[1]BASE RED COMERCIAL'!$B456</f>
        <v>CAPITAL FEDERAL</v>
      </c>
      <c r="I458" s="8" t="str">
        <f>+'[1]BASE RED COMERCIAL'!$C456</f>
        <v>CAPITAL FEDERAL</v>
      </c>
      <c r="J458" s="10"/>
      <c r="K458" s="10"/>
    </row>
    <row r="459" spans="1:11" x14ac:dyDescent="0.25">
      <c r="A459" s="14" t="str">
        <f>+'[1]BASE RED COMERCIAL'!$A457</f>
        <v>C2061</v>
      </c>
      <c r="B459" s="8" t="str">
        <f>+'[1]BASE RED COMERCIAL'!$H457</f>
        <v>CENTRO POSTAL INTERNACIONAL</v>
      </c>
      <c r="C459" s="7" t="s">
        <v>33</v>
      </c>
      <c r="D459" s="9" t="str">
        <f>+'[1]BASE RED COMERCIAL'!$E457</f>
        <v>AV ANTARTIDA ARGENTINA</v>
      </c>
      <c r="E459" s="7">
        <f>+'[1]BASE RED COMERCIAL'!$F457</f>
        <v>1100</v>
      </c>
      <c r="F459" s="14" t="str">
        <f>+'[1]BASE RED COMERCIAL'!$I457</f>
        <v>C1104ZAB</v>
      </c>
      <c r="G459" s="7" t="str">
        <f>+'[1]BASE RED COMERCIAL'!$D457</f>
        <v>CIUDAD AUTONOMA BUENOS AIRES</v>
      </c>
      <c r="H459" s="7" t="str">
        <f>+'[1]BASE RED COMERCIAL'!$B457</f>
        <v>CAPITAL FEDERAL</v>
      </c>
      <c r="I459" s="8" t="str">
        <f>+'[1]BASE RED COMERCIAL'!$C457</f>
        <v>CAPITAL FEDERAL</v>
      </c>
      <c r="J459" s="10"/>
      <c r="K459" s="10"/>
    </row>
    <row r="460" spans="1:11" x14ac:dyDescent="0.25">
      <c r="A460" s="14" t="str">
        <f>+'[1]BASE RED COMERCIAL'!$A458</f>
        <v>C2102</v>
      </c>
      <c r="B460" s="8" t="str">
        <f>+'[1]BASE RED COMERCIAL'!$H458</f>
        <v>MINIPOST NÂº1 (TRIBUNALES)</v>
      </c>
      <c r="C460" s="7" t="s">
        <v>33</v>
      </c>
      <c r="D460" s="9" t="str">
        <f>+'[1]BASE RED COMERCIAL'!$E458</f>
        <v>TALCAHUANO</v>
      </c>
      <c r="E460" s="7">
        <f>+'[1]BASE RED COMERCIAL'!$F458</f>
        <v>550</v>
      </c>
      <c r="F460" s="14" t="str">
        <f>+'[1]BASE RED COMERCIAL'!$I458</f>
        <v>C1013ZAA</v>
      </c>
      <c r="G460" s="7" t="str">
        <f>+'[1]BASE RED COMERCIAL'!$D458</f>
        <v>CIUDAD AUTONOMA BUENOS AIRES</v>
      </c>
      <c r="H460" s="7" t="str">
        <f>+'[1]BASE RED COMERCIAL'!$B458</f>
        <v>CAPITAL FEDERAL</v>
      </c>
      <c r="I460" s="8" t="str">
        <f>+'[1]BASE RED COMERCIAL'!$C458</f>
        <v>CAPITAL FEDERAL</v>
      </c>
      <c r="J460" s="10"/>
      <c r="K460" s="10"/>
    </row>
    <row r="461" spans="1:11" x14ac:dyDescent="0.25">
      <c r="A461" s="14" t="str">
        <f>+'[1]BASE RED COMERCIAL'!$A459</f>
        <v>C2205</v>
      </c>
      <c r="B461" s="8" t="str">
        <f>+'[1]BASE RED COMERCIAL'!$H459</f>
        <v>PALERMO</v>
      </c>
      <c r="C461" s="7" t="s">
        <v>33</v>
      </c>
      <c r="D461" s="9" t="str">
        <f>+'[1]BASE RED COMERCIAL'!$E459</f>
        <v>AV CNEL DIAZ</v>
      </c>
      <c r="E461" s="7">
        <f>+'[1]BASE RED COMERCIAL'!$F459</f>
        <v>2190</v>
      </c>
      <c r="F461" s="14" t="str">
        <f>+'[1]BASE RED COMERCIAL'!$I459</f>
        <v>C1425ZAC</v>
      </c>
      <c r="G461" s="7" t="str">
        <f>+'[1]BASE RED COMERCIAL'!$D459</f>
        <v>CIUDAD AUTONOMA BUENOS AIRES</v>
      </c>
      <c r="H461" s="7" t="str">
        <f>+'[1]BASE RED COMERCIAL'!$B459</f>
        <v>CAPITAL FEDERAL</v>
      </c>
      <c r="I461" s="8" t="str">
        <f>+'[1]BASE RED COMERCIAL'!$C459</f>
        <v>CAPITAL FEDERAL</v>
      </c>
      <c r="J461" s="10"/>
      <c r="K461" s="10"/>
    </row>
    <row r="462" spans="1:11" x14ac:dyDescent="0.25">
      <c r="A462" s="14" t="str">
        <f>+'[1]BASE RED COMERCIAL'!$A460</f>
        <v>C4872</v>
      </c>
      <c r="B462" s="8" t="str">
        <f>+'[1]BASE RED COMERCIAL'!$H460</f>
        <v>PENAL ECONOMICO</v>
      </c>
      <c r="C462" s="7" t="s">
        <v>33</v>
      </c>
      <c r="D462" s="9" t="str">
        <f>+'[1]BASE RED COMERCIAL'!$E460</f>
        <v>AV DE LOS INMIGRANTES</v>
      </c>
      <c r="E462" s="7">
        <f>+'[1]BASE RED COMERCIAL'!$F460</f>
        <v>1950</v>
      </c>
      <c r="F462" s="14" t="str">
        <f>+'[1]BASE RED COMERCIAL'!$I460</f>
        <v>C1104ZAP</v>
      </c>
      <c r="G462" s="7" t="str">
        <f>+'[1]BASE RED COMERCIAL'!$D460</f>
        <v>CIUDAD AUTONOMA BUENOS AIRES</v>
      </c>
      <c r="H462" s="7" t="str">
        <f>+'[1]BASE RED COMERCIAL'!$B460</f>
        <v>CAPITAL FEDERAL</v>
      </c>
      <c r="I462" s="8" t="str">
        <f>+'[1]BASE RED COMERCIAL'!$C460</f>
        <v>CAPITAL FEDERAL</v>
      </c>
      <c r="J462" s="10"/>
      <c r="K462" s="10"/>
    </row>
    <row r="463" spans="1:11" x14ac:dyDescent="0.25">
      <c r="A463" s="14" t="str">
        <f>+'[1]BASE RED COMERCIAL'!$A461</f>
        <v>C4932</v>
      </c>
      <c r="B463" s="8" t="str">
        <f>+'[1]BASE RED COMERCIAL'!$H461</f>
        <v>COLEGIO DE ABOGADOS CAP FED</v>
      </c>
      <c r="C463" s="7" t="s">
        <v>33</v>
      </c>
      <c r="D463" s="9" t="str">
        <f>+'[1]BASE RED COMERCIAL'!$E461</f>
        <v>AV CORRIENTES</v>
      </c>
      <c r="E463" s="7">
        <f>+'[1]BASE RED COMERCIAL'!$F461</f>
        <v>1441</v>
      </c>
      <c r="F463" s="14" t="str">
        <f>+'[1]BASE RED COMERCIAL'!$I461</f>
        <v>C1042ZAD</v>
      </c>
      <c r="G463" s="7" t="str">
        <f>+'[1]BASE RED COMERCIAL'!$D461</f>
        <v>CIUDAD AUTONOMA BUENOS AIRES</v>
      </c>
      <c r="H463" s="7" t="str">
        <f>+'[1]BASE RED COMERCIAL'!$B461</f>
        <v>CAPITAL FEDERAL</v>
      </c>
      <c r="I463" s="8" t="str">
        <f>+'[1]BASE RED COMERCIAL'!$C461</f>
        <v>CAPITAL FEDERAL</v>
      </c>
      <c r="J463" s="10"/>
      <c r="K463" s="10"/>
    </row>
    <row r="464" spans="1:11" x14ac:dyDescent="0.25">
      <c r="A464" s="14" t="str">
        <f>+'[1]BASE RED COMERCIAL'!$A462</f>
        <v>C5259</v>
      </c>
      <c r="B464" s="8" t="str">
        <f>+'[1]BASE RED COMERCIAL'!$H462</f>
        <v>TIENDA FILATELIA CORREO ARGENT</v>
      </c>
      <c r="C464" s="7" t="s">
        <v>33</v>
      </c>
      <c r="D464" s="9" t="str">
        <f>+'[1]BASE RED COMERCIAL'!$E462</f>
        <v>SARMIENTO</v>
      </c>
      <c r="E464" s="7">
        <f>+'[1]BASE RED COMERCIAL'!$F462</f>
        <v>151</v>
      </c>
      <c r="F464" s="14" t="str">
        <f>+'[1]BASE RED COMERCIAL'!$I462</f>
        <v>C1041ZAA</v>
      </c>
      <c r="G464" s="7" t="str">
        <f>+'[1]BASE RED COMERCIAL'!$D462</f>
        <v>CIUDAD AUTONOMA BUENOS AIRES</v>
      </c>
      <c r="H464" s="7" t="str">
        <f>+'[1]BASE RED COMERCIAL'!$B462</f>
        <v>CAPITAL FEDERAL</v>
      </c>
      <c r="I464" s="8" t="str">
        <f>+'[1]BASE RED COMERCIAL'!$C462</f>
        <v>CAPITAL FEDERAL</v>
      </c>
      <c r="J464" s="10"/>
      <c r="K464" s="10"/>
    </row>
    <row r="465" spans="1:11" x14ac:dyDescent="0.25">
      <c r="A465" s="14" t="str">
        <f>+'[1]BASE RED COMERCIAL'!$A463</f>
        <v>C5260</v>
      </c>
      <c r="B465" s="8" t="str">
        <f>+'[1]BASE RED COMERCIAL'!$H463</f>
        <v>SUCURSAL DE Ã‰POCA CORREO</v>
      </c>
      <c r="C465" s="7" t="s">
        <v>33</v>
      </c>
      <c r="D465" s="9" t="str">
        <f>+'[1]BASE RED COMERCIAL'!$E463</f>
        <v>SARMIENTO</v>
      </c>
      <c r="E465" s="7">
        <f>+'[1]BASE RED COMERCIAL'!$F463</f>
        <v>151</v>
      </c>
      <c r="F465" s="14" t="str">
        <f>+'[1]BASE RED COMERCIAL'!$I463</f>
        <v>C1041ZAD</v>
      </c>
      <c r="G465" s="7" t="str">
        <f>+'[1]BASE RED COMERCIAL'!$D463</f>
        <v>CIUDAD AUTONOMA BUENOS AIRES</v>
      </c>
      <c r="H465" s="7" t="str">
        <f>+'[1]BASE RED COMERCIAL'!$B463</f>
        <v>CAPITAL FEDERAL</v>
      </c>
      <c r="I465" s="8" t="str">
        <f>+'[1]BASE RED COMERCIAL'!$C463</f>
        <v>CAPITAL FEDERAL</v>
      </c>
      <c r="J465" s="10"/>
      <c r="K465" s="10"/>
    </row>
    <row r="466" spans="1:11" x14ac:dyDescent="0.25">
      <c r="A466" s="14" t="str">
        <f>+'[1]BASE RED COMERCIAL'!$A464</f>
        <v>C5280</v>
      </c>
      <c r="B466" s="8" t="str">
        <f>+'[1]BASE RED COMERCIAL'!$H464</f>
        <v>PAGO ELECTRONICO</v>
      </c>
      <c r="C466" s="7" t="s">
        <v>33</v>
      </c>
      <c r="D466" s="9" t="str">
        <f>+'[1]BASE RED COMERCIAL'!$E464</f>
        <v>AV SAN JUAN</v>
      </c>
      <c r="E466" s="7">
        <f>+'[1]BASE RED COMERCIAL'!$F464</f>
        <v>1349</v>
      </c>
      <c r="F466" s="14" t="str">
        <f>+'[1]BASE RED COMERCIAL'!$I464</f>
        <v>C1148ZAL</v>
      </c>
      <c r="G466" s="7" t="str">
        <f>+'[1]BASE RED COMERCIAL'!$D464</f>
        <v>CIUDAD AUTONOMA BUENOS AIRES</v>
      </c>
      <c r="H466" s="7" t="str">
        <f>+'[1]BASE RED COMERCIAL'!$B464</f>
        <v>CAPITAL FEDERAL</v>
      </c>
      <c r="I466" s="8" t="str">
        <f>+'[1]BASE RED COMERCIAL'!$C464</f>
        <v>CAPITAL FEDERAL</v>
      </c>
      <c r="J466" s="10"/>
      <c r="K466" s="10"/>
    </row>
    <row r="467" spans="1:11" x14ac:dyDescent="0.25">
      <c r="A467" s="14" t="str">
        <f>+'[1]BASE RED COMERCIAL'!$A465</f>
        <v>C5290</v>
      </c>
      <c r="B467" s="8" t="str">
        <f>+'[1]BASE RED COMERCIAL'!$H465</f>
        <v>CAYE RETIRO</v>
      </c>
      <c r="C467" s="7" t="s">
        <v>33</v>
      </c>
      <c r="D467" s="9" t="str">
        <f>+'[1]BASE RED COMERCIAL'!$E465</f>
        <v>AV COMODORO PY</v>
      </c>
      <c r="E467" s="7">
        <f>+'[1]BASE RED COMERCIAL'!$F465</f>
        <v>2000</v>
      </c>
      <c r="F467" s="14" t="str">
        <f>+'[1]BASE RED COMERCIAL'!$I465</f>
        <v>C1104ZAW</v>
      </c>
      <c r="G467" s="7" t="str">
        <f>+'[1]BASE RED COMERCIAL'!$D465</f>
        <v>CIUDAD AUTONOMA BUENOS AIRES</v>
      </c>
      <c r="H467" s="7" t="str">
        <f>+'[1]BASE RED COMERCIAL'!$B465</f>
        <v>CAPITAL FEDERAL</v>
      </c>
      <c r="I467" s="8" t="str">
        <f>+'[1]BASE RED COMERCIAL'!$C465</f>
        <v>CAPITAL FEDERAL</v>
      </c>
      <c r="J467" s="10"/>
      <c r="K467" s="10"/>
    </row>
    <row r="468" spans="1:11" x14ac:dyDescent="0.25">
      <c r="A468" s="14" t="str">
        <f>+'[1]BASE RED COMERCIAL'!$A466</f>
        <v>K0000</v>
      </c>
      <c r="B468" s="8" t="str">
        <f>+'[1]BASE RED COMERCIAL'!$H466</f>
        <v>CATAMARCA</v>
      </c>
      <c r="C468" s="7" t="s">
        <v>33</v>
      </c>
      <c r="D468" s="9" t="str">
        <f>+'[1]BASE RED COMERCIAL'!$E466</f>
        <v>SAN MARTIN</v>
      </c>
      <c r="E468" s="7">
        <f>+'[1]BASE RED COMERCIAL'!$F466</f>
        <v>761</v>
      </c>
      <c r="F468" s="14" t="str">
        <f>+'[1]BASE RED COMERCIAL'!$I466</f>
        <v>K4700ZAA</v>
      </c>
      <c r="G468" s="7" t="str">
        <f>+'[1]BASE RED COMERCIAL'!$D466</f>
        <v>SAN FDO DEL VALLE DE CATAMARCA</v>
      </c>
      <c r="H468" s="7" t="str">
        <f>+'[1]BASE RED COMERCIAL'!$B466</f>
        <v>CATAMARCA</v>
      </c>
      <c r="I468" s="8" t="str">
        <f>+'[1]BASE RED COMERCIAL'!$C466</f>
        <v>CAPITAL</v>
      </c>
      <c r="J468" s="10"/>
      <c r="K468" s="10"/>
    </row>
    <row r="469" spans="1:11" x14ac:dyDescent="0.25">
      <c r="A469" s="14" t="str">
        <f>+'[1]BASE RED COMERCIAL'!$A467</f>
        <v>K0002</v>
      </c>
      <c r="B469" s="8" t="str">
        <f>+'[1]BASE RED COMERCIAL'!$H467</f>
        <v>ANCASTI</v>
      </c>
      <c r="C469" s="7" t="s">
        <v>33</v>
      </c>
      <c r="D469" s="9" t="str">
        <f>+'[1]BASE RED COMERCIAL'!$E467</f>
        <v>CALLE PUBLICA</v>
      </c>
      <c r="E469" s="7">
        <f>+'[1]BASE RED COMERCIAL'!$F467</f>
        <v>0</v>
      </c>
      <c r="F469" s="14" t="str">
        <f>+'[1]BASE RED COMERCIAL'!$I467</f>
        <v>K4701ZAA</v>
      </c>
      <c r="G469" s="7" t="str">
        <f>+'[1]BASE RED COMERCIAL'!$D467</f>
        <v>ANCASTI</v>
      </c>
      <c r="H469" s="7" t="str">
        <f>+'[1]BASE RED COMERCIAL'!$B467</f>
        <v>CATAMARCA</v>
      </c>
      <c r="I469" s="8" t="str">
        <f>+'[1]BASE RED COMERCIAL'!$C467</f>
        <v>ANCASTI</v>
      </c>
      <c r="J469" s="10"/>
      <c r="K469" s="10"/>
    </row>
    <row r="470" spans="1:11" x14ac:dyDescent="0.25">
      <c r="A470" s="14" t="str">
        <f>+'[1]BASE RED COMERCIAL'!$A468</f>
        <v>K0004</v>
      </c>
      <c r="B470" s="8" t="str">
        <f>+'[1]BASE RED COMERCIAL'!$H468</f>
        <v>ANDALGALA</v>
      </c>
      <c r="C470" s="7" t="s">
        <v>33</v>
      </c>
      <c r="D470" s="9" t="str">
        <f>+'[1]BASE RED COMERCIAL'!$E468</f>
        <v>B RIVADAVIA</v>
      </c>
      <c r="E470" s="7">
        <f>+'[1]BASE RED COMERCIAL'!$F468</f>
        <v>198</v>
      </c>
      <c r="F470" s="14" t="str">
        <f>+'[1]BASE RED COMERCIAL'!$I468</f>
        <v>K4740ZAA</v>
      </c>
      <c r="G470" s="7" t="str">
        <f>+'[1]BASE RED COMERCIAL'!$D468</f>
        <v>ANDALGALA</v>
      </c>
      <c r="H470" s="7" t="str">
        <f>+'[1]BASE RED COMERCIAL'!$B468</f>
        <v>CATAMARCA</v>
      </c>
      <c r="I470" s="8" t="str">
        <f>+'[1]BASE RED COMERCIAL'!$C468</f>
        <v>ANDALGALA</v>
      </c>
      <c r="J470" s="10"/>
      <c r="K470" s="10"/>
    </row>
    <row r="471" spans="1:11" x14ac:dyDescent="0.25">
      <c r="A471" s="14" t="str">
        <f>+'[1]BASE RED COMERCIAL'!$A469</f>
        <v>K0005</v>
      </c>
      <c r="B471" s="8" t="str">
        <f>+'[1]BASE RED COMERCIAL'!$H469</f>
        <v>BAÃ‘ADO DE OVANTA</v>
      </c>
      <c r="C471" s="7" t="s">
        <v>33</v>
      </c>
      <c r="D471" s="9" t="str">
        <f>+'[1]BASE RED COMERCIAL'!$E469</f>
        <v>R PROV 30</v>
      </c>
      <c r="E471" s="7">
        <f>+'[1]BASE RED COMERCIAL'!$F469</f>
        <v>0</v>
      </c>
      <c r="F471" s="14" t="str">
        <f>+'[1]BASE RED COMERCIAL'!$I469</f>
        <v>K4721ZAA</v>
      </c>
      <c r="G471" s="7" t="str">
        <f>+'[1]BASE RED COMERCIAL'!$D469</f>
        <v>BAÃ‘ADO DE OVANTA</v>
      </c>
      <c r="H471" s="7" t="str">
        <f>+'[1]BASE RED COMERCIAL'!$B469</f>
        <v>CATAMARCA</v>
      </c>
      <c r="I471" s="8" t="str">
        <f>+'[1]BASE RED COMERCIAL'!$C469</f>
        <v>SANTA ROSA</v>
      </c>
      <c r="J471" s="10"/>
      <c r="K471" s="10"/>
    </row>
    <row r="472" spans="1:11" x14ac:dyDescent="0.25">
      <c r="A472" s="14" t="str">
        <f>+'[1]BASE RED COMERCIAL'!$A470</f>
        <v>K0006</v>
      </c>
      <c r="B472" s="8" t="str">
        <f>+'[1]BASE RED COMERCIAL'!$H470</f>
        <v>BELEN</v>
      </c>
      <c r="C472" s="7" t="s">
        <v>33</v>
      </c>
      <c r="D472" s="9" t="str">
        <f>+'[1]BASE RED COMERCIAL'!$E470</f>
        <v>SAN MARTIN</v>
      </c>
      <c r="E472" s="7">
        <f>+'[1]BASE RED COMERCIAL'!$F470</f>
        <v>543</v>
      </c>
      <c r="F472" s="14" t="str">
        <f>+'[1]BASE RED COMERCIAL'!$I470</f>
        <v>K4750ZAA</v>
      </c>
      <c r="G472" s="7" t="str">
        <f>+'[1]BASE RED COMERCIAL'!$D470</f>
        <v>BELEN</v>
      </c>
      <c r="H472" s="7" t="str">
        <f>+'[1]BASE RED COMERCIAL'!$B470</f>
        <v>CATAMARCA</v>
      </c>
      <c r="I472" s="8" t="str">
        <f>+'[1]BASE RED COMERCIAL'!$C470</f>
        <v>BELEN</v>
      </c>
      <c r="J472" s="10"/>
      <c r="K472" s="10"/>
    </row>
    <row r="473" spans="1:11" x14ac:dyDescent="0.25">
      <c r="A473" s="14" t="str">
        <f>+'[1]BASE RED COMERCIAL'!$A471</f>
        <v>K0008</v>
      </c>
      <c r="B473" s="8" t="str">
        <f>+'[1]BASE RED COMERCIAL'!$H471</f>
        <v>CHUMBICHA</v>
      </c>
      <c r="C473" s="7" t="s">
        <v>33</v>
      </c>
      <c r="D473" s="9" t="str">
        <f>+'[1]BASE RED COMERCIAL'!$E471</f>
        <v>MANUEL BELGRANO</v>
      </c>
      <c r="E473" s="7">
        <f>+'[1]BASE RED COMERCIAL'!$F471</f>
        <v>200</v>
      </c>
      <c r="F473" s="14" t="str">
        <f>+'[1]BASE RED COMERCIAL'!$I471</f>
        <v>K4728ZAA</v>
      </c>
      <c r="G473" s="7" t="str">
        <f>+'[1]BASE RED COMERCIAL'!$D471</f>
        <v>CHUMBICHA</v>
      </c>
      <c r="H473" s="7" t="str">
        <f>+'[1]BASE RED COMERCIAL'!$B471</f>
        <v>CATAMARCA</v>
      </c>
      <c r="I473" s="8" t="str">
        <f>+'[1]BASE RED COMERCIAL'!$C471</f>
        <v>CAPAYAN</v>
      </c>
      <c r="J473" s="10"/>
      <c r="K473" s="10"/>
    </row>
    <row r="474" spans="1:11" x14ac:dyDescent="0.25">
      <c r="A474" s="14" t="str">
        <f>+'[1]BASE RED COMERCIAL'!$A472</f>
        <v>K0012</v>
      </c>
      <c r="B474" s="8" t="str">
        <f>+'[1]BASE RED COMERCIAL'!$H472</f>
        <v>COPACABANA</v>
      </c>
      <c r="C474" s="7" t="s">
        <v>33</v>
      </c>
      <c r="D474" s="9" t="str">
        <f>+'[1]BASE RED COMERCIAL'!$E472</f>
        <v>R NAC 60</v>
      </c>
      <c r="E474" s="7">
        <f>+'[1]BASE RED COMERCIAL'!$F472</f>
        <v>0</v>
      </c>
      <c r="F474" s="14" t="str">
        <f>+'[1]BASE RED COMERCIAL'!$I472</f>
        <v>K5333ZAA</v>
      </c>
      <c r="G474" s="7" t="str">
        <f>+'[1]BASE RED COMERCIAL'!$D472</f>
        <v>COPACABANA</v>
      </c>
      <c r="H474" s="7" t="str">
        <f>+'[1]BASE RED COMERCIAL'!$B472</f>
        <v>CATAMARCA</v>
      </c>
      <c r="I474" s="8" t="str">
        <f>+'[1]BASE RED COMERCIAL'!$C472</f>
        <v>TINOGASTA</v>
      </c>
      <c r="J474" s="10"/>
      <c r="K474" s="10"/>
    </row>
    <row r="475" spans="1:11" x14ac:dyDescent="0.25">
      <c r="A475" s="14" t="str">
        <f>+'[1]BASE RED COMERCIAL'!$A473</f>
        <v>K0014</v>
      </c>
      <c r="B475" s="8" t="str">
        <f>+'[1]BASE RED COMERCIAL'!$H473</f>
        <v>EL ALAMITO</v>
      </c>
      <c r="C475" s="7" t="s">
        <v>33</v>
      </c>
      <c r="D475" s="9" t="str">
        <f>+'[1]BASE RED COMERCIAL'!$E473</f>
        <v>MARTIN DE GUEMES S/N</v>
      </c>
      <c r="E475" s="7">
        <f>+'[1]BASE RED COMERCIAL'!$F473</f>
        <v>0</v>
      </c>
      <c r="F475" s="14" t="str">
        <f>+'[1]BASE RED COMERCIAL'!$I473</f>
        <v>K4743ZAA</v>
      </c>
      <c r="G475" s="7" t="str">
        <f>+'[1]BASE RED COMERCIAL'!$D473</f>
        <v>EL ALAMITO</v>
      </c>
      <c r="H475" s="7" t="str">
        <f>+'[1]BASE RED COMERCIAL'!$B473</f>
        <v>CATAMARCA</v>
      </c>
      <c r="I475" s="8" t="str">
        <f>+'[1]BASE RED COMERCIAL'!$C473</f>
        <v>ANDALGALA</v>
      </c>
      <c r="J475" s="10"/>
      <c r="K475" s="10"/>
    </row>
    <row r="476" spans="1:11" x14ac:dyDescent="0.25">
      <c r="A476" s="14" t="str">
        <f>+'[1]BASE RED COMERCIAL'!$A474</f>
        <v>K0016</v>
      </c>
      <c r="B476" s="8" t="str">
        <f>+'[1]BASE RED COMERCIAL'!$H474</f>
        <v>EL ALTO</v>
      </c>
      <c r="C476" s="7" t="s">
        <v>33</v>
      </c>
      <c r="D476" s="9" t="str">
        <f>+'[1]BASE RED COMERCIAL'!$E474</f>
        <v>GRAL MARIANO NECOCHEA</v>
      </c>
      <c r="E476" s="7">
        <f>+'[1]BASE RED COMERCIAL'!$F474</f>
        <v>0</v>
      </c>
      <c r="F476" s="14" t="str">
        <f>+'[1]BASE RED COMERCIAL'!$I474</f>
        <v>K4235ZAC</v>
      </c>
      <c r="G476" s="7" t="str">
        <f>+'[1]BASE RED COMERCIAL'!$D474</f>
        <v>EL ALTO</v>
      </c>
      <c r="H476" s="7" t="str">
        <f>+'[1]BASE RED COMERCIAL'!$B474</f>
        <v>CATAMARCA</v>
      </c>
      <c r="I476" s="8" t="str">
        <f>+'[1]BASE RED COMERCIAL'!$C474</f>
        <v>EL ALTO</v>
      </c>
      <c r="J476" s="10"/>
      <c r="K476" s="10"/>
    </row>
    <row r="477" spans="1:11" x14ac:dyDescent="0.25">
      <c r="A477" s="14" t="str">
        <f>+'[1]BASE RED COMERCIAL'!$A475</f>
        <v>K0020</v>
      </c>
      <c r="B477" s="8" t="str">
        <f>+'[1]BASE RED COMERCIAL'!$H475</f>
        <v>EL RODEO</v>
      </c>
      <c r="C477" s="7" t="s">
        <v>33</v>
      </c>
      <c r="D477" s="9" t="str">
        <f>+'[1]BASE RED COMERCIAL'!$E475</f>
        <v>LAS DALIAS</v>
      </c>
      <c r="E477" s="7">
        <f>+'[1]BASE RED COMERCIAL'!$F475</f>
        <v>0</v>
      </c>
      <c r="F477" s="14" t="str">
        <f>+'[1]BASE RED COMERCIAL'!$I475</f>
        <v>K4715ZAB</v>
      </c>
      <c r="G477" s="7" t="str">
        <f>+'[1]BASE RED COMERCIAL'!$D475</f>
        <v>EL RODEO</v>
      </c>
      <c r="H477" s="7" t="str">
        <f>+'[1]BASE RED COMERCIAL'!$B475</f>
        <v>CATAMARCA</v>
      </c>
      <c r="I477" s="8" t="str">
        <f>+'[1]BASE RED COMERCIAL'!$C475</f>
        <v>AMBATO</v>
      </c>
      <c r="J477" s="10"/>
      <c r="K477" s="10"/>
    </row>
    <row r="478" spans="1:11" x14ac:dyDescent="0.25">
      <c r="A478" s="14" t="str">
        <f>+'[1]BASE RED COMERCIAL'!$A476</f>
        <v>K0022</v>
      </c>
      <c r="B478" s="8" t="str">
        <f>+'[1]BASE RED COMERCIAL'!$H476</f>
        <v>ESQUIU</v>
      </c>
      <c r="C478" s="7" t="s">
        <v>33</v>
      </c>
      <c r="D478" s="9" t="str">
        <f>+'[1]BASE RED COMERCIAL'!$E476</f>
        <v>CALLE SIN NOMBRE S/N</v>
      </c>
      <c r="E478" s="7">
        <f>+'[1]BASE RED COMERCIAL'!$F476</f>
        <v>0</v>
      </c>
      <c r="F478" s="14" t="str">
        <f>+'[1]BASE RED COMERCIAL'!$I476</f>
        <v>K5261ZAA</v>
      </c>
      <c r="G478" s="7" t="str">
        <f>+'[1]BASE RED COMERCIAL'!$D476</f>
        <v>ESQUIU</v>
      </c>
      <c r="H478" s="7" t="str">
        <f>+'[1]BASE RED COMERCIAL'!$B476</f>
        <v>CATAMARCA</v>
      </c>
      <c r="I478" s="8" t="str">
        <f>+'[1]BASE RED COMERCIAL'!$C476</f>
        <v>LA PAZ</v>
      </c>
      <c r="J478" s="10"/>
      <c r="K478" s="10"/>
    </row>
    <row r="479" spans="1:11" x14ac:dyDescent="0.25">
      <c r="A479" s="14" t="str">
        <f>+'[1]BASE RED COMERCIAL'!$A477</f>
        <v>K0024</v>
      </c>
      <c r="B479" s="8" t="str">
        <f>+'[1]BASE RED COMERCIAL'!$H477</f>
        <v>FIAMBALA</v>
      </c>
      <c r="C479" s="7" t="s">
        <v>33</v>
      </c>
      <c r="D479" s="9" t="str">
        <f>+'[1]BASE RED COMERCIAL'!$E477</f>
        <v>AV LAS AMERICAS</v>
      </c>
      <c r="E479" s="7">
        <f>+'[1]BASE RED COMERCIAL'!$F477</f>
        <v>0</v>
      </c>
      <c r="F479" s="14" t="str">
        <f>+'[1]BASE RED COMERCIAL'!$I477</f>
        <v>K5345ZAA</v>
      </c>
      <c r="G479" s="7" t="str">
        <f>+'[1]BASE RED COMERCIAL'!$D477</f>
        <v>FIAMBALA</v>
      </c>
      <c r="H479" s="7" t="str">
        <f>+'[1]BASE RED COMERCIAL'!$B477</f>
        <v>CATAMARCA</v>
      </c>
      <c r="I479" s="8" t="str">
        <f>+'[1]BASE RED COMERCIAL'!$C477</f>
        <v>TINOGASTA</v>
      </c>
      <c r="J479" s="10"/>
      <c r="K479" s="10"/>
    </row>
    <row r="480" spans="1:11" x14ac:dyDescent="0.25">
      <c r="A480" s="14" t="str">
        <f>+'[1]BASE RED COMERCIAL'!$A478</f>
        <v>K0028</v>
      </c>
      <c r="B480" s="8" t="str">
        <f>+'[1]BASE RED COMERCIAL'!$H478</f>
        <v>HUALFIN</v>
      </c>
      <c r="C480" s="7" t="s">
        <v>33</v>
      </c>
      <c r="D480" s="9" t="str">
        <f>+'[1]BASE RED COMERCIAL'!$E478</f>
        <v>MANUEL BELGRANO</v>
      </c>
      <c r="E480" s="7">
        <f>+'[1]BASE RED COMERCIAL'!$F478</f>
        <v>0</v>
      </c>
      <c r="F480" s="14" t="str">
        <f>+'[1]BASE RED COMERCIAL'!$I478</f>
        <v>K4751ZAB</v>
      </c>
      <c r="G480" s="7" t="str">
        <f>+'[1]BASE RED COMERCIAL'!$D478</f>
        <v>HUALFIN</v>
      </c>
      <c r="H480" s="7" t="str">
        <f>+'[1]BASE RED COMERCIAL'!$B478</f>
        <v>CATAMARCA</v>
      </c>
      <c r="I480" s="8" t="str">
        <f>+'[1]BASE RED COMERCIAL'!$C478</f>
        <v>BELEN</v>
      </c>
      <c r="J480" s="10"/>
      <c r="K480" s="10"/>
    </row>
    <row r="481" spans="1:11" x14ac:dyDescent="0.25">
      <c r="A481" s="14" t="str">
        <f>+'[1]BASE RED COMERCIAL'!$A479</f>
        <v>K0030</v>
      </c>
      <c r="B481" s="8" t="str">
        <f>+'[1]BASE RED COMERCIAL'!$H479</f>
        <v>HUILLAPIMA</v>
      </c>
      <c r="C481" s="7" t="s">
        <v>33</v>
      </c>
      <c r="D481" s="9" t="str">
        <f>+'[1]BASE RED COMERCIAL'!$E479</f>
        <v>CALLE PUBLICA S/N</v>
      </c>
      <c r="E481" s="7">
        <f>+'[1]BASE RED COMERCIAL'!$F479</f>
        <v>0</v>
      </c>
      <c r="F481" s="14" t="str">
        <f>+'[1]BASE RED COMERCIAL'!$I479</f>
        <v>K4728ZAB</v>
      </c>
      <c r="G481" s="7" t="str">
        <f>+'[1]BASE RED COMERCIAL'!$D479</f>
        <v>HUILLAPIMA</v>
      </c>
      <c r="H481" s="7" t="str">
        <f>+'[1]BASE RED COMERCIAL'!$B479</f>
        <v>CATAMARCA</v>
      </c>
      <c r="I481" s="8" t="str">
        <f>+'[1]BASE RED COMERCIAL'!$C479</f>
        <v>CAPAYAN</v>
      </c>
      <c r="J481" s="10"/>
      <c r="K481" s="10"/>
    </row>
    <row r="482" spans="1:11" x14ac:dyDescent="0.25">
      <c r="A482" s="14" t="str">
        <f>+'[1]BASE RED COMERCIAL'!$A480</f>
        <v>K0032</v>
      </c>
      <c r="B482" s="8" t="str">
        <f>+'[1]BASE RED COMERCIAL'!$H480</f>
        <v>LA MERCED</v>
      </c>
      <c r="C482" s="7" t="s">
        <v>33</v>
      </c>
      <c r="D482" s="9" t="str">
        <f>+'[1]BASE RED COMERCIAL'!$E480</f>
        <v>SEGUNDO MATIAS AREDES</v>
      </c>
      <c r="E482" s="7">
        <f>+'[1]BASE RED COMERCIAL'!$F480</f>
        <v>0</v>
      </c>
      <c r="F482" s="14" t="str">
        <f>+'[1]BASE RED COMERCIAL'!$I480</f>
        <v>K4718ZAC</v>
      </c>
      <c r="G482" s="7" t="str">
        <f>+'[1]BASE RED COMERCIAL'!$D480</f>
        <v>LA MERCED</v>
      </c>
      <c r="H482" s="7" t="str">
        <f>+'[1]BASE RED COMERCIAL'!$B480</f>
        <v>CATAMARCA</v>
      </c>
      <c r="I482" s="8" t="str">
        <f>+'[1]BASE RED COMERCIAL'!$C480</f>
        <v>PACLIN</v>
      </c>
      <c r="J482" s="10"/>
      <c r="K482" s="10"/>
    </row>
    <row r="483" spans="1:11" x14ac:dyDescent="0.25">
      <c r="A483" s="14" t="str">
        <f>+'[1]BASE RED COMERCIAL'!$A481</f>
        <v>K0034</v>
      </c>
      <c r="B483" s="8" t="str">
        <f>+'[1]BASE RED COMERCIAL'!$H481</f>
        <v>LA PUERTA</v>
      </c>
      <c r="C483" s="7" t="s">
        <v>33</v>
      </c>
      <c r="D483" s="9" t="str">
        <f>+'[1]BASE RED COMERCIAL'!$E481</f>
        <v>CALLE PUBLICA S/N</v>
      </c>
      <c r="E483" s="7">
        <f>+'[1]BASE RED COMERCIAL'!$F481</f>
        <v>0</v>
      </c>
      <c r="F483" s="14" t="str">
        <f>+'[1]BASE RED COMERCIAL'!$I481</f>
        <v>K4711ZAA</v>
      </c>
      <c r="G483" s="7" t="str">
        <f>+'[1]BASE RED COMERCIAL'!$D481</f>
        <v>LA PUERTA</v>
      </c>
      <c r="H483" s="7" t="str">
        <f>+'[1]BASE RED COMERCIAL'!$B481</f>
        <v>CATAMARCA</v>
      </c>
      <c r="I483" s="8" t="str">
        <f>+'[1]BASE RED COMERCIAL'!$C481</f>
        <v>AMBATO</v>
      </c>
      <c r="J483" s="10"/>
      <c r="K483" s="10"/>
    </row>
    <row r="484" spans="1:11" x14ac:dyDescent="0.25">
      <c r="A484" s="14" t="str">
        <f>+'[1]BASE RED COMERCIAL'!$A482</f>
        <v>K0038</v>
      </c>
      <c r="B484" s="8" t="str">
        <f>+'[1]BASE RED COMERCIAL'!$H482</f>
        <v>LAVALLE</v>
      </c>
      <c r="C484" s="7" t="s">
        <v>33</v>
      </c>
      <c r="D484" s="9" t="str">
        <f>+'[1]BASE RED COMERCIAL'!$E482</f>
        <v>R NAC 64</v>
      </c>
      <c r="E484" s="7">
        <f>+'[1]BASE RED COMERCIAL'!$F482</f>
        <v>0</v>
      </c>
      <c r="F484" s="14" t="str">
        <f>+'[1]BASE RED COMERCIAL'!$I482</f>
        <v>K5347ZAA</v>
      </c>
      <c r="G484" s="7" t="str">
        <f>+'[1]BASE RED COMERCIAL'!$D482</f>
        <v>LAVALLE</v>
      </c>
      <c r="H484" s="7" t="str">
        <f>+'[1]BASE RED COMERCIAL'!$B482</f>
        <v>CATAMARCA</v>
      </c>
      <c r="I484" s="8" t="str">
        <f>+'[1]BASE RED COMERCIAL'!$C482</f>
        <v>SANTA ROSA</v>
      </c>
      <c r="J484" s="10"/>
      <c r="K484" s="10"/>
    </row>
    <row r="485" spans="1:11" x14ac:dyDescent="0.25">
      <c r="A485" s="14" t="str">
        <f>+'[1]BASE RED COMERCIAL'!$A483</f>
        <v>K0040</v>
      </c>
      <c r="B485" s="8" t="str">
        <f>+'[1]BASE RED COMERCIAL'!$H483</f>
        <v>LONDRES (BELEN)</v>
      </c>
      <c r="C485" s="7" t="s">
        <v>33</v>
      </c>
      <c r="D485" s="9" t="str">
        <f>+'[1]BASE RED COMERCIAL'!$E483</f>
        <v>JUAN PEREZ DE ZURITA</v>
      </c>
      <c r="E485" s="7">
        <f>+'[1]BASE RED COMERCIAL'!$F483</f>
        <v>0</v>
      </c>
      <c r="F485" s="14" t="str">
        <f>+'[1]BASE RED COMERCIAL'!$I483</f>
        <v>K4753ZAB</v>
      </c>
      <c r="G485" s="7" t="str">
        <f>+'[1]BASE RED COMERCIAL'!$D483</f>
        <v>LONDRES</v>
      </c>
      <c r="H485" s="7" t="str">
        <f>+'[1]BASE RED COMERCIAL'!$B483</f>
        <v>CATAMARCA</v>
      </c>
      <c r="I485" s="8" t="str">
        <f>+'[1]BASE RED COMERCIAL'!$C483</f>
        <v>BELEN</v>
      </c>
      <c r="J485" s="10"/>
      <c r="K485" s="10"/>
    </row>
    <row r="486" spans="1:11" x14ac:dyDescent="0.25">
      <c r="A486" s="14" t="str">
        <f>+'[1]BASE RED COMERCIAL'!$A484</f>
        <v>K0042</v>
      </c>
      <c r="B486" s="8" t="str">
        <f>+'[1]BASE RED COMERCIAL'!$H484</f>
        <v>LOS VARELAS</v>
      </c>
      <c r="C486" s="7" t="s">
        <v>33</v>
      </c>
      <c r="D486" s="9" t="str">
        <f>+'[1]BASE RED COMERCIAL'!$E484</f>
        <v>CALLE SIN NOMBRE SIN NUMERO</v>
      </c>
      <c r="E486" s="7">
        <f>+'[1]BASE RED COMERCIAL'!$F484</f>
        <v>0</v>
      </c>
      <c r="F486" s="14" t="str">
        <f>+'[1]BASE RED COMERCIAL'!$I484</f>
        <v>K4704ZAA</v>
      </c>
      <c r="G486" s="7" t="str">
        <f>+'[1]BASE RED COMERCIAL'!$D484</f>
        <v>LOS VARELA</v>
      </c>
      <c r="H486" s="7" t="str">
        <f>+'[1]BASE RED COMERCIAL'!$B484</f>
        <v>CATAMARCA</v>
      </c>
      <c r="I486" s="8" t="str">
        <f>+'[1]BASE RED COMERCIAL'!$C484</f>
        <v>AMBATO</v>
      </c>
      <c r="J486" s="10"/>
      <c r="K486" s="10"/>
    </row>
    <row r="487" spans="1:11" x14ac:dyDescent="0.25">
      <c r="A487" s="14" t="str">
        <f>+'[1]BASE RED COMERCIAL'!$A485</f>
        <v>K0044</v>
      </c>
      <c r="B487" s="8" t="str">
        <f>+'[1]BASE RED COMERCIAL'!$H485</f>
        <v>LOS ALTOS</v>
      </c>
      <c r="C487" s="7" t="s">
        <v>33</v>
      </c>
      <c r="D487" s="9" t="str">
        <f>+'[1]BASE RED COMERCIAL'!$E485</f>
        <v>SOBRE RUTA NAC NÂº 64</v>
      </c>
      <c r="E487" s="7">
        <f>+'[1]BASE RED COMERCIAL'!$F485</f>
        <v>0</v>
      </c>
      <c r="F487" s="14" t="str">
        <f>+'[1]BASE RED COMERCIAL'!$I485</f>
        <v>K4723ZAA</v>
      </c>
      <c r="G487" s="7" t="str">
        <f>+'[1]BASE RED COMERCIAL'!$D485</f>
        <v>LOS ALTOS</v>
      </c>
      <c r="H487" s="7" t="str">
        <f>+'[1]BASE RED COMERCIAL'!$B485</f>
        <v>CATAMARCA</v>
      </c>
      <c r="I487" s="8" t="str">
        <f>+'[1]BASE RED COMERCIAL'!$C485</f>
        <v>SANTA ROSA</v>
      </c>
      <c r="J487" s="10"/>
      <c r="K487" s="10"/>
    </row>
    <row r="488" spans="1:11" x14ac:dyDescent="0.25">
      <c r="A488" s="14" t="str">
        <f>+'[1]BASE RED COMERCIAL'!$A486</f>
        <v>K0046</v>
      </c>
      <c r="B488" s="8" t="str">
        <f>+'[1]BASE RED COMERCIAL'!$H486</f>
        <v>MIRAFLORES</v>
      </c>
      <c r="C488" s="7" t="s">
        <v>33</v>
      </c>
      <c r="D488" s="9" t="str">
        <f>+'[1]BASE RED COMERCIAL'!$E486</f>
        <v>PRINCIPAL</v>
      </c>
      <c r="E488" s="7">
        <f>+'[1]BASE RED COMERCIAL'!$F486</f>
        <v>0</v>
      </c>
      <c r="F488" s="14" t="str">
        <f>+'[1]BASE RED COMERCIAL'!$I486</f>
        <v>K4724ZAB</v>
      </c>
      <c r="G488" s="7" t="str">
        <f>+'[1]BASE RED COMERCIAL'!$D486</f>
        <v>MIRAFLORES</v>
      </c>
      <c r="H488" s="7" t="str">
        <f>+'[1]BASE RED COMERCIAL'!$B486</f>
        <v>CATAMARCA</v>
      </c>
      <c r="I488" s="8" t="str">
        <f>+'[1]BASE RED COMERCIAL'!$C486</f>
        <v>CAPAYAN</v>
      </c>
      <c r="J488" s="10"/>
      <c r="K488" s="10"/>
    </row>
    <row r="489" spans="1:11" x14ac:dyDescent="0.25">
      <c r="A489" s="14" t="str">
        <f>+'[1]BASE RED COMERCIAL'!$A487</f>
        <v>K0048</v>
      </c>
      <c r="B489" s="8" t="str">
        <f>+'[1]BASE RED COMERCIAL'!$H487</f>
        <v>MUTQUIN</v>
      </c>
      <c r="C489" s="7" t="s">
        <v>33</v>
      </c>
      <c r="D489" s="9" t="str">
        <f>+'[1]BASE RED COMERCIAL'!$E487</f>
        <v>PASAJE DEL BICENTENARIO</v>
      </c>
      <c r="E489" s="7">
        <f>+'[1]BASE RED COMERCIAL'!$F487</f>
        <v>0</v>
      </c>
      <c r="F489" s="14" t="str">
        <f>+'[1]BASE RED COMERCIAL'!$I487</f>
        <v>K5315ZAB</v>
      </c>
      <c r="G489" s="7" t="str">
        <f>+'[1]BASE RED COMERCIAL'!$D487</f>
        <v>MUTQUIN</v>
      </c>
      <c r="H489" s="7" t="str">
        <f>+'[1]BASE RED COMERCIAL'!$B487</f>
        <v>CATAMARCA</v>
      </c>
      <c r="I489" s="8" t="str">
        <f>+'[1]BASE RED COMERCIAL'!$C487</f>
        <v>POMAN</v>
      </c>
      <c r="J489" s="10"/>
      <c r="K489" s="10"/>
    </row>
    <row r="490" spans="1:11" x14ac:dyDescent="0.25">
      <c r="A490" s="14" t="str">
        <f>+'[1]BASE RED COMERCIAL'!$A488</f>
        <v>K0050</v>
      </c>
      <c r="B490" s="8" t="str">
        <f>+'[1]BASE RED COMERCIAL'!$H488</f>
        <v>PIEDRA BLANCA</v>
      </c>
      <c r="C490" s="7" t="s">
        <v>33</v>
      </c>
      <c r="D490" s="9" t="str">
        <f>+'[1]BASE RED COMERCIAL'!$E488</f>
        <v>R PROV 41</v>
      </c>
      <c r="E490" s="7">
        <f>+'[1]BASE RED COMERCIAL'!$F488</f>
        <v>0</v>
      </c>
      <c r="F490" s="14" t="str">
        <f>+'[1]BASE RED COMERCIAL'!$I488</f>
        <v>K4709ZAA</v>
      </c>
      <c r="G490" s="7" t="str">
        <f>+'[1]BASE RED COMERCIAL'!$D488</f>
        <v>SAN JOSE DE PIEDRA BLANCA</v>
      </c>
      <c r="H490" s="7" t="str">
        <f>+'[1]BASE RED COMERCIAL'!$B488</f>
        <v>CATAMARCA</v>
      </c>
      <c r="I490" s="8" t="str">
        <f>+'[1]BASE RED COMERCIAL'!$C488</f>
        <v>FRAY MAMERTO ESQUIU</v>
      </c>
      <c r="J490" s="10"/>
      <c r="K490" s="10"/>
    </row>
    <row r="491" spans="1:11" x14ac:dyDescent="0.25">
      <c r="A491" s="14" t="str">
        <f>+'[1]BASE RED COMERCIAL'!$A489</f>
        <v>K0052</v>
      </c>
      <c r="B491" s="8" t="str">
        <f>+'[1]BASE RED COMERCIAL'!$H489</f>
        <v>POMAN</v>
      </c>
      <c r="C491" s="7" t="s">
        <v>33</v>
      </c>
      <c r="D491" s="9" t="str">
        <f>+'[1]BASE RED COMERCIAL'!$E489</f>
        <v>JERONIMO DE CABRERA</v>
      </c>
      <c r="E491" s="7">
        <f>+'[1]BASE RED COMERCIAL'!$F489</f>
        <v>143</v>
      </c>
      <c r="F491" s="14" t="str">
        <f>+'[1]BASE RED COMERCIAL'!$I489</f>
        <v>K5315ZAA</v>
      </c>
      <c r="G491" s="7" t="str">
        <f>+'[1]BASE RED COMERCIAL'!$D489</f>
        <v>POMAN</v>
      </c>
      <c r="H491" s="7" t="str">
        <f>+'[1]BASE RED COMERCIAL'!$B489</f>
        <v>CATAMARCA</v>
      </c>
      <c r="I491" s="8" t="str">
        <f>+'[1]BASE RED COMERCIAL'!$C489</f>
        <v>POMAN</v>
      </c>
      <c r="J491" s="10"/>
      <c r="K491" s="10"/>
    </row>
    <row r="492" spans="1:11" x14ac:dyDescent="0.25">
      <c r="A492" s="14" t="str">
        <f>+'[1]BASE RED COMERCIAL'!$A490</f>
        <v>K0054</v>
      </c>
      <c r="B492" s="8" t="str">
        <f>+'[1]BASE RED COMERCIAL'!$H490</f>
        <v>RECREO</v>
      </c>
      <c r="C492" s="7" t="s">
        <v>33</v>
      </c>
      <c r="D492" s="9" t="str">
        <f>+'[1]BASE RED COMERCIAL'!$E490</f>
        <v>DR RAUL SABAGH</v>
      </c>
      <c r="E492" s="7">
        <f>+'[1]BASE RED COMERCIAL'!$F490</f>
        <v>100</v>
      </c>
      <c r="F492" s="14" t="str">
        <f>+'[1]BASE RED COMERCIAL'!$I490</f>
        <v>K5260ZAA</v>
      </c>
      <c r="G492" s="7" t="str">
        <f>+'[1]BASE RED COMERCIAL'!$D490</f>
        <v>RECREO</v>
      </c>
      <c r="H492" s="7" t="str">
        <f>+'[1]BASE RED COMERCIAL'!$B490</f>
        <v>CATAMARCA</v>
      </c>
      <c r="I492" s="8" t="str">
        <f>+'[1]BASE RED COMERCIAL'!$C490</f>
        <v>LA PAZ</v>
      </c>
      <c r="J492" s="10"/>
      <c r="K492" s="10"/>
    </row>
    <row r="493" spans="1:11" x14ac:dyDescent="0.25">
      <c r="A493" s="14" t="str">
        <f>+'[1]BASE RED COMERCIAL'!$A491</f>
        <v>K0056</v>
      </c>
      <c r="B493" s="8" t="str">
        <f>+'[1]BASE RED COMERCIAL'!$H491</f>
        <v>SAN ANTONIO DE LA PAZ</v>
      </c>
      <c r="C493" s="7" t="s">
        <v>33</v>
      </c>
      <c r="D493" s="9" t="str">
        <f>+'[1]BASE RED COMERCIAL'!$E491</f>
        <v>JOSE E COLOMBRES</v>
      </c>
      <c r="E493" s="7">
        <f>+'[1]BASE RED COMERCIAL'!$F491</f>
        <v>0</v>
      </c>
      <c r="F493" s="14" t="str">
        <f>+'[1]BASE RED COMERCIAL'!$I491</f>
        <v>K5264ZAA</v>
      </c>
      <c r="G493" s="7" t="str">
        <f>+'[1]BASE RED COMERCIAL'!$D491</f>
        <v>SAN ANTONIO DE LA PAZ</v>
      </c>
      <c r="H493" s="7" t="str">
        <f>+'[1]BASE RED COMERCIAL'!$B491</f>
        <v>CATAMARCA</v>
      </c>
      <c r="I493" s="8" t="str">
        <f>+'[1]BASE RED COMERCIAL'!$C491</f>
        <v>LA PAZ</v>
      </c>
      <c r="J493" s="10"/>
      <c r="K493" s="10"/>
    </row>
    <row r="494" spans="1:11" x14ac:dyDescent="0.25">
      <c r="A494" s="14" t="str">
        <f>+'[1]BASE RED COMERCIAL'!$A492</f>
        <v>K0058</v>
      </c>
      <c r="B494" s="8" t="str">
        <f>+'[1]BASE RED COMERCIAL'!$H492</f>
        <v>SAN JOSE</v>
      </c>
      <c r="C494" s="7" t="s">
        <v>33</v>
      </c>
      <c r="D494" s="9" t="str">
        <f>+'[1]BASE RED COMERCIAL'!$E492</f>
        <v>16 DE AGOSTO</v>
      </c>
      <c r="E494" s="7">
        <f>+'[1]BASE RED COMERCIAL'!$F492</f>
        <v>100</v>
      </c>
      <c r="F494" s="14" t="str">
        <f>+'[1]BASE RED COMERCIAL'!$I492</f>
        <v>K4139ZAB</v>
      </c>
      <c r="G494" s="7" t="str">
        <f>+'[1]BASE RED COMERCIAL'!$D492</f>
        <v>SAN JOSE</v>
      </c>
      <c r="H494" s="7" t="str">
        <f>+'[1]BASE RED COMERCIAL'!$B492</f>
        <v>CATAMARCA</v>
      </c>
      <c r="I494" s="8" t="str">
        <f>+'[1]BASE RED COMERCIAL'!$C492</f>
        <v>SANTA MARIA</v>
      </c>
      <c r="J494" s="10"/>
      <c r="K494" s="10"/>
    </row>
    <row r="495" spans="1:11" x14ac:dyDescent="0.25">
      <c r="A495" s="14" t="str">
        <f>+'[1]BASE RED COMERCIAL'!$A493</f>
        <v>K0060</v>
      </c>
      <c r="B495" s="8" t="str">
        <f>+'[1]BASE RED COMERCIAL'!$H493</f>
        <v>SANTA MARIA</v>
      </c>
      <c r="C495" s="7" t="s">
        <v>33</v>
      </c>
      <c r="D495" s="9" t="str">
        <f>+'[1]BASE RED COMERCIAL'!$E493</f>
        <v>DR T DE LA QUINTANA</v>
      </c>
      <c r="E495" s="7">
        <f>+'[1]BASE RED COMERCIAL'!$F493</f>
        <v>375</v>
      </c>
      <c r="F495" s="14" t="str">
        <f>+'[1]BASE RED COMERCIAL'!$I493</f>
        <v>K4011ZAA</v>
      </c>
      <c r="G495" s="7" t="str">
        <f>+'[1]BASE RED COMERCIAL'!$D493</f>
        <v>SANTA MARIA</v>
      </c>
      <c r="H495" s="7" t="str">
        <f>+'[1]BASE RED COMERCIAL'!$B493</f>
        <v>CATAMARCA</v>
      </c>
      <c r="I495" s="8" t="str">
        <f>+'[1]BASE RED COMERCIAL'!$C493</f>
        <v>SANTA MARIA</v>
      </c>
      <c r="J495" s="10"/>
      <c r="K495" s="10"/>
    </row>
    <row r="496" spans="1:11" x14ac:dyDescent="0.25">
      <c r="A496" s="14" t="str">
        <f>+'[1]BASE RED COMERCIAL'!$A494</f>
        <v>K0062</v>
      </c>
      <c r="B496" s="8" t="str">
        <f>+'[1]BASE RED COMERCIAL'!$H494</f>
        <v>SANTA ROSA</v>
      </c>
      <c r="C496" s="7" t="s">
        <v>33</v>
      </c>
      <c r="D496" s="9" t="str">
        <f>+'[1]BASE RED COMERCIAL'!$E494</f>
        <v>SGTO CABRAL</v>
      </c>
      <c r="E496" s="7">
        <f>+'[1]BASE RED COMERCIAL'!$F494</f>
        <v>50</v>
      </c>
      <c r="F496" s="14" t="str">
        <f>+'[1]BASE RED COMERCIAL'!$I494</f>
        <v>K5343ZAA</v>
      </c>
      <c r="G496" s="7" t="str">
        <f>+'[1]BASE RED COMERCIAL'!$D494</f>
        <v>SANTA ROSA</v>
      </c>
      <c r="H496" s="7" t="str">
        <f>+'[1]BASE RED COMERCIAL'!$B494</f>
        <v>CATAMARCA</v>
      </c>
      <c r="I496" s="8" t="str">
        <f>+'[1]BASE RED COMERCIAL'!$C494</f>
        <v>TINOGASTA</v>
      </c>
      <c r="J496" s="10"/>
      <c r="K496" s="10"/>
    </row>
    <row r="497" spans="1:11" x14ac:dyDescent="0.25">
      <c r="A497" s="14" t="str">
        <f>+'[1]BASE RED COMERCIAL'!$A495</f>
        <v>K0064</v>
      </c>
      <c r="B497" s="8" t="str">
        <f>+'[1]BASE RED COMERCIAL'!$H495</f>
        <v>SAUJIL</v>
      </c>
      <c r="C497" s="7" t="s">
        <v>33</v>
      </c>
      <c r="D497" s="9" t="str">
        <f>+'[1]BASE RED COMERCIAL'!$E495</f>
        <v>E DE NIEVA Y CASTILLA</v>
      </c>
      <c r="E497" s="7">
        <f>+'[1]BASE RED COMERCIAL'!$F495</f>
        <v>410</v>
      </c>
      <c r="F497" s="14" t="str">
        <f>+'[1]BASE RED COMERCIAL'!$I495</f>
        <v>K5321ZAA</v>
      </c>
      <c r="G497" s="7" t="str">
        <f>+'[1]BASE RED COMERCIAL'!$D495</f>
        <v>SAUJIL</v>
      </c>
      <c r="H497" s="7" t="str">
        <f>+'[1]BASE RED COMERCIAL'!$B495</f>
        <v>CATAMARCA</v>
      </c>
      <c r="I497" s="8" t="str">
        <f>+'[1]BASE RED COMERCIAL'!$C495</f>
        <v>POMAN</v>
      </c>
      <c r="J497" s="10"/>
      <c r="K497" s="10"/>
    </row>
    <row r="498" spans="1:11" x14ac:dyDescent="0.25">
      <c r="A498" s="14" t="str">
        <f>+'[1]BASE RED COMERCIAL'!$A496</f>
        <v>K0066</v>
      </c>
      <c r="B498" s="8" t="str">
        <f>+'[1]BASE RED COMERCIAL'!$H496</f>
        <v>TINOGASTA</v>
      </c>
      <c r="C498" s="7" t="s">
        <v>33</v>
      </c>
      <c r="D498" s="9" t="str">
        <f>+'[1]BASE RED COMERCIAL'!$E496</f>
        <v>DR MARIANO MORENO</v>
      </c>
      <c r="E498" s="7">
        <f>+'[1]BASE RED COMERCIAL'!$F496</f>
        <v>785</v>
      </c>
      <c r="F498" s="14" t="str">
        <f>+'[1]BASE RED COMERCIAL'!$I496</f>
        <v>K5340ZAA</v>
      </c>
      <c r="G498" s="7" t="str">
        <f>+'[1]BASE RED COMERCIAL'!$D496</f>
        <v>TINOGASTA</v>
      </c>
      <c r="H498" s="7" t="str">
        <f>+'[1]BASE RED COMERCIAL'!$B496</f>
        <v>CATAMARCA</v>
      </c>
      <c r="I498" s="8" t="str">
        <f>+'[1]BASE RED COMERCIAL'!$C496</f>
        <v>TINOGASTA</v>
      </c>
      <c r="J498" s="10"/>
      <c r="K498" s="10"/>
    </row>
    <row r="499" spans="1:11" x14ac:dyDescent="0.25">
      <c r="A499" s="14" t="str">
        <f>+'[1]BASE RED COMERCIAL'!$A497</f>
        <v>K0068</v>
      </c>
      <c r="B499" s="8" t="str">
        <f>+'[1]BASE RED COMERCIAL'!$H497</f>
        <v>VALLE VIEJO</v>
      </c>
      <c r="C499" s="7" t="s">
        <v>33</v>
      </c>
      <c r="D499" s="9" t="str">
        <f>+'[1]BASE RED COMERCIAL'!$E497</f>
        <v>HIGINIO RIZZO 136</v>
      </c>
      <c r="E499" s="7">
        <f>+'[1]BASE RED COMERCIAL'!$F497</f>
        <v>0</v>
      </c>
      <c r="F499" s="14" t="str">
        <f>+'[1]BASE RED COMERCIAL'!$I497</f>
        <v>K4707ZAA</v>
      </c>
      <c r="G499" s="7" t="str">
        <f>+'[1]BASE RED COMERCIAL'!$D497</f>
        <v>LAS TEJAS DE VALLE VIEJO</v>
      </c>
      <c r="H499" s="7" t="str">
        <f>+'[1]BASE RED COMERCIAL'!$B497</f>
        <v>CATAMARCA</v>
      </c>
      <c r="I499" s="8" t="str">
        <f>+'[1]BASE RED COMERCIAL'!$C497</f>
        <v>VALLE VIEJO</v>
      </c>
      <c r="J499" s="10"/>
      <c r="K499" s="10"/>
    </row>
    <row r="500" spans="1:11" x14ac:dyDescent="0.25">
      <c r="A500" s="14" t="str">
        <f>+'[1]BASE RED COMERCIAL'!$A498</f>
        <v>K1002</v>
      </c>
      <c r="B500" s="8" t="str">
        <f>+'[1]BASE RED COMERCIAL'!$H498</f>
        <v>CATAMARCA CASA DE GOBIERNO</v>
      </c>
      <c r="C500" s="7" t="s">
        <v>33</v>
      </c>
      <c r="D500" s="9" t="str">
        <f>+'[1]BASE RED COMERCIAL'!$E498</f>
        <v>AV REP DE VENEZUELA</v>
      </c>
      <c r="E500" s="7">
        <f>+'[1]BASE RED COMERCIAL'!$F498</f>
        <v>100</v>
      </c>
      <c r="F500" s="14" t="str">
        <f>+'[1]BASE RED COMERCIAL'!$I498</f>
        <v>K4700ZAC</v>
      </c>
      <c r="G500" s="7" t="str">
        <f>+'[1]BASE RED COMERCIAL'!$D498</f>
        <v>SAN FDO DEL VALLE DE CATAMARCA</v>
      </c>
      <c r="H500" s="7" t="str">
        <f>+'[1]BASE RED COMERCIAL'!$B498</f>
        <v>CATAMARCA</v>
      </c>
      <c r="I500" s="8" t="str">
        <f>+'[1]BASE RED COMERCIAL'!$C498</f>
        <v>CAPITAL</v>
      </c>
      <c r="J500" s="10"/>
      <c r="K500" s="10"/>
    </row>
    <row r="501" spans="1:11" x14ac:dyDescent="0.25">
      <c r="A501" s="14" t="str">
        <f>+'[1]BASE RED COMERCIAL'!$A499</f>
        <v>K1006</v>
      </c>
      <c r="B501" s="8" t="str">
        <f>+'[1]BASE RED COMERCIAL'!$H499</f>
        <v>CATAMARCA REGISTRO CIVIL</v>
      </c>
      <c r="C501" s="7" t="s">
        <v>33</v>
      </c>
      <c r="D501" s="9" t="str">
        <f>+'[1]BASE RED COMERCIAL'!$E499</f>
        <v>AV M ACOSTA VILLAFAÃ‘E</v>
      </c>
      <c r="E501" s="7">
        <f>+'[1]BASE RED COMERCIAL'!$F499</f>
        <v>1500</v>
      </c>
      <c r="F501" s="14" t="str">
        <f>+'[1]BASE RED COMERCIAL'!$I499</f>
        <v>K4700ZAE</v>
      </c>
      <c r="G501" s="7" t="str">
        <f>+'[1]BASE RED COMERCIAL'!$D499</f>
        <v>SAN FDO DEL VALLE DE CATAMARCA</v>
      </c>
      <c r="H501" s="7" t="str">
        <f>+'[1]BASE RED COMERCIAL'!$B499</f>
        <v>CATAMARCA</v>
      </c>
      <c r="I501" s="8" t="str">
        <f>+'[1]BASE RED COMERCIAL'!$C499</f>
        <v>CAPITAL</v>
      </c>
      <c r="J501" s="10"/>
      <c r="K501" s="10"/>
    </row>
    <row r="502" spans="1:11" x14ac:dyDescent="0.25">
      <c r="A502" s="14" t="str">
        <f>+'[1]BASE RED COMERCIAL'!$A500</f>
        <v>K1010</v>
      </c>
      <c r="B502" s="8" t="str">
        <f>+'[1]BASE RED COMERCIAL'!$H500</f>
        <v>ADOLFO E. CARRANZA</v>
      </c>
      <c r="C502" s="7" t="s">
        <v>33</v>
      </c>
      <c r="D502" s="9" t="str">
        <f>+'[1]BASE RED COMERCIAL'!$E500</f>
        <v>CALLE SIN NOMBRE SIN NUMERO</v>
      </c>
      <c r="E502" s="7">
        <f>+'[1]BASE RED COMERCIAL'!$F500</f>
        <v>0</v>
      </c>
      <c r="F502" s="14" t="str">
        <f>+'[1]BASE RED COMERCIAL'!$I500</f>
        <v>K5263ZAA</v>
      </c>
      <c r="G502" s="7" t="str">
        <f>+'[1]BASE RED COMERCIAL'!$D500</f>
        <v>ADOLFO E CARRANZA</v>
      </c>
      <c r="H502" s="7" t="str">
        <f>+'[1]BASE RED COMERCIAL'!$B500</f>
        <v>CATAMARCA</v>
      </c>
      <c r="I502" s="8" t="str">
        <f>+'[1]BASE RED COMERCIAL'!$C500</f>
        <v>CAPAYAN</v>
      </c>
      <c r="J502" s="10"/>
      <c r="K502" s="10"/>
    </row>
    <row r="503" spans="1:11" x14ac:dyDescent="0.25">
      <c r="A503" s="14" t="str">
        <f>+'[1]BASE RED COMERCIAL'!$A501</f>
        <v>K1024</v>
      </c>
      <c r="B503" s="8" t="str">
        <f>+'[1]BASE RED COMERCIAL'!$H501</f>
        <v>ANTOFOGASTA DE LA SIERRA</v>
      </c>
      <c r="C503" s="7" t="s">
        <v>33</v>
      </c>
      <c r="D503" s="9" t="str">
        <f>+'[1]BASE RED COMERCIAL'!$E501</f>
        <v>S/C</v>
      </c>
      <c r="E503" s="7">
        <f>+'[1]BASE RED COMERCIAL'!$F501</f>
        <v>0</v>
      </c>
      <c r="F503" s="14" t="str">
        <f>+'[1]BASE RED COMERCIAL'!$I501</f>
        <v>K4705ZAA</v>
      </c>
      <c r="G503" s="7" t="str">
        <f>+'[1]BASE RED COMERCIAL'!$D501</f>
        <v>ANTOFAGASTA DE LA SIERRA</v>
      </c>
      <c r="H503" s="7" t="str">
        <f>+'[1]BASE RED COMERCIAL'!$B501</f>
        <v>CATAMARCA</v>
      </c>
      <c r="I503" s="8" t="str">
        <f>+'[1]BASE RED COMERCIAL'!$C501</f>
        <v>ANTOFAGASTA DE LA SIERRA</v>
      </c>
      <c r="J503" s="10"/>
      <c r="K503" s="10"/>
    </row>
    <row r="504" spans="1:11" x14ac:dyDescent="0.25">
      <c r="A504" s="14" t="str">
        <f>+'[1]BASE RED COMERCIAL'!$A502</f>
        <v>K1070</v>
      </c>
      <c r="B504" s="8" t="str">
        <f>+'[1]BASE RED COMERCIAL'!$H502</f>
        <v>EL PAJONAL</v>
      </c>
      <c r="C504" s="7" t="s">
        <v>33</v>
      </c>
      <c r="D504" s="9" t="str">
        <f>+'[1]BASE RED COMERCIAL'!$E502</f>
        <v>CALLE SIN NOMBRE NI NUMERO</v>
      </c>
      <c r="E504" s="7">
        <f>+'[1]BASE RED COMERCIAL'!$F502</f>
        <v>0</v>
      </c>
      <c r="F504" s="14" t="str">
        <f>+'[1]BASE RED COMERCIAL'!$I502</f>
        <v>K5315ZAD</v>
      </c>
      <c r="G504" s="7" t="str">
        <f>+'[1]BASE RED COMERCIAL'!$D502</f>
        <v>EL PAJONAL</v>
      </c>
      <c r="H504" s="7" t="str">
        <f>+'[1]BASE RED COMERCIAL'!$B502</f>
        <v>CATAMARCA</v>
      </c>
      <c r="I504" s="8" t="str">
        <f>+'[1]BASE RED COMERCIAL'!$C502</f>
        <v>POMAN</v>
      </c>
      <c r="J504" s="10"/>
      <c r="K504" s="10"/>
    </row>
    <row r="505" spans="1:11" x14ac:dyDescent="0.25">
      <c r="A505" s="14" t="str">
        <f>+'[1]BASE RED COMERCIAL'!$A503</f>
        <v>K1082</v>
      </c>
      <c r="B505" s="8" t="str">
        <f>+'[1]BASE RED COMERCIAL'!$H503</f>
        <v>JACIPUNCO</v>
      </c>
      <c r="C505" s="7" t="s">
        <v>33</v>
      </c>
      <c r="D505" s="9" t="str">
        <f>+'[1]BASE RED COMERCIAL'!$E503</f>
        <v>JACIPUNCO</v>
      </c>
      <c r="E505" s="7">
        <f>+'[1]BASE RED COMERCIAL'!$F503</f>
        <v>0</v>
      </c>
      <c r="F505" s="14" t="str">
        <f>+'[1]BASE RED COMERCIAL'!$I503</f>
        <v>K4751ZAE</v>
      </c>
      <c r="G505" s="7" t="str">
        <f>+'[1]BASE RED COMERCIAL'!$D503</f>
        <v>JACIPUNCO</v>
      </c>
      <c r="H505" s="7" t="str">
        <f>+'[1]BASE RED COMERCIAL'!$B503</f>
        <v>CATAMARCA</v>
      </c>
      <c r="I505" s="8" t="str">
        <f>+'[1]BASE RED COMERCIAL'!$C503</f>
        <v>BELEN</v>
      </c>
      <c r="J505" s="10"/>
      <c r="K505" s="10"/>
    </row>
    <row r="506" spans="1:11" x14ac:dyDescent="0.25">
      <c r="A506" s="14" t="str">
        <f>+'[1]BASE RED COMERCIAL'!$A504</f>
        <v>K1102</v>
      </c>
      <c r="B506" s="8" t="str">
        <f>+'[1]BASE RED COMERCIAL'!$H504</f>
        <v>LAGUNA BLANCA</v>
      </c>
      <c r="C506" s="7" t="s">
        <v>33</v>
      </c>
      <c r="D506" s="9" t="str">
        <f>+'[1]BASE RED COMERCIAL'!$E504</f>
        <v>CALLE SIN NOMBRE NI NUMERO</v>
      </c>
      <c r="E506" s="7">
        <f>+'[1]BASE RED COMERCIAL'!$F504</f>
        <v>0</v>
      </c>
      <c r="F506" s="14" t="str">
        <f>+'[1]BASE RED COMERCIAL'!$I504</f>
        <v>K4751ZAF</v>
      </c>
      <c r="G506" s="7" t="str">
        <f>+'[1]BASE RED COMERCIAL'!$D504</f>
        <v>LAGUNA BLANCA</v>
      </c>
      <c r="H506" s="7" t="str">
        <f>+'[1]BASE RED COMERCIAL'!$B504</f>
        <v>CATAMARCA</v>
      </c>
      <c r="I506" s="8" t="str">
        <f>+'[1]BASE RED COMERCIAL'!$C504</f>
        <v>BELEN</v>
      </c>
      <c r="J506" s="10"/>
      <c r="K506" s="10"/>
    </row>
    <row r="507" spans="1:11" x14ac:dyDescent="0.25">
      <c r="A507" s="14" t="str">
        <f>+'[1]BASE RED COMERCIAL'!$A505</f>
        <v>K1108</v>
      </c>
      <c r="B507" s="8" t="str">
        <f>+'[1]BASE RED COMERCIAL'!$H505</f>
        <v>LAS CUEVAS</v>
      </c>
      <c r="C507" s="7" t="s">
        <v>33</v>
      </c>
      <c r="D507" s="9" t="str">
        <f>+'[1]BASE RED COMERCIAL'!$E505</f>
        <v>CALLE SIN NOMBRE NI NUMERO</v>
      </c>
      <c r="E507" s="7">
        <f>+'[1]BASE RED COMERCIAL'!$F505</f>
        <v>0</v>
      </c>
      <c r="F507" s="14" t="str">
        <f>+'[1]BASE RED COMERCIAL'!$I505</f>
        <v>K4750ZAF</v>
      </c>
      <c r="G507" s="7" t="str">
        <f>+'[1]BASE RED COMERCIAL'!$D505</f>
        <v>LAS CUEVAS</v>
      </c>
      <c r="H507" s="7" t="str">
        <f>+'[1]BASE RED COMERCIAL'!$B505</f>
        <v>CATAMARCA</v>
      </c>
      <c r="I507" s="8" t="str">
        <f>+'[1]BASE RED COMERCIAL'!$C505</f>
        <v>BELEN</v>
      </c>
      <c r="J507" s="10"/>
      <c r="K507" s="10"/>
    </row>
    <row r="508" spans="1:11" x14ac:dyDescent="0.25">
      <c r="A508" s="14" t="str">
        <f>+'[1]BASE RED COMERCIAL'!$A506</f>
        <v>K1138</v>
      </c>
      <c r="B508" s="8" t="str">
        <f>+'[1]BASE RED COMERCIAL'!$H506</f>
        <v>PALO LABRADO</v>
      </c>
      <c r="C508" s="7" t="s">
        <v>33</v>
      </c>
      <c r="D508" s="9" t="str">
        <f>+'[1]BASE RED COMERCIAL'!$E506</f>
        <v>CALLE SIN NOMBRE NI NUMERO</v>
      </c>
      <c r="E508" s="7">
        <f>+'[1]BASE RED COMERCIAL'!$F506</f>
        <v>0</v>
      </c>
      <c r="F508" s="14" t="str">
        <f>+'[1]BASE RED COMERCIAL'!$I506</f>
        <v>K4718ZAD</v>
      </c>
      <c r="G508" s="7" t="str">
        <f>+'[1]BASE RED COMERCIAL'!$D506</f>
        <v>PALO LABRADO</v>
      </c>
      <c r="H508" s="7" t="str">
        <f>+'[1]BASE RED COMERCIAL'!$B506</f>
        <v>CATAMARCA</v>
      </c>
      <c r="I508" s="8" t="str">
        <f>+'[1]BASE RED COMERCIAL'!$C506</f>
        <v>PACLIN</v>
      </c>
      <c r="J508" s="10"/>
      <c r="K508" s="10"/>
    </row>
    <row r="509" spans="1:11" x14ac:dyDescent="0.25">
      <c r="A509" s="14" t="str">
        <f>+'[1]BASE RED COMERCIAL'!$A507</f>
        <v>K1144</v>
      </c>
      <c r="B509" s="8" t="str">
        <f>+'[1]BASE RED COMERCIAL'!$H507</f>
        <v>PORTEZUELO</v>
      </c>
      <c r="C509" s="7" t="s">
        <v>33</v>
      </c>
      <c r="D509" s="9" t="str">
        <f>+'[1]BASE RED COMERCIAL'!$E507</f>
        <v>CALLE SIN NOMBRE NI NUMERO</v>
      </c>
      <c r="E509" s="7">
        <f>+'[1]BASE RED COMERCIAL'!$F507</f>
        <v>0</v>
      </c>
      <c r="F509" s="14" t="str">
        <f>+'[1]BASE RED COMERCIAL'!$I507</f>
        <v>K4707ZAB</v>
      </c>
      <c r="G509" s="7" t="str">
        <f>+'[1]BASE RED COMERCIAL'!$D507</f>
        <v>PORTEZUELO</v>
      </c>
      <c r="H509" s="7" t="str">
        <f>+'[1]BASE RED COMERCIAL'!$B507</f>
        <v>CATAMARCA</v>
      </c>
      <c r="I509" s="8" t="str">
        <f>+'[1]BASE RED COMERCIAL'!$C507</f>
        <v>VALLE VIEJO</v>
      </c>
      <c r="J509" s="10"/>
      <c r="K509" s="10"/>
    </row>
    <row r="510" spans="1:11" x14ac:dyDescent="0.25">
      <c r="A510" s="14" t="str">
        <f>+'[1]BASE RED COMERCIAL'!$A508</f>
        <v>K1146</v>
      </c>
      <c r="B510" s="8" t="str">
        <f>+'[1]BASE RED COMERCIAL'!$H508</f>
        <v>POZO DE PIEDRA</v>
      </c>
      <c r="C510" s="7" t="s">
        <v>33</v>
      </c>
      <c r="D510" s="9" t="str">
        <f>+'[1]BASE RED COMERCIAL'!$E508</f>
        <v>CALLE SIN NOMBRE NI NUMERO</v>
      </c>
      <c r="E510" s="7">
        <f>+'[1]BASE RED COMERCIAL'!$F508</f>
        <v>0</v>
      </c>
      <c r="F510" s="14" t="str">
        <f>+'[1]BASE RED COMERCIAL'!$I508</f>
        <v>K4751ZAG</v>
      </c>
      <c r="G510" s="7" t="str">
        <f>+'[1]BASE RED COMERCIAL'!$D508</f>
        <v>POZO DE PIEDRA</v>
      </c>
      <c r="H510" s="7" t="str">
        <f>+'[1]BASE RED COMERCIAL'!$B508</f>
        <v>CATAMARCA</v>
      </c>
      <c r="I510" s="8" t="str">
        <f>+'[1]BASE RED COMERCIAL'!$C508</f>
        <v>BELEN</v>
      </c>
      <c r="J510" s="10"/>
      <c r="K510" s="10"/>
    </row>
    <row r="511" spans="1:11" x14ac:dyDescent="0.25">
      <c r="A511" s="14" t="str">
        <f>+'[1]BASE RED COMERCIAL'!$A509</f>
        <v>K1162</v>
      </c>
      <c r="B511" s="8" t="str">
        <f>+'[1]BASE RED COMERCIAL'!$H509</f>
        <v>SALADO</v>
      </c>
      <c r="C511" s="7" t="s">
        <v>33</v>
      </c>
      <c r="D511" s="9" t="str">
        <f>+'[1]BASE RED COMERCIAL'!$E509</f>
        <v>R PROV 130</v>
      </c>
      <c r="E511" s="7">
        <f>+'[1]BASE RED COMERCIAL'!$F509</f>
        <v>0</v>
      </c>
      <c r="F511" s="14" t="str">
        <f>+'[1]BASE RED COMERCIAL'!$I509</f>
        <v>K5332ZAA</v>
      </c>
      <c r="G511" s="7" t="str">
        <f>+'[1]BASE RED COMERCIAL'!$D509</f>
        <v>SALADO</v>
      </c>
      <c r="H511" s="7" t="str">
        <f>+'[1]BASE RED COMERCIAL'!$B509</f>
        <v>CATAMARCA</v>
      </c>
      <c r="I511" s="8" t="str">
        <f>+'[1]BASE RED COMERCIAL'!$C509</f>
        <v>TINOGASTA</v>
      </c>
      <c r="J511" s="10"/>
      <c r="K511" s="10"/>
    </row>
    <row r="512" spans="1:11" x14ac:dyDescent="0.25">
      <c r="A512" s="14" t="str">
        <f>+'[1]BASE RED COMERCIAL'!$A510</f>
        <v>K1196</v>
      </c>
      <c r="B512" s="8" t="str">
        <f>+'[1]BASE RED COMERCIAL'!$H510</f>
        <v>TERMAS DE VILLA VIL</v>
      </c>
      <c r="C512" s="7" t="s">
        <v>33</v>
      </c>
      <c r="D512" s="9" t="str">
        <f>+'[1]BASE RED COMERCIAL'!$E510</f>
        <v>R PROV 53</v>
      </c>
      <c r="E512" s="7">
        <f>+'[1]BASE RED COMERCIAL'!$F510</f>
        <v>10</v>
      </c>
      <c r="F512" s="14" t="str">
        <f>+'[1]BASE RED COMERCIAL'!$I510</f>
        <v>K4755ZAA</v>
      </c>
      <c r="G512" s="7" t="str">
        <f>+'[1]BASE RED COMERCIAL'!$D510</f>
        <v>VILLA VIL</v>
      </c>
      <c r="H512" s="7" t="str">
        <f>+'[1]BASE RED COMERCIAL'!$B510</f>
        <v>CATAMARCA</v>
      </c>
      <c r="I512" s="8" t="str">
        <f>+'[1]BASE RED COMERCIAL'!$C510</f>
        <v>BELEN</v>
      </c>
      <c r="J512" s="10"/>
      <c r="K512" s="10"/>
    </row>
    <row r="513" spans="1:11" x14ac:dyDescent="0.25">
      <c r="A513" s="14" t="str">
        <f>+'[1]BASE RED COMERCIAL'!$A511</f>
        <v>K1210</v>
      </c>
      <c r="B513" s="8" t="str">
        <f>+'[1]BASE RED COMERCIAL'!$H511</f>
        <v>LA QUEBRADA</v>
      </c>
      <c r="C513" s="7" t="s">
        <v>33</v>
      </c>
      <c r="D513" s="9" t="str">
        <f>+'[1]BASE RED COMERCIAL'!$E511</f>
        <v>CALLE SIN NOMBRE NI NUMERO</v>
      </c>
      <c r="E513" s="7">
        <f>+'[1]BASE RED COMERCIAL'!$F511</f>
        <v>0</v>
      </c>
      <c r="F513" s="14" t="str">
        <f>+'[1]BASE RED COMERCIAL'!$I511</f>
        <v>K4139ZAG</v>
      </c>
      <c r="G513" s="7" t="str">
        <f>+'[1]BASE RED COMERCIAL'!$D511</f>
        <v>LA QUEBRADA</v>
      </c>
      <c r="H513" s="7" t="str">
        <f>+'[1]BASE RED COMERCIAL'!$B511</f>
        <v>CATAMARCA</v>
      </c>
      <c r="I513" s="8" t="str">
        <f>+'[1]BASE RED COMERCIAL'!$C511</f>
        <v>SANTA MARIA</v>
      </c>
      <c r="J513" s="10"/>
      <c r="K513" s="10"/>
    </row>
    <row r="514" spans="1:11" x14ac:dyDescent="0.25">
      <c r="A514" s="14" t="str">
        <f>+'[1]BASE RED COMERCIAL'!$A512</f>
        <v>K1292</v>
      </c>
      <c r="B514" s="8" t="str">
        <f>+'[1]BASE RED COMERCIAL'!$H512</f>
        <v>ALIJILAN</v>
      </c>
      <c r="C514" s="7" t="s">
        <v>33</v>
      </c>
      <c r="D514" s="9" t="str">
        <f>+'[1]BASE RED COMERCIAL'!$E512</f>
        <v>9 DE JULIO</v>
      </c>
      <c r="E514" s="7">
        <f>+'[1]BASE RED COMERCIAL'!$F512</f>
        <v>0</v>
      </c>
      <c r="F514" s="14" t="str">
        <f>+'[1]BASE RED COMERCIAL'!$I512</f>
        <v>K4723ZAB</v>
      </c>
      <c r="G514" s="7" t="str">
        <f>+'[1]BASE RED COMERCIAL'!$D512</f>
        <v>ALIJILAN</v>
      </c>
      <c r="H514" s="7" t="str">
        <f>+'[1]BASE RED COMERCIAL'!$B512</f>
        <v>CATAMARCA</v>
      </c>
      <c r="I514" s="8" t="str">
        <f>+'[1]BASE RED COMERCIAL'!$C512</f>
        <v>SANTA ROSA</v>
      </c>
      <c r="J514" s="10"/>
      <c r="K514" s="10"/>
    </row>
    <row r="515" spans="1:11" x14ac:dyDescent="0.25">
      <c r="A515" s="14" t="str">
        <f>+'[1]BASE RED COMERCIAL'!$A513</f>
        <v>K1293</v>
      </c>
      <c r="B515" s="8" t="str">
        <f>+'[1]BASE RED COMERCIAL'!$H513</f>
        <v>ICAÃ‘O</v>
      </c>
      <c r="C515" s="7" t="s">
        <v>33</v>
      </c>
      <c r="D515" s="9" t="str">
        <f>+'[1]BASE RED COMERCIAL'!$E513</f>
        <v>CALLE PUBLICA</v>
      </c>
      <c r="E515" s="7">
        <f>+'[1]BASE RED COMERCIAL'!$F513</f>
        <v>0</v>
      </c>
      <c r="F515" s="14" t="str">
        <f>+'[1]BASE RED COMERCIAL'!$I513</f>
        <v>K5265ZAA</v>
      </c>
      <c r="G515" s="7" t="str">
        <f>+'[1]BASE RED COMERCIAL'!$D513</f>
        <v>ICAÃ‘O</v>
      </c>
      <c r="H515" s="7" t="str">
        <f>+'[1]BASE RED COMERCIAL'!$B513</f>
        <v>CATAMARCA</v>
      </c>
      <c r="I515" s="8" t="str">
        <f>+'[1]BASE RED COMERCIAL'!$C513</f>
        <v>LA PAZ</v>
      </c>
      <c r="J515" s="10"/>
      <c r="K515" s="10"/>
    </row>
    <row r="516" spans="1:11" x14ac:dyDescent="0.25">
      <c r="A516" s="14" t="str">
        <f>+'[1]BASE RED COMERCIAL'!$A514</f>
        <v>K3087</v>
      </c>
      <c r="B516" s="8" t="str">
        <f>+'[1]BASE RED COMERCIAL'!$H514</f>
        <v>CATAMARCA DIRECCION DE RENTAS</v>
      </c>
      <c r="C516" s="7" t="s">
        <v>33</v>
      </c>
      <c r="D516" s="9" t="str">
        <f>+'[1]BASE RED COMERCIAL'!$E514</f>
        <v>CHACABUCO</v>
      </c>
      <c r="E516" s="7">
        <f>+'[1]BASE RED COMERCIAL'!$F514</f>
        <v>881</v>
      </c>
      <c r="F516" s="14" t="str">
        <f>+'[1]BASE RED COMERCIAL'!$I514</f>
        <v>K4700ZAD</v>
      </c>
      <c r="G516" s="7" t="str">
        <f>+'[1]BASE RED COMERCIAL'!$D514</f>
        <v>SAN FDO DEL VALLE DE CATAMARCA</v>
      </c>
      <c r="H516" s="7" t="str">
        <f>+'[1]BASE RED COMERCIAL'!$B514</f>
        <v>CATAMARCA</v>
      </c>
      <c r="I516" s="8" t="str">
        <f>+'[1]BASE RED COMERCIAL'!$C514</f>
        <v>CAPITAL</v>
      </c>
      <c r="J516" s="10"/>
      <c r="K516" s="10"/>
    </row>
    <row r="517" spans="1:11" x14ac:dyDescent="0.25">
      <c r="A517" s="14" t="str">
        <f>+'[1]BASE RED COMERCIAL'!$A515</f>
        <v>H0000</v>
      </c>
      <c r="B517" s="8" t="str">
        <f>+'[1]BASE RED COMERCIAL'!$H515</f>
        <v>RESISTENCIA</v>
      </c>
      <c r="C517" s="7" t="s">
        <v>33</v>
      </c>
      <c r="D517" s="9" t="str">
        <f>+'[1]BASE RED COMERCIAL'!$E515</f>
        <v>AV SARMIENTO</v>
      </c>
      <c r="E517" s="7">
        <f>+'[1]BASE RED COMERCIAL'!$F515</f>
        <v>102</v>
      </c>
      <c r="F517" s="14" t="str">
        <f>+'[1]BASE RED COMERCIAL'!$I515</f>
        <v>H3500ZAA</v>
      </c>
      <c r="G517" s="7" t="str">
        <f>+'[1]BASE RED COMERCIAL'!$D515</f>
        <v>RESISTENCIA</v>
      </c>
      <c r="H517" s="7" t="str">
        <f>+'[1]BASE RED COMERCIAL'!$B515</f>
        <v>CHACO</v>
      </c>
      <c r="I517" s="8" t="str">
        <f>+'[1]BASE RED COMERCIAL'!$C515</f>
        <v>SAN FERNANDO</v>
      </c>
      <c r="J517" s="10"/>
      <c r="K517" s="10"/>
    </row>
    <row r="518" spans="1:11" x14ac:dyDescent="0.25">
      <c r="A518" s="14" t="str">
        <f>+'[1]BASE RED COMERCIAL'!$A516</f>
        <v>H0003</v>
      </c>
      <c r="B518" s="8" t="str">
        <f>+'[1]BASE RED COMERCIAL'!$H516</f>
        <v>AVIA TERAI</v>
      </c>
      <c r="C518" s="7" t="s">
        <v>33</v>
      </c>
      <c r="D518" s="9" t="str">
        <f>+'[1]BASE RED COMERCIAL'!$E516</f>
        <v>CALLE 13</v>
      </c>
      <c r="E518" s="7">
        <f>+'[1]BASE RED COMERCIAL'!$F516</f>
        <v>0</v>
      </c>
      <c r="F518" s="14" t="str">
        <f>+'[1]BASE RED COMERCIAL'!$I516</f>
        <v>H3706ZAA</v>
      </c>
      <c r="G518" s="7" t="str">
        <f>+'[1]BASE RED COMERCIAL'!$D516</f>
        <v>AVIA TERAI</v>
      </c>
      <c r="H518" s="7" t="str">
        <f>+'[1]BASE RED COMERCIAL'!$B516</f>
        <v>CHACO</v>
      </c>
      <c r="I518" s="8" t="str">
        <f>+'[1]BASE RED COMERCIAL'!$C516</f>
        <v>INDEPENDENCIA</v>
      </c>
      <c r="J518" s="10"/>
      <c r="K518" s="10"/>
    </row>
    <row r="519" spans="1:11" x14ac:dyDescent="0.25">
      <c r="A519" s="14" t="str">
        <f>+'[1]BASE RED COMERCIAL'!$A517</f>
        <v>H0004</v>
      </c>
      <c r="B519" s="8" t="str">
        <f>+'[1]BASE RED COMERCIAL'!$H517</f>
        <v>BARRANQUERAS</v>
      </c>
      <c r="C519" s="7" t="s">
        <v>33</v>
      </c>
      <c r="D519" s="9" t="str">
        <f>+'[1]BASE RED COMERCIAL'!$E517</f>
        <v>CHILE</v>
      </c>
      <c r="E519" s="7">
        <f>+'[1]BASE RED COMERCIAL'!$F517</f>
        <v>580</v>
      </c>
      <c r="F519" s="14" t="str">
        <f>+'[1]BASE RED COMERCIAL'!$I517</f>
        <v>H3503ZAA</v>
      </c>
      <c r="G519" s="7" t="str">
        <f>+'[1]BASE RED COMERCIAL'!$D517</f>
        <v>BARRANQUERAS</v>
      </c>
      <c r="H519" s="7" t="str">
        <f>+'[1]BASE RED COMERCIAL'!$B517</f>
        <v>CHACO</v>
      </c>
      <c r="I519" s="8" t="str">
        <f>+'[1]BASE RED COMERCIAL'!$C517</f>
        <v>SAN FERNANDO</v>
      </c>
      <c r="J519" s="10"/>
      <c r="K519" s="10"/>
    </row>
    <row r="520" spans="1:11" x14ac:dyDescent="0.25">
      <c r="A520" s="14" t="str">
        <f>+'[1]BASE RED COMERCIAL'!$A518</f>
        <v>H0006</v>
      </c>
      <c r="B520" s="8" t="str">
        <f>+'[1]BASE RED COMERCIAL'!$H518</f>
        <v>BASAIL</v>
      </c>
      <c r="C520" s="7" t="s">
        <v>33</v>
      </c>
      <c r="D520" s="9" t="str">
        <f>+'[1]BASE RED COMERCIAL'!$E518</f>
        <v>RUTA 11</v>
      </c>
      <c r="E520" s="7">
        <f>+'[1]BASE RED COMERCIAL'!$F518</f>
        <v>0</v>
      </c>
      <c r="F520" s="14" t="str">
        <f>+'[1]BASE RED COMERCIAL'!$I518</f>
        <v>H3516ZAA</v>
      </c>
      <c r="G520" s="7" t="str">
        <f>+'[1]BASE RED COMERCIAL'!$D518</f>
        <v>BASAIL</v>
      </c>
      <c r="H520" s="7" t="str">
        <f>+'[1]BASE RED COMERCIAL'!$B518</f>
        <v>CHACO</v>
      </c>
      <c r="I520" s="8" t="str">
        <f>+'[1]BASE RED COMERCIAL'!$C518</f>
        <v>SAN FERNANDO</v>
      </c>
      <c r="J520" s="10"/>
      <c r="K520" s="10"/>
    </row>
    <row r="521" spans="1:11" x14ac:dyDescent="0.25">
      <c r="A521" s="14" t="str">
        <f>+'[1]BASE RED COMERCIAL'!$A519</f>
        <v>H0008</v>
      </c>
      <c r="B521" s="8" t="str">
        <f>+'[1]BASE RED COMERCIAL'!$H519</f>
        <v>CAMPO LARGO</v>
      </c>
      <c r="C521" s="7" t="s">
        <v>33</v>
      </c>
      <c r="D521" s="9" t="str">
        <f>+'[1]BASE RED COMERCIAL'!$E519</f>
        <v>PUEYRREDON</v>
      </c>
      <c r="E521" s="7">
        <f>+'[1]BASE RED COMERCIAL'!$F519</f>
        <v>1000</v>
      </c>
      <c r="F521" s="14" t="str">
        <f>+'[1]BASE RED COMERCIAL'!$I519</f>
        <v>H3716ZAA</v>
      </c>
      <c r="G521" s="7" t="str">
        <f>+'[1]BASE RED COMERCIAL'!$D519</f>
        <v>CAMPO LARGO</v>
      </c>
      <c r="H521" s="7" t="str">
        <f>+'[1]BASE RED COMERCIAL'!$B519</f>
        <v>CHACO</v>
      </c>
      <c r="I521" s="8" t="str">
        <f>+'[1]BASE RED COMERCIAL'!$C519</f>
        <v>INDEPENDENCIA</v>
      </c>
      <c r="J521" s="10"/>
      <c r="K521" s="10"/>
    </row>
    <row r="522" spans="1:11" x14ac:dyDescent="0.25">
      <c r="A522" s="14" t="str">
        <f>+'[1]BASE RED COMERCIAL'!$A520</f>
        <v>H0010</v>
      </c>
      <c r="B522" s="8" t="str">
        <f>+'[1]BASE RED COMERCIAL'!$H520</f>
        <v>CHARATA</v>
      </c>
      <c r="C522" s="7" t="s">
        <v>33</v>
      </c>
      <c r="D522" s="9" t="str">
        <f>+'[1]BASE RED COMERCIAL'!$E520</f>
        <v>MONS NICOLAS DE CARLO</v>
      </c>
      <c r="E522" s="7">
        <f>+'[1]BASE RED COMERCIAL'!$F520</f>
        <v>490</v>
      </c>
      <c r="F522" s="14" t="str">
        <f>+'[1]BASE RED COMERCIAL'!$I520</f>
        <v>H3730ZAA</v>
      </c>
      <c r="G522" s="7" t="str">
        <f>+'[1]BASE RED COMERCIAL'!$D520</f>
        <v>CHARATA</v>
      </c>
      <c r="H522" s="7" t="str">
        <f>+'[1]BASE RED COMERCIAL'!$B520</f>
        <v>CHACO</v>
      </c>
      <c r="I522" s="8" t="str">
        <f>+'[1]BASE RED COMERCIAL'!$C520</f>
        <v>CHACABUCO</v>
      </c>
      <c r="J522" s="10"/>
      <c r="K522" s="10"/>
    </row>
    <row r="523" spans="1:11" x14ac:dyDescent="0.25">
      <c r="A523" s="14" t="str">
        <f>+'[1]BASE RED COMERCIAL'!$A521</f>
        <v>H0012</v>
      </c>
      <c r="B523" s="8" t="str">
        <f>+'[1]BASE RED COMERCIAL'!$H521</f>
        <v>COLONIA ELISA</v>
      </c>
      <c r="C523" s="7" t="s">
        <v>33</v>
      </c>
      <c r="D523" s="9" t="str">
        <f>+'[1]BASE RED COMERCIAL'!$E521</f>
        <v>JUSTO NOVO</v>
      </c>
      <c r="E523" s="7">
        <f>+'[1]BASE RED COMERCIAL'!$F521</f>
        <v>150</v>
      </c>
      <c r="F523" s="14" t="str">
        <f>+'[1]BASE RED COMERCIAL'!$I521</f>
        <v>H3515ZAA</v>
      </c>
      <c r="G523" s="7" t="str">
        <f>+'[1]BASE RED COMERCIAL'!$D521</f>
        <v>COLONIA ELISA</v>
      </c>
      <c r="H523" s="7" t="str">
        <f>+'[1]BASE RED COMERCIAL'!$B521</f>
        <v>CHACO</v>
      </c>
      <c r="I523" s="8" t="str">
        <f>+'[1]BASE RED COMERCIAL'!$C521</f>
        <v>SARGENTO CABRAL</v>
      </c>
      <c r="J523" s="10"/>
      <c r="K523" s="10"/>
    </row>
    <row r="524" spans="1:11" x14ac:dyDescent="0.25">
      <c r="A524" s="14" t="str">
        <f>+'[1]BASE RED COMERCIAL'!$A522</f>
        <v>H0014</v>
      </c>
      <c r="B524" s="8" t="str">
        <f>+'[1]BASE RED COMERCIAL'!$H522</f>
        <v>COLONIAS UNIDAS</v>
      </c>
      <c r="C524" s="7" t="s">
        <v>33</v>
      </c>
      <c r="D524" s="9" t="str">
        <f>+'[1]BASE RED COMERCIAL'!$E522</f>
        <v>DR ALEJANDRO FLEMING</v>
      </c>
      <c r="E524" s="7">
        <f>+'[1]BASE RED COMERCIAL'!$F522</f>
        <v>0</v>
      </c>
      <c r="F524" s="14" t="str">
        <f>+'[1]BASE RED COMERCIAL'!$I522</f>
        <v>H3532ZAA</v>
      </c>
      <c r="G524" s="7" t="str">
        <f>+'[1]BASE RED COMERCIAL'!$D522</f>
        <v>COLONIAS UNIDAS</v>
      </c>
      <c r="H524" s="7" t="str">
        <f>+'[1]BASE RED COMERCIAL'!$B522</f>
        <v>CHACO</v>
      </c>
      <c r="I524" s="8" t="str">
        <f>+'[1]BASE RED COMERCIAL'!$C522</f>
        <v>SARGENTO CABRAL</v>
      </c>
      <c r="J524" s="10"/>
      <c r="K524" s="10"/>
    </row>
    <row r="525" spans="1:11" x14ac:dyDescent="0.25">
      <c r="A525" s="14" t="str">
        <f>+'[1]BASE RED COMERCIAL'!$A523</f>
        <v>H0016</v>
      </c>
      <c r="B525" s="8" t="str">
        <f>+'[1]BASE RED COMERCIAL'!$H523</f>
        <v>CONCEP. DEL BERMEJO</v>
      </c>
      <c r="C525" s="7" t="s">
        <v>33</v>
      </c>
      <c r="D525" s="9" t="str">
        <f>+'[1]BASE RED COMERCIAL'!$E523</f>
        <v>SAN MARTIN</v>
      </c>
      <c r="E525" s="7">
        <f>+'[1]BASE RED COMERCIAL'!$F523</f>
        <v>100</v>
      </c>
      <c r="F525" s="14" t="str">
        <f>+'[1]BASE RED COMERCIAL'!$I523</f>
        <v>H3708ZAA</v>
      </c>
      <c r="G525" s="7" t="str">
        <f>+'[1]BASE RED COMERCIAL'!$D523</f>
        <v>CONCEPCION DEL BERMEJO</v>
      </c>
      <c r="H525" s="7" t="str">
        <f>+'[1]BASE RED COMERCIAL'!$B523</f>
        <v>CHACO</v>
      </c>
      <c r="I525" s="8" t="str">
        <f>+'[1]BASE RED COMERCIAL'!$C523</f>
        <v>ALMIRANTE BROWN</v>
      </c>
      <c r="J525" s="10"/>
      <c r="K525" s="10"/>
    </row>
    <row r="526" spans="1:11" x14ac:dyDescent="0.25">
      <c r="A526" s="14" t="str">
        <f>+'[1]BASE RED COMERCIAL'!$A524</f>
        <v>H0018</v>
      </c>
      <c r="B526" s="8" t="str">
        <f>+'[1]BASE RED COMERCIAL'!$H524</f>
        <v>CORZUELA</v>
      </c>
      <c r="C526" s="7" t="s">
        <v>33</v>
      </c>
      <c r="D526" s="9" t="str">
        <f>+'[1]BASE RED COMERCIAL'!$E524</f>
        <v>AV SAN MARTIN</v>
      </c>
      <c r="E526" s="7">
        <f>+'[1]BASE RED COMERCIAL'!$F524</f>
        <v>304</v>
      </c>
      <c r="F526" s="14" t="str">
        <f>+'[1]BASE RED COMERCIAL'!$I524</f>
        <v>H3718ZAA</v>
      </c>
      <c r="G526" s="7" t="str">
        <f>+'[1]BASE RED COMERCIAL'!$D524</f>
        <v>CORZUELA</v>
      </c>
      <c r="H526" s="7" t="str">
        <f>+'[1]BASE RED COMERCIAL'!$B524</f>
        <v>CHACO</v>
      </c>
      <c r="I526" s="8" t="str">
        <f>+'[1]BASE RED COMERCIAL'!$C524</f>
        <v>GENERAL BELGRANO</v>
      </c>
      <c r="J526" s="10"/>
      <c r="K526" s="10"/>
    </row>
    <row r="527" spans="1:11" x14ac:dyDescent="0.25">
      <c r="A527" s="14" t="str">
        <f>+'[1]BASE RED COMERCIAL'!$A525</f>
        <v>H0020</v>
      </c>
      <c r="B527" s="8" t="str">
        <f>+'[1]BASE RED COMERCIAL'!$H525</f>
        <v>CNEL. DU GRATY</v>
      </c>
      <c r="C527" s="7" t="s">
        <v>33</v>
      </c>
      <c r="D527" s="9" t="str">
        <f>+'[1]BASE RED COMERCIAL'!$E525</f>
        <v>URQUIZA</v>
      </c>
      <c r="E527" s="7">
        <f>+'[1]BASE RED COMERCIAL'!$F525</f>
        <v>268</v>
      </c>
      <c r="F527" s="14" t="str">
        <f>+'[1]BASE RED COMERCIAL'!$I525</f>
        <v>H3541ZAA</v>
      </c>
      <c r="G527" s="7" t="str">
        <f>+'[1]BASE RED COMERCIAL'!$D525</f>
        <v>CORONEL DU GRATY</v>
      </c>
      <c r="H527" s="7" t="str">
        <f>+'[1]BASE RED COMERCIAL'!$B525</f>
        <v>CHACO</v>
      </c>
      <c r="I527" s="8" t="str">
        <f>+'[1]BASE RED COMERCIAL'!$C525</f>
        <v>MAYOR LUIS J FONTANA</v>
      </c>
      <c r="J527" s="10"/>
      <c r="K527" s="10"/>
    </row>
    <row r="528" spans="1:11" x14ac:dyDescent="0.25">
      <c r="A528" s="14" t="str">
        <f>+'[1]BASE RED COMERCIAL'!$A526</f>
        <v>H0026</v>
      </c>
      <c r="B528" s="8" t="str">
        <f>+'[1]BASE RED COMERCIAL'!$H526</f>
        <v>GANCEDO</v>
      </c>
      <c r="C528" s="7" t="s">
        <v>33</v>
      </c>
      <c r="D528" s="9" t="str">
        <f>+'[1]BASE RED COMERCIAL'!$E526</f>
        <v>SAN MARTIN SIN NÂ°</v>
      </c>
      <c r="E528" s="7">
        <f>+'[1]BASE RED COMERCIAL'!$F526</f>
        <v>0</v>
      </c>
      <c r="F528" s="14" t="str">
        <f>+'[1]BASE RED COMERCIAL'!$I526</f>
        <v>H3734ZAA</v>
      </c>
      <c r="G528" s="7" t="str">
        <f>+'[1]BASE RED COMERCIAL'!$D526</f>
        <v>GANCEDO</v>
      </c>
      <c r="H528" s="7" t="str">
        <f>+'[1]BASE RED COMERCIAL'!$B526</f>
        <v>CHACO</v>
      </c>
      <c r="I528" s="8" t="str">
        <f>+'[1]BASE RED COMERCIAL'!$C526</f>
        <v>12 DE OCTUBRE</v>
      </c>
      <c r="J528" s="10"/>
      <c r="K528" s="10"/>
    </row>
    <row r="529" spans="1:11" x14ac:dyDescent="0.25">
      <c r="A529" s="14" t="str">
        <f>+'[1]BASE RED COMERCIAL'!$A527</f>
        <v>H0028</v>
      </c>
      <c r="B529" s="8" t="str">
        <f>+'[1]BASE RED COMERCIAL'!$H527</f>
        <v>GRAL. SAN MARTIN</v>
      </c>
      <c r="C529" s="7" t="s">
        <v>33</v>
      </c>
      <c r="D529" s="9" t="str">
        <f>+'[1]BASE RED COMERCIAL'!$E527</f>
        <v>URUGUAY</v>
      </c>
      <c r="E529" s="7">
        <f>+'[1]BASE RED COMERCIAL'!$F527</f>
        <v>490</v>
      </c>
      <c r="F529" s="14" t="str">
        <f>+'[1]BASE RED COMERCIAL'!$I527</f>
        <v>H3509ZAA</v>
      </c>
      <c r="G529" s="7" t="str">
        <f>+'[1]BASE RED COMERCIAL'!$D527</f>
        <v>GENERAL JOSE DE SAN MARTIN</v>
      </c>
      <c r="H529" s="7" t="str">
        <f>+'[1]BASE RED COMERCIAL'!$B527</f>
        <v>CHACO</v>
      </c>
      <c r="I529" s="8" t="str">
        <f>+'[1]BASE RED COMERCIAL'!$C527</f>
        <v>LIBERTADOR GRAL SAN MARTIN</v>
      </c>
      <c r="J529" s="10"/>
      <c r="K529" s="10"/>
    </row>
    <row r="530" spans="1:11" x14ac:dyDescent="0.25">
      <c r="A530" s="14" t="str">
        <f>+'[1]BASE RED COMERCIAL'!$A528</f>
        <v>H0030</v>
      </c>
      <c r="B530" s="8" t="str">
        <f>+'[1]BASE RED COMERCIAL'!$H528</f>
        <v>GRAL.PINEDO</v>
      </c>
      <c r="C530" s="7" t="s">
        <v>33</v>
      </c>
      <c r="D530" s="9" t="str">
        <f>+'[1]BASE RED COMERCIAL'!$E528</f>
        <v>B RIVADAVIA</v>
      </c>
      <c r="E530" s="7">
        <f>+'[1]BASE RED COMERCIAL'!$F528</f>
        <v>502</v>
      </c>
      <c r="F530" s="14" t="str">
        <f>+'[1]BASE RED COMERCIAL'!$I528</f>
        <v>H3732ZAA</v>
      </c>
      <c r="G530" s="7" t="str">
        <f>+'[1]BASE RED COMERCIAL'!$D528</f>
        <v>GENERAL PINEDO</v>
      </c>
      <c r="H530" s="7" t="str">
        <f>+'[1]BASE RED COMERCIAL'!$B528</f>
        <v>CHACO</v>
      </c>
      <c r="I530" s="8" t="str">
        <f>+'[1]BASE RED COMERCIAL'!$C528</f>
        <v>12 DE OCTUBRE</v>
      </c>
      <c r="J530" s="10"/>
      <c r="K530" s="10"/>
    </row>
    <row r="531" spans="1:11" x14ac:dyDescent="0.25">
      <c r="A531" s="14" t="str">
        <f>+'[1]BASE RED COMERCIAL'!$A529</f>
        <v>H0032</v>
      </c>
      <c r="B531" s="8" t="str">
        <f>+'[1]BASE RED COMERCIAL'!$H529</f>
        <v>GRAL. VEDIA</v>
      </c>
      <c r="C531" s="7" t="s">
        <v>33</v>
      </c>
      <c r="D531" s="9" t="str">
        <f>+'[1]BASE RED COMERCIAL'!$E529</f>
        <v>SAN MARTIN</v>
      </c>
      <c r="E531" s="7">
        <f>+'[1]BASE RED COMERCIAL'!$F529</f>
        <v>0</v>
      </c>
      <c r="F531" s="14" t="str">
        <f>+'[1]BASE RED COMERCIAL'!$I529</f>
        <v>H3520ZAA</v>
      </c>
      <c r="G531" s="7" t="str">
        <f>+'[1]BASE RED COMERCIAL'!$D529</f>
        <v>GENERAL VEDIA</v>
      </c>
      <c r="H531" s="7" t="str">
        <f>+'[1]BASE RED COMERCIAL'!$B529</f>
        <v>CHACO</v>
      </c>
      <c r="I531" s="8" t="str">
        <f>+'[1]BASE RED COMERCIAL'!$C529</f>
        <v>BERMEJO</v>
      </c>
      <c r="J531" s="10"/>
      <c r="K531" s="10"/>
    </row>
    <row r="532" spans="1:11" x14ac:dyDescent="0.25">
      <c r="A532" s="14" t="str">
        <f>+'[1]BASE RED COMERCIAL'!$A530</f>
        <v>H0034</v>
      </c>
      <c r="B532" s="8" t="str">
        <f>+'[1]BASE RED COMERCIAL'!$H530</f>
        <v>HERMOSO CAMPO</v>
      </c>
      <c r="C532" s="7" t="s">
        <v>33</v>
      </c>
      <c r="D532" s="9" t="str">
        <f>+'[1]BASE RED COMERCIAL'!$E530</f>
        <v>AV DEL LIBERTADOR</v>
      </c>
      <c r="E532" s="7">
        <f>+'[1]BASE RED COMERCIAL'!$F530</f>
        <v>374</v>
      </c>
      <c r="F532" s="14" t="str">
        <f>+'[1]BASE RED COMERCIAL'!$I530</f>
        <v>H3733ZAA</v>
      </c>
      <c r="G532" s="7" t="str">
        <f>+'[1]BASE RED COMERCIAL'!$D530</f>
        <v>HERMOSO CAMPO</v>
      </c>
      <c r="H532" s="7" t="str">
        <f>+'[1]BASE RED COMERCIAL'!$B530</f>
        <v>CHACO</v>
      </c>
      <c r="I532" s="8" t="str">
        <f>+'[1]BASE RED COMERCIAL'!$C530</f>
        <v>2 DE ABRIL</v>
      </c>
      <c r="J532" s="10"/>
      <c r="K532" s="10"/>
    </row>
    <row r="533" spans="1:11" x14ac:dyDescent="0.25">
      <c r="A533" s="14" t="str">
        <f>+'[1]BASE RED COMERCIAL'!$A531</f>
        <v>H0036</v>
      </c>
      <c r="B533" s="8" t="str">
        <f>+'[1]BASE RED COMERCIAL'!$H531</f>
        <v>J.J.CASTELLI</v>
      </c>
      <c r="C533" s="7" t="s">
        <v>33</v>
      </c>
      <c r="D533" s="9" t="str">
        <f>+'[1]BASE RED COMERCIAL'!$E531</f>
        <v>SARMIENTO NÂº 355</v>
      </c>
      <c r="E533" s="7">
        <f>+'[1]BASE RED COMERCIAL'!$F531</f>
        <v>0</v>
      </c>
      <c r="F533" s="14" t="str">
        <f>+'[1]BASE RED COMERCIAL'!$I531</f>
        <v>H3705ZAC</v>
      </c>
      <c r="G533" s="7" t="str">
        <f>+'[1]BASE RED COMERCIAL'!$D531</f>
        <v>COLONIA JUAN JOSE CASTELLI</v>
      </c>
      <c r="H533" s="7" t="str">
        <f>+'[1]BASE RED COMERCIAL'!$B531</f>
        <v>CHACO</v>
      </c>
      <c r="I533" s="8" t="str">
        <f>+'[1]BASE RED COMERCIAL'!$C531</f>
        <v>GENERAL GUEMES</v>
      </c>
      <c r="J533" s="10"/>
      <c r="K533" s="10"/>
    </row>
    <row r="534" spans="1:11" x14ac:dyDescent="0.25">
      <c r="A534" s="14" t="str">
        <f>+'[1]BASE RED COMERCIAL'!$A532</f>
        <v>H0038</v>
      </c>
      <c r="B534" s="8" t="str">
        <f>+'[1]BASE RED COMERCIAL'!$H532</f>
        <v>LA LEONESA</v>
      </c>
      <c r="C534" s="7" t="s">
        <v>33</v>
      </c>
      <c r="D534" s="9" t="str">
        <f>+'[1]BASE RED COMERCIAL'!$E532</f>
        <v>AV DR ARTURO H ILLIA</v>
      </c>
      <c r="E534" s="7">
        <f>+'[1]BASE RED COMERCIAL'!$F532</f>
        <v>147</v>
      </c>
      <c r="F534" s="14" t="str">
        <f>+'[1]BASE RED COMERCIAL'!$I532</f>
        <v>H3518ZAA</v>
      </c>
      <c r="G534" s="7" t="str">
        <f>+'[1]BASE RED COMERCIAL'!$D532</f>
        <v>LA LEONESA</v>
      </c>
      <c r="H534" s="7" t="str">
        <f>+'[1]BASE RED COMERCIAL'!$B532</f>
        <v>CHACO</v>
      </c>
      <c r="I534" s="8" t="str">
        <f>+'[1]BASE RED COMERCIAL'!$C532</f>
        <v>BERMEJO</v>
      </c>
      <c r="J534" s="10"/>
      <c r="K534" s="10"/>
    </row>
    <row r="535" spans="1:11" x14ac:dyDescent="0.25">
      <c r="A535" s="14" t="str">
        <f>+'[1]BASE RED COMERCIAL'!$A533</f>
        <v>H0040</v>
      </c>
      <c r="B535" s="8" t="str">
        <f>+'[1]BASE RED COMERCIAL'!$H533</f>
        <v>LA ESCONDIDA</v>
      </c>
      <c r="C535" s="7" t="s">
        <v>33</v>
      </c>
      <c r="D535" s="9" t="str">
        <f>+'[1]BASE RED COMERCIAL'!$E533</f>
        <v>ENRIQUE NOETINGER</v>
      </c>
      <c r="E535" s="7">
        <f>+'[1]BASE RED COMERCIAL'!$F533</f>
        <v>0</v>
      </c>
      <c r="F535" s="14" t="str">
        <f>+'[1]BASE RED COMERCIAL'!$I533</f>
        <v>H3514ZAB</v>
      </c>
      <c r="G535" s="7" t="str">
        <f>+'[1]BASE RED COMERCIAL'!$D533</f>
        <v>LA ESCONDIDA</v>
      </c>
      <c r="H535" s="7" t="str">
        <f>+'[1]BASE RED COMERCIAL'!$B533</f>
        <v>CHACO</v>
      </c>
      <c r="I535" s="8" t="str">
        <f>+'[1]BASE RED COMERCIAL'!$C533</f>
        <v>GENERAL DONOVAN</v>
      </c>
      <c r="J535" s="10"/>
      <c r="K535" s="10"/>
    </row>
    <row r="536" spans="1:11" x14ac:dyDescent="0.25">
      <c r="A536" s="14" t="str">
        <f>+'[1]BASE RED COMERCIAL'!$A534</f>
        <v>H0042</v>
      </c>
      <c r="B536" s="8" t="str">
        <f>+'[1]BASE RED COMERCIAL'!$H534</f>
        <v>LA VERDE</v>
      </c>
      <c r="C536" s="7" t="s">
        <v>33</v>
      </c>
      <c r="D536" s="9" t="str">
        <f>+'[1]BASE RED COMERCIAL'!$E534</f>
        <v>GRAL M BELGRANO</v>
      </c>
      <c r="E536" s="7">
        <f>+'[1]BASE RED COMERCIAL'!$F534</f>
        <v>1</v>
      </c>
      <c r="F536" s="14" t="str">
        <f>+'[1]BASE RED COMERCIAL'!$I534</f>
        <v>H3527ZAA</v>
      </c>
      <c r="G536" s="7" t="str">
        <f>+'[1]BASE RED COMERCIAL'!$D534</f>
        <v>LA VERDE</v>
      </c>
      <c r="H536" s="7" t="str">
        <f>+'[1]BASE RED COMERCIAL'!$B534</f>
        <v>CHACO</v>
      </c>
      <c r="I536" s="8" t="str">
        <f>+'[1]BASE RED COMERCIAL'!$C534</f>
        <v>GENERAL DONOVAN</v>
      </c>
      <c r="J536" s="10"/>
      <c r="K536" s="10"/>
    </row>
    <row r="537" spans="1:11" x14ac:dyDescent="0.25">
      <c r="A537" s="14" t="str">
        <f>+'[1]BASE RED COMERCIAL'!$A535</f>
        <v>H0044</v>
      </c>
      <c r="B537" s="8" t="str">
        <f>+'[1]BASE RED COMERCIAL'!$H535</f>
        <v>LAS BREÃ‘AS</v>
      </c>
      <c r="C537" s="7" t="s">
        <v>33</v>
      </c>
      <c r="D537" s="9" t="str">
        <f>+'[1]BASE RED COMERCIAL'!$E535</f>
        <v>RIVADAVIA</v>
      </c>
      <c r="E537" s="7">
        <f>+'[1]BASE RED COMERCIAL'!$F535</f>
        <v>1031</v>
      </c>
      <c r="F537" s="14" t="str">
        <f>+'[1]BASE RED COMERCIAL'!$I535</f>
        <v>H3724ZAA</v>
      </c>
      <c r="G537" s="7" t="str">
        <f>+'[1]BASE RED COMERCIAL'!$D535</f>
        <v>LAS BREÃ‘AS</v>
      </c>
      <c r="H537" s="7" t="str">
        <f>+'[1]BASE RED COMERCIAL'!$B535</f>
        <v>CHACO</v>
      </c>
      <c r="I537" s="8" t="str">
        <f>+'[1]BASE RED COMERCIAL'!$C535</f>
        <v>9 DE JULIO</v>
      </c>
      <c r="J537" s="10"/>
      <c r="K537" s="10"/>
    </row>
    <row r="538" spans="1:11" x14ac:dyDescent="0.25">
      <c r="A538" s="14" t="str">
        <f>+'[1]BASE RED COMERCIAL'!$A536</f>
        <v>H0046</v>
      </c>
      <c r="B538" s="8" t="str">
        <f>+'[1]BASE RED COMERCIAL'!$H536</f>
        <v>LAS PALMAS</v>
      </c>
      <c r="C538" s="7" t="s">
        <v>33</v>
      </c>
      <c r="D538" s="9" t="str">
        <f>+'[1]BASE RED COMERCIAL'!$E536</f>
        <v>R ESCALADA SAN MARTIN</v>
      </c>
      <c r="E538" s="7">
        <f>+'[1]BASE RED COMERCIAL'!$F536</f>
        <v>100</v>
      </c>
      <c r="F538" s="14" t="str">
        <f>+'[1]BASE RED COMERCIAL'!$I536</f>
        <v>H3523ZAA</v>
      </c>
      <c r="G538" s="7" t="str">
        <f>+'[1]BASE RED COMERCIAL'!$D536</f>
        <v>LAS PALMAS</v>
      </c>
      <c r="H538" s="7" t="str">
        <f>+'[1]BASE RED COMERCIAL'!$B536</f>
        <v>CHACO</v>
      </c>
      <c r="I538" s="8" t="str">
        <f>+'[1]BASE RED COMERCIAL'!$C536</f>
        <v>BERMEJO</v>
      </c>
      <c r="J538" s="10"/>
      <c r="K538" s="10"/>
    </row>
    <row r="539" spans="1:11" x14ac:dyDescent="0.25">
      <c r="A539" s="14" t="str">
        <f>+'[1]BASE RED COMERCIAL'!$A537</f>
        <v>H0048</v>
      </c>
      <c r="B539" s="8" t="str">
        <f>+'[1]BASE RED COMERCIAL'!$H537</f>
        <v>LA TIGRA</v>
      </c>
      <c r="C539" s="7" t="s">
        <v>33</v>
      </c>
      <c r="D539" s="9" t="str">
        <f>+'[1]BASE RED COMERCIAL'!$E537</f>
        <v>AV 25 DE MAYO</v>
      </c>
      <c r="E539" s="7">
        <f>+'[1]BASE RED COMERCIAL'!$F537</f>
        <v>1007</v>
      </c>
      <c r="F539" s="14" t="str">
        <f>+'[1]BASE RED COMERCIAL'!$I537</f>
        <v>H3701ZAA</v>
      </c>
      <c r="G539" s="7" t="str">
        <f>+'[1]BASE RED COMERCIAL'!$D537</f>
        <v>LA TIGRA</v>
      </c>
      <c r="H539" s="7" t="str">
        <f>+'[1]BASE RED COMERCIAL'!$B537</f>
        <v>CHACO</v>
      </c>
      <c r="I539" s="8" t="str">
        <f>+'[1]BASE RED COMERCIAL'!$C537</f>
        <v>O HIGGINS</v>
      </c>
      <c r="J539" s="10"/>
      <c r="K539" s="10"/>
    </row>
    <row r="540" spans="1:11" x14ac:dyDescent="0.25">
      <c r="A540" s="14" t="str">
        <f>+'[1]BASE RED COMERCIAL'!$A538</f>
        <v>H0050</v>
      </c>
      <c r="B540" s="8" t="str">
        <f>+'[1]BASE RED COMERCIAL'!$H538</f>
        <v>MACHAGAI</v>
      </c>
      <c r="C540" s="7" t="s">
        <v>33</v>
      </c>
      <c r="D540" s="9" t="str">
        <f>+'[1]BASE RED COMERCIAL'!$E538</f>
        <v>URUGUAY</v>
      </c>
      <c r="E540" s="7">
        <f>+'[1]BASE RED COMERCIAL'!$F538</f>
        <v>198</v>
      </c>
      <c r="F540" s="14" t="str">
        <f>+'[1]BASE RED COMERCIAL'!$I538</f>
        <v>H3535ZAA</v>
      </c>
      <c r="G540" s="7" t="str">
        <f>+'[1]BASE RED COMERCIAL'!$D538</f>
        <v>MACHAGAI</v>
      </c>
      <c r="H540" s="7" t="str">
        <f>+'[1]BASE RED COMERCIAL'!$B538</f>
        <v>CHACO</v>
      </c>
      <c r="I540" s="8" t="str">
        <f>+'[1]BASE RED COMERCIAL'!$C538</f>
        <v>25 DE MAYO</v>
      </c>
      <c r="J540" s="10"/>
      <c r="K540" s="10"/>
    </row>
    <row r="541" spans="1:11" x14ac:dyDescent="0.25">
      <c r="A541" s="14" t="str">
        <f>+'[1]BASE RED COMERCIAL'!$A539</f>
        <v>H0052</v>
      </c>
      <c r="B541" s="8" t="str">
        <f>+'[1]BASE RED COMERCIAL'!$H539</f>
        <v>MAKALLE</v>
      </c>
      <c r="C541" s="7" t="s">
        <v>33</v>
      </c>
      <c r="D541" s="9" t="str">
        <f>+'[1]BASE RED COMERCIAL'!$E539</f>
        <v>SAN MARTIN</v>
      </c>
      <c r="E541" s="7">
        <f>+'[1]BASE RED COMERCIAL'!$F539</f>
        <v>100</v>
      </c>
      <c r="F541" s="14" t="str">
        <f>+'[1]BASE RED COMERCIAL'!$I539</f>
        <v>H3528ZAA</v>
      </c>
      <c r="G541" s="7" t="str">
        <f>+'[1]BASE RED COMERCIAL'!$D539</f>
        <v>MAKALLE</v>
      </c>
      <c r="H541" s="7" t="str">
        <f>+'[1]BASE RED COMERCIAL'!$B539</f>
        <v>CHACO</v>
      </c>
      <c r="I541" s="8" t="str">
        <f>+'[1]BASE RED COMERCIAL'!$C539</f>
        <v>GENERAL DONOVAN</v>
      </c>
      <c r="J541" s="10"/>
      <c r="K541" s="10"/>
    </row>
    <row r="542" spans="1:11" x14ac:dyDescent="0.25">
      <c r="A542" s="14" t="str">
        <f>+'[1]BASE RED COMERCIAL'!$A540</f>
        <v>H0054</v>
      </c>
      <c r="B542" s="8" t="str">
        <f>+'[1]BASE RED COMERCIAL'!$H540</f>
        <v>MARGARITA BELEN</v>
      </c>
      <c r="C542" s="7" t="s">
        <v>33</v>
      </c>
      <c r="D542" s="9" t="str">
        <f>+'[1]BASE RED COMERCIAL'!$E540</f>
        <v>PTE H YRIGOYEN</v>
      </c>
      <c r="E542" s="7">
        <f>+'[1]BASE RED COMERCIAL'!$F540</f>
        <v>100</v>
      </c>
      <c r="F542" s="14" t="str">
        <f>+'[1]BASE RED COMERCIAL'!$I540</f>
        <v>H3505ZAA</v>
      </c>
      <c r="G542" s="7" t="str">
        <f>+'[1]BASE RED COMERCIAL'!$D540</f>
        <v>MARGARITA BELEN</v>
      </c>
      <c r="H542" s="7" t="str">
        <f>+'[1]BASE RED COMERCIAL'!$B540</f>
        <v>CHACO</v>
      </c>
      <c r="I542" s="8" t="str">
        <f>+'[1]BASE RED COMERCIAL'!$C540</f>
        <v>1 DE MAYO</v>
      </c>
      <c r="J542" s="10"/>
      <c r="K542" s="10"/>
    </row>
    <row r="543" spans="1:11" x14ac:dyDescent="0.25">
      <c r="A543" s="14" t="str">
        <f>+'[1]BASE RED COMERCIAL'!$A541</f>
        <v>H0056</v>
      </c>
      <c r="B543" s="8" t="str">
        <f>+'[1]BASE RED COMERCIAL'!$H541</f>
        <v>PAMPA DEL INDIO</v>
      </c>
      <c r="C543" s="7" t="s">
        <v>33</v>
      </c>
      <c r="D543" s="9" t="str">
        <f>+'[1]BASE RED COMERCIAL'!$E541</f>
        <v>LUIS PESSANO</v>
      </c>
      <c r="E543" s="7">
        <f>+'[1]BASE RED COMERCIAL'!$F541</f>
        <v>391</v>
      </c>
      <c r="F543" s="14" t="str">
        <f>+'[1]BASE RED COMERCIAL'!$I541</f>
        <v>H3531ZAA</v>
      </c>
      <c r="G543" s="7" t="str">
        <f>+'[1]BASE RED COMERCIAL'!$D541</f>
        <v>PAMPA DEL INDIO</v>
      </c>
      <c r="H543" s="7" t="str">
        <f>+'[1]BASE RED COMERCIAL'!$B541</f>
        <v>CHACO</v>
      </c>
      <c r="I543" s="8" t="str">
        <f>+'[1]BASE RED COMERCIAL'!$C541</f>
        <v>LIBERTADOR GRAL SAN MARTIN</v>
      </c>
      <c r="J543" s="10"/>
      <c r="K543" s="10"/>
    </row>
    <row r="544" spans="1:11" x14ac:dyDescent="0.25">
      <c r="A544" s="14" t="str">
        <f>+'[1]BASE RED COMERCIAL'!$A542</f>
        <v>H0058</v>
      </c>
      <c r="B544" s="8" t="str">
        <f>+'[1]BASE RED COMERCIAL'!$H542</f>
        <v>PAMPA DEL INFIERNO</v>
      </c>
      <c r="C544" s="7" t="s">
        <v>33</v>
      </c>
      <c r="D544" s="9" t="str">
        <f>+'[1]BASE RED COMERCIAL'!$E542</f>
        <v>PTE H YRIGOYEN</v>
      </c>
      <c r="E544" s="7">
        <f>+'[1]BASE RED COMERCIAL'!$F542</f>
        <v>358</v>
      </c>
      <c r="F544" s="14" t="str">
        <f>+'[1]BASE RED COMERCIAL'!$I542</f>
        <v>H3721ZAA</v>
      </c>
      <c r="G544" s="7" t="str">
        <f>+'[1]BASE RED COMERCIAL'!$D542</f>
        <v>PAMPA DEL INFIERNO</v>
      </c>
      <c r="H544" s="7" t="str">
        <f>+'[1]BASE RED COMERCIAL'!$B542</f>
        <v>CHACO</v>
      </c>
      <c r="I544" s="8" t="str">
        <f>+'[1]BASE RED COMERCIAL'!$C542</f>
        <v>ALMIRANTE BROWN</v>
      </c>
      <c r="J544" s="10"/>
      <c r="K544" s="10"/>
    </row>
    <row r="545" spans="1:11" x14ac:dyDescent="0.25">
      <c r="A545" s="14" t="str">
        <f>+'[1]BASE RED COMERCIAL'!$A543</f>
        <v>H0060</v>
      </c>
      <c r="B545" s="8" t="str">
        <f>+'[1]BASE RED COMERCIAL'!$H543</f>
        <v>PCIA. DE LA PLAZA</v>
      </c>
      <c r="C545" s="7" t="s">
        <v>33</v>
      </c>
      <c r="D545" s="9" t="str">
        <f>+'[1]BASE RED COMERCIAL'!$E543</f>
        <v>DOMINGO SARMIENTO</v>
      </c>
      <c r="E545" s="7">
        <f>+'[1]BASE RED COMERCIAL'!$F543</f>
        <v>100</v>
      </c>
      <c r="F545" s="14" t="str">
        <f>+'[1]BASE RED COMERCIAL'!$I543</f>
        <v>H3536ZAA</v>
      </c>
      <c r="G545" s="7" t="str">
        <f>+'[1]BASE RED COMERCIAL'!$D543</f>
        <v>PRESIDENCIA DE LA PLAZA</v>
      </c>
      <c r="H545" s="7" t="str">
        <f>+'[1]BASE RED COMERCIAL'!$B543</f>
        <v>CHACO</v>
      </c>
      <c r="I545" s="8" t="str">
        <f>+'[1]BASE RED COMERCIAL'!$C543</f>
        <v>PRESIDENCIA DE LA PLAZA</v>
      </c>
      <c r="J545" s="10"/>
      <c r="K545" s="10"/>
    </row>
    <row r="546" spans="1:11" x14ac:dyDescent="0.25">
      <c r="A546" s="14" t="str">
        <f>+'[1]BASE RED COMERCIAL'!$A544</f>
        <v>H0062</v>
      </c>
      <c r="B546" s="8" t="str">
        <f>+'[1]BASE RED COMERCIAL'!$H544</f>
        <v>PCIA. ROCA</v>
      </c>
      <c r="C546" s="7" t="s">
        <v>33</v>
      </c>
      <c r="D546" s="9" t="str">
        <f>+'[1]BASE RED COMERCIAL'!$E544</f>
        <v>AV GRAL SAN MARTIN</v>
      </c>
      <c r="E546" s="7">
        <f>+'[1]BASE RED COMERCIAL'!$F544</f>
        <v>100</v>
      </c>
      <c r="F546" s="14" t="str">
        <f>+'[1]BASE RED COMERCIAL'!$I544</f>
        <v>H3511ZAA</v>
      </c>
      <c r="G546" s="7" t="str">
        <f>+'[1]BASE RED COMERCIAL'!$D544</f>
        <v>PRESIDENCIA ROCA</v>
      </c>
      <c r="H546" s="7" t="str">
        <f>+'[1]BASE RED COMERCIAL'!$B544</f>
        <v>CHACO</v>
      </c>
      <c r="I546" s="8" t="str">
        <f>+'[1]BASE RED COMERCIAL'!$C544</f>
        <v>LIBERTADOR GRAL SAN MARTIN</v>
      </c>
      <c r="J546" s="10"/>
      <c r="K546" s="10"/>
    </row>
    <row r="547" spans="1:11" x14ac:dyDescent="0.25">
      <c r="A547" s="14" t="str">
        <f>+'[1]BASE RED COMERCIAL'!$A545</f>
        <v>H0064</v>
      </c>
      <c r="B547" s="8" t="str">
        <f>+'[1]BASE RED COMERCIAL'!$H545</f>
        <v>P.R.S.PEÃ‘A</v>
      </c>
      <c r="C547" s="7" t="s">
        <v>33</v>
      </c>
      <c r="D547" s="9" t="str">
        <f>+'[1]BASE RED COMERCIAL'!$E545</f>
        <v>DR MANUEL BELGRANO</v>
      </c>
      <c r="E547" s="7">
        <f>+'[1]BASE RED COMERCIAL'!$F545</f>
        <v>601</v>
      </c>
      <c r="F547" s="14" t="str">
        <f>+'[1]BASE RED COMERCIAL'!$I545</f>
        <v>H3700ZAA</v>
      </c>
      <c r="G547" s="7" t="str">
        <f>+'[1]BASE RED COMERCIAL'!$D545</f>
        <v>PRESIDENCIA ROQUE SAENZ PEÃ‘A</v>
      </c>
      <c r="H547" s="7" t="str">
        <f>+'[1]BASE RED COMERCIAL'!$B545</f>
        <v>CHACO</v>
      </c>
      <c r="I547" s="8" t="str">
        <f>+'[1]BASE RED COMERCIAL'!$C545</f>
        <v>COMANDANTE FERNANDEZ</v>
      </c>
      <c r="J547" s="10"/>
      <c r="K547" s="10"/>
    </row>
    <row r="548" spans="1:11" x14ac:dyDescent="0.25">
      <c r="A548" s="14" t="str">
        <f>+'[1]BASE RED COMERCIAL'!$A546</f>
        <v>H0066</v>
      </c>
      <c r="B548" s="8" t="str">
        <f>+'[1]BASE RED COMERCIAL'!$H546</f>
        <v>PUERTO TIROL</v>
      </c>
      <c r="C548" s="7" t="s">
        <v>33</v>
      </c>
      <c r="D548" s="9" t="str">
        <f>+'[1]BASE RED COMERCIAL'!$E546</f>
        <v>12 DE OCTUBRE</v>
      </c>
      <c r="E548" s="7">
        <f>+'[1]BASE RED COMERCIAL'!$F546</f>
        <v>135</v>
      </c>
      <c r="F548" s="14" t="str">
        <f>+'[1]BASE RED COMERCIAL'!$I546</f>
        <v>H3521ZAA</v>
      </c>
      <c r="G548" s="7" t="str">
        <f>+'[1]BASE RED COMERCIAL'!$D546</f>
        <v>PUERTO TIROL</v>
      </c>
      <c r="H548" s="7" t="str">
        <f>+'[1]BASE RED COMERCIAL'!$B546</f>
        <v>CHACO</v>
      </c>
      <c r="I548" s="8" t="str">
        <f>+'[1]BASE RED COMERCIAL'!$C546</f>
        <v>LIBERTAD</v>
      </c>
      <c r="J548" s="10"/>
      <c r="K548" s="10"/>
    </row>
    <row r="549" spans="1:11" x14ac:dyDescent="0.25">
      <c r="A549" s="14" t="str">
        <f>+'[1]BASE RED COMERCIAL'!$A547</f>
        <v>H0068</v>
      </c>
      <c r="B549" s="8" t="str">
        <f>+'[1]BASE RED COMERCIAL'!$H547</f>
        <v>PUERTO VILELAS</v>
      </c>
      <c r="C549" s="7" t="s">
        <v>33</v>
      </c>
      <c r="D549" s="9" t="str">
        <f>+'[1]BASE RED COMERCIAL'!$E547</f>
        <v>AV RIO PARANA</v>
      </c>
      <c r="E549" s="7">
        <f>+'[1]BASE RED COMERCIAL'!$F547</f>
        <v>0</v>
      </c>
      <c r="F549" s="14" t="str">
        <f>+'[1]BASE RED COMERCIAL'!$I547</f>
        <v>H3512ZAA</v>
      </c>
      <c r="G549" s="7" t="str">
        <f>+'[1]BASE RED COMERCIAL'!$D547</f>
        <v>PUERTO VILELAS</v>
      </c>
      <c r="H549" s="7" t="str">
        <f>+'[1]BASE RED COMERCIAL'!$B547</f>
        <v>CHACO</v>
      </c>
      <c r="I549" s="8" t="str">
        <f>+'[1]BASE RED COMERCIAL'!$C547</f>
        <v>SAN FERNANDO</v>
      </c>
      <c r="J549" s="10"/>
      <c r="K549" s="10"/>
    </row>
    <row r="550" spans="1:11" x14ac:dyDescent="0.25">
      <c r="A550" s="14" t="str">
        <f>+'[1]BASE RED COMERCIAL'!$A548</f>
        <v>H0070</v>
      </c>
      <c r="B550" s="8" t="str">
        <f>+'[1]BASE RED COMERCIAL'!$H548</f>
        <v>QUITILIPI</v>
      </c>
      <c r="C550" s="7" t="s">
        <v>33</v>
      </c>
      <c r="D550" s="9" t="str">
        <f>+'[1]BASE RED COMERCIAL'!$E548</f>
        <v>CORDOBA</v>
      </c>
      <c r="E550" s="7">
        <f>+'[1]BASE RED COMERCIAL'!$F548</f>
        <v>575</v>
      </c>
      <c r="F550" s="14" t="str">
        <f>+'[1]BASE RED COMERCIAL'!$I548</f>
        <v>H3530ZAA</v>
      </c>
      <c r="G550" s="7" t="str">
        <f>+'[1]BASE RED COMERCIAL'!$D548</f>
        <v>QUITILIPI</v>
      </c>
      <c r="H550" s="7" t="str">
        <f>+'[1]BASE RED COMERCIAL'!$B548</f>
        <v>CHACO</v>
      </c>
      <c r="I550" s="8" t="str">
        <f>+'[1]BASE RED COMERCIAL'!$C548</f>
        <v>QUITILIPI</v>
      </c>
      <c r="J550" s="10"/>
      <c r="K550" s="10"/>
    </row>
    <row r="551" spans="1:11" x14ac:dyDescent="0.25">
      <c r="A551" s="14" t="str">
        <f>+'[1]BASE RED COMERCIAL'!$A549</f>
        <v>H0076</v>
      </c>
      <c r="B551" s="8" t="str">
        <f>+'[1]BASE RED COMERCIAL'!$H549</f>
        <v>SAN BERNARDO</v>
      </c>
      <c r="C551" s="7" t="s">
        <v>33</v>
      </c>
      <c r="D551" s="9" t="str">
        <f>+'[1]BASE RED COMERCIAL'!$E549</f>
        <v>R PROV 6</v>
      </c>
      <c r="E551" s="7">
        <f>+'[1]BASE RED COMERCIAL'!$F549</f>
        <v>0</v>
      </c>
      <c r="F551" s="14" t="str">
        <f>+'[1]BASE RED COMERCIAL'!$I549</f>
        <v>H3726ZAA</v>
      </c>
      <c r="G551" s="7" t="str">
        <f>+'[1]BASE RED COMERCIAL'!$D549</f>
        <v>SAN BERNARDO</v>
      </c>
      <c r="H551" s="7" t="str">
        <f>+'[1]BASE RED COMERCIAL'!$B549</f>
        <v>CHACO</v>
      </c>
      <c r="I551" s="8" t="str">
        <f>+'[1]BASE RED COMERCIAL'!$C549</f>
        <v>O HIGGINS</v>
      </c>
      <c r="J551" s="10"/>
      <c r="K551" s="10"/>
    </row>
    <row r="552" spans="1:11" x14ac:dyDescent="0.25">
      <c r="A552" s="14" t="str">
        <f>+'[1]BASE RED COMERCIAL'!$A550</f>
        <v>H0078</v>
      </c>
      <c r="B552" s="8" t="str">
        <f>+'[1]BASE RED COMERCIAL'!$H550</f>
        <v>SANTA SYLVINA</v>
      </c>
      <c r="C552" s="7" t="s">
        <v>33</v>
      </c>
      <c r="D552" s="9" t="str">
        <f>+'[1]BASE RED COMERCIAL'!$E550</f>
        <v>JOSE MARCELINO FALCHINI</v>
      </c>
      <c r="E552" s="7">
        <f>+'[1]BASE RED COMERCIAL'!$F550</f>
        <v>233</v>
      </c>
      <c r="F552" s="14" t="str">
        <f>+'[1]BASE RED COMERCIAL'!$I550</f>
        <v>H3542ZAA</v>
      </c>
      <c r="G552" s="7" t="str">
        <f>+'[1]BASE RED COMERCIAL'!$D550</f>
        <v>SANTA SYLVINA</v>
      </c>
      <c r="H552" s="7" t="str">
        <f>+'[1]BASE RED COMERCIAL'!$B550</f>
        <v>CHACO</v>
      </c>
      <c r="I552" s="8" t="str">
        <f>+'[1]BASE RED COMERCIAL'!$C550</f>
        <v>FRAY JUSTO SANTA MARIA DE ORO</v>
      </c>
      <c r="J552" s="10"/>
      <c r="K552" s="10"/>
    </row>
    <row r="553" spans="1:11" x14ac:dyDescent="0.25">
      <c r="A553" s="14" t="str">
        <f>+'[1]BASE RED COMERCIAL'!$A551</f>
        <v>H0080</v>
      </c>
      <c r="B553" s="8" t="str">
        <f>+'[1]BASE RED COMERCIAL'!$H551</f>
        <v>TACO POZO</v>
      </c>
      <c r="C553" s="7" t="s">
        <v>33</v>
      </c>
      <c r="D553" s="9" t="str">
        <f>+'[1]BASE RED COMERCIAL'!$E551</f>
        <v>DR JUAN J PASO</v>
      </c>
      <c r="E553" s="7">
        <f>+'[1]BASE RED COMERCIAL'!$F551</f>
        <v>0</v>
      </c>
      <c r="F553" s="14" t="str">
        <f>+'[1]BASE RED COMERCIAL'!$I551</f>
        <v>H3717ZAA</v>
      </c>
      <c r="G553" s="7" t="str">
        <f>+'[1]BASE RED COMERCIAL'!$D551</f>
        <v>TACO POZO</v>
      </c>
      <c r="H553" s="7" t="str">
        <f>+'[1]BASE RED COMERCIAL'!$B551</f>
        <v>CHACO</v>
      </c>
      <c r="I553" s="8" t="str">
        <f>+'[1]BASE RED COMERCIAL'!$C551</f>
        <v>ALMIRANTE BROWN</v>
      </c>
      <c r="J553" s="10"/>
      <c r="K553" s="10"/>
    </row>
    <row r="554" spans="1:11" x14ac:dyDescent="0.25">
      <c r="A554" s="14" t="str">
        <f>+'[1]BASE RED COMERCIAL'!$A552</f>
        <v>H0082</v>
      </c>
      <c r="B554" s="8" t="str">
        <f>+'[1]BASE RED COMERCIAL'!$H552</f>
        <v>TRES ISLETAS</v>
      </c>
      <c r="C554" s="7" t="s">
        <v>33</v>
      </c>
      <c r="D554" s="9" t="str">
        <f>+'[1]BASE RED COMERCIAL'!$E552</f>
        <v>PARAGUAY</v>
      </c>
      <c r="E554" s="7">
        <f>+'[1]BASE RED COMERCIAL'!$F552</f>
        <v>199</v>
      </c>
      <c r="F554" s="14" t="str">
        <f>+'[1]BASE RED COMERCIAL'!$I552</f>
        <v>H3703ZAA</v>
      </c>
      <c r="G554" s="7" t="str">
        <f>+'[1]BASE RED COMERCIAL'!$D552</f>
        <v>TRES ISLETAS</v>
      </c>
      <c r="H554" s="7" t="str">
        <f>+'[1]BASE RED COMERCIAL'!$B552</f>
        <v>CHACO</v>
      </c>
      <c r="I554" s="8" t="str">
        <f>+'[1]BASE RED COMERCIAL'!$C552</f>
        <v>MAIPU</v>
      </c>
      <c r="J554" s="10"/>
      <c r="K554" s="10"/>
    </row>
    <row r="555" spans="1:11" x14ac:dyDescent="0.25">
      <c r="A555" s="14" t="str">
        <f>+'[1]BASE RED COMERCIAL'!$A553</f>
        <v>H0084</v>
      </c>
      <c r="B555" s="8" t="str">
        <f>+'[1]BASE RED COMERCIAL'!$H553</f>
        <v>VILLA ANGELA</v>
      </c>
      <c r="C555" s="7" t="s">
        <v>33</v>
      </c>
      <c r="D555" s="9" t="str">
        <f>+'[1]BASE RED COMERCIAL'!$E553</f>
        <v>1 DE MAYO</v>
      </c>
      <c r="E555" s="7">
        <f>+'[1]BASE RED COMERCIAL'!$F553</f>
        <v>199</v>
      </c>
      <c r="F555" s="14" t="str">
        <f>+'[1]BASE RED COMERCIAL'!$I553</f>
        <v>H3540ZAA</v>
      </c>
      <c r="G555" s="7" t="str">
        <f>+'[1]BASE RED COMERCIAL'!$D553</f>
        <v>VILLA ANGELA</v>
      </c>
      <c r="H555" s="7" t="str">
        <f>+'[1]BASE RED COMERCIAL'!$B553</f>
        <v>CHACO</v>
      </c>
      <c r="I555" s="8" t="str">
        <f>+'[1]BASE RED COMERCIAL'!$C553</f>
        <v>MAYOR LUIS J FONTANA</v>
      </c>
      <c r="J555" s="10"/>
      <c r="K555" s="10"/>
    </row>
    <row r="556" spans="1:11" x14ac:dyDescent="0.25">
      <c r="A556" s="14" t="str">
        <f>+'[1]BASE RED COMERCIAL'!$A554</f>
        <v>H0086</v>
      </c>
      <c r="B556" s="8" t="str">
        <f>+'[1]BASE RED COMERCIAL'!$H554</f>
        <v>VILLA BERTHET</v>
      </c>
      <c r="C556" s="7" t="s">
        <v>33</v>
      </c>
      <c r="D556" s="9" t="str">
        <f>+'[1]BASE RED COMERCIAL'!$E554</f>
        <v>PRINGLES</v>
      </c>
      <c r="E556" s="7">
        <f>+'[1]BASE RED COMERCIAL'!$F554</f>
        <v>250</v>
      </c>
      <c r="F556" s="14" t="str">
        <f>+'[1]BASE RED COMERCIAL'!$I554</f>
        <v>H3545ZAA</v>
      </c>
      <c r="G556" s="7" t="str">
        <f>+'[1]BASE RED COMERCIAL'!$D554</f>
        <v>VILLA BERTHET</v>
      </c>
      <c r="H556" s="7" t="str">
        <f>+'[1]BASE RED COMERCIAL'!$B554</f>
        <v>CHACO</v>
      </c>
      <c r="I556" s="8" t="str">
        <f>+'[1]BASE RED COMERCIAL'!$C554</f>
        <v>SAN LORENZO</v>
      </c>
      <c r="J556" s="10"/>
      <c r="K556" s="10"/>
    </row>
    <row r="557" spans="1:11" x14ac:dyDescent="0.25">
      <c r="A557" s="14" t="str">
        <f>+'[1]BASE RED COMERCIAL'!$A555</f>
        <v>H1004</v>
      </c>
      <c r="B557" s="8" t="str">
        <f>+'[1]BASE RED COMERCIAL'!$H555</f>
        <v>CHARADAI</v>
      </c>
      <c r="C557" s="7" t="s">
        <v>33</v>
      </c>
      <c r="D557" s="9" t="str">
        <f>+'[1]BASE RED COMERCIAL'!$E555</f>
        <v>CALLE EN LOCALIDAD DE MENOS DE</v>
      </c>
      <c r="E557" s="7">
        <f>+'[1]BASE RED COMERCIAL'!$F555</f>
        <v>0</v>
      </c>
      <c r="F557" s="14" t="str">
        <f>+'[1]BASE RED COMERCIAL'!$I555</f>
        <v>H3513ZAA</v>
      </c>
      <c r="G557" s="7" t="str">
        <f>+'[1]BASE RED COMERCIAL'!$D555</f>
        <v>CHARADAI</v>
      </c>
      <c r="H557" s="7" t="str">
        <f>+'[1]BASE RED COMERCIAL'!$B555</f>
        <v>CHACO</v>
      </c>
      <c r="I557" s="8" t="str">
        <f>+'[1]BASE RED COMERCIAL'!$C555</f>
        <v>TAPENAGA</v>
      </c>
      <c r="J557" s="10"/>
      <c r="K557" s="10"/>
    </row>
    <row r="558" spans="1:11" x14ac:dyDescent="0.25">
      <c r="A558" s="14" t="str">
        <f>+'[1]BASE RED COMERCIAL'!$A556</f>
        <v>H1010</v>
      </c>
      <c r="B558" s="8" t="str">
        <f>+'[1]BASE RED COMERCIAL'!$H556</f>
        <v>COLONIA BARANDA</v>
      </c>
      <c r="C558" s="7" t="s">
        <v>33</v>
      </c>
      <c r="D558" s="9" t="str">
        <f>+'[1]BASE RED COMERCIAL'!$E556</f>
        <v>CALLE EN LOCALIDAD DE MENOS DE</v>
      </c>
      <c r="E558" s="7">
        <f>+'[1]BASE RED COMERCIAL'!$F556</f>
        <v>0</v>
      </c>
      <c r="F558" s="14" t="str">
        <f>+'[1]BASE RED COMERCIAL'!$I556</f>
        <v>H3505ZAB</v>
      </c>
      <c r="G558" s="7" t="str">
        <f>+'[1]BASE RED COMERCIAL'!$D556</f>
        <v>COLONIA BARANDA</v>
      </c>
      <c r="H558" s="7" t="str">
        <f>+'[1]BASE RED COMERCIAL'!$B556</f>
        <v>CHACO</v>
      </c>
      <c r="I558" s="8" t="str">
        <f>+'[1]BASE RED COMERCIAL'!$C556</f>
        <v>SAN FERNANDO</v>
      </c>
      <c r="J558" s="10"/>
      <c r="K558" s="10"/>
    </row>
    <row r="559" spans="1:11" x14ac:dyDescent="0.25">
      <c r="A559" s="14" t="str">
        <f>+'[1]BASE RED COMERCIAL'!$A557</f>
        <v>H1020</v>
      </c>
      <c r="B559" s="8" t="str">
        <f>+'[1]BASE RED COMERCIAL'!$H557</f>
        <v>ISLA DEL CERRITO</v>
      </c>
      <c r="C559" s="7" t="s">
        <v>33</v>
      </c>
      <c r="D559" s="9" t="str">
        <f>+'[1]BASE RED COMERCIAL'!$E557</f>
        <v>CALLE EN LOCALIDAD DE MENOS DE</v>
      </c>
      <c r="E559" s="7">
        <f>+'[1]BASE RED COMERCIAL'!$F557</f>
        <v>0</v>
      </c>
      <c r="F559" s="14" t="str">
        <f>+'[1]BASE RED COMERCIAL'!$I557</f>
        <v>H3518ZAB</v>
      </c>
      <c r="G559" s="7" t="str">
        <f>+'[1]BASE RED COMERCIAL'!$D557</f>
        <v>ISLA DEL CERRITO</v>
      </c>
      <c r="H559" s="7" t="str">
        <f>+'[1]BASE RED COMERCIAL'!$B557</f>
        <v>CHACO</v>
      </c>
      <c r="I559" s="8" t="str">
        <f>+'[1]BASE RED COMERCIAL'!$C557</f>
        <v>BERMEJO</v>
      </c>
      <c r="J559" s="10"/>
      <c r="K559" s="10"/>
    </row>
    <row r="560" spans="1:11" x14ac:dyDescent="0.25">
      <c r="A560" s="14" t="str">
        <f>+'[1]BASE RED COMERCIAL'!$A558</f>
        <v>H1024</v>
      </c>
      <c r="B560" s="8" t="str">
        <f>+'[1]BASE RED COMERCIAL'!$H558</f>
        <v>LA CLOTILDE</v>
      </c>
      <c r="C560" s="7" t="s">
        <v>33</v>
      </c>
      <c r="D560" s="9" t="str">
        <f>+'[1]BASE RED COMERCIAL'!$E558</f>
        <v>CALLE 3</v>
      </c>
      <c r="E560" s="7">
        <f>+'[1]BASE RED COMERCIAL'!$F558</f>
        <v>0</v>
      </c>
      <c r="F560" s="14" t="str">
        <f>+'[1]BASE RED COMERCIAL'!$I558</f>
        <v>H3725ZAA</v>
      </c>
      <c r="G560" s="7" t="str">
        <f>+'[1]BASE RED COMERCIAL'!$D558</f>
        <v>LA CLOTILDE</v>
      </c>
      <c r="H560" s="7" t="str">
        <f>+'[1]BASE RED COMERCIAL'!$B558</f>
        <v>CHACO</v>
      </c>
      <c r="I560" s="8" t="str">
        <f>+'[1]BASE RED COMERCIAL'!$C558</f>
        <v>O HIGGINS</v>
      </c>
      <c r="J560" s="10"/>
      <c r="K560" s="10"/>
    </row>
    <row r="561" spans="1:11" x14ac:dyDescent="0.25">
      <c r="A561" s="14" t="str">
        <f>+'[1]BASE RED COMERCIAL'!$A559</f>
        <v>H1032</v>
      </c>
      <c r="B561" s="8" t="str">
        <f>+'[1]BASE RED COMERCIAL'!$H559</f>
        <v>LOS FRENTONES</v>
      </c>
      <c r="C561" s="7" t="s">
        <v>33</v>
      </c>
      <c r="D561" s="9" t="str">
        <f>+'[1]BASE RED COMERCIAL'!$E559</f>
        <v>CALLE S/N 1</v>
      </c>
      <c r="E561" s="7">
        <f>+'[1]BASE RED COMERCIAL'!$F559</f>
        <v>100</v>
      </c>
      <c r="F561" s="14" t="str">
        <f>+'[1]BASE RED COMERCIAL'!$I559</f>
        <v>H3715ZAA</v>
      </c>
      <c r="G561" s="7" t="str">
        <f>+'[1]BASE RED COMERCIAL'!$D559</f>
        <v>LOS FRENTONES</v>
      </c>
      <c r="H561" s="7" t="str">
        <f>+'[1]BASE RED COMERCIAL'!$B559</f>
        <v>CHACO</v>
      </c>
      <c r="I561" s="8" t="str">
        <f>+'[1]BASE RED COMERCIAL'!$C559</f>
        <v>ALMIRANTE BROWN</v>
      </c>
      <c r="J561" s="10"/>
      <c r="K561" s="10"/>
    </row>
    <row r="562" spans="1:11" x14ac:dyDescent="0.25">
      <c r="A562" s="14" t="str">
        <f>+'[1]BASE RED COMERCIAL'!$A560</f>
        <v>H1068</v>
      </c>
      <c r="B562" s="8" t="str">
        <f>+'[1]BASE RED COMERCIAL'!$H560</f>
        <v>SAMUHU</v>
      </c>
      <c r="C562" s="7" t="s">
        <v>33</v>
      </c>
      <c r="D562" s="9" t="str">
        <f>+'[1]BASE RED COMERCIAL'!$E560</f>
        <v>R PROV 1</v>
      </c>
      <c r="E562" s="7">
        <f>+'[1]BASE RED COMERCIAL'!$F560</f>
        <v>0</v>
      </c>
      <c r="F562" s="14" t="str">
        <f>+'[1]BASE RED COMERCIAL'!$I560</f>
        <v>H3543ZAA</v>
      </c>
      <c r="G562" s="7" t="str">
        <f>+'[1]BASE RED COMERCIAL'!$D560</f>
        <v>SAMUHU</v>
      </c>
      <c r="H562" s="7" t="str">
        <f>+'[1]BASE RED COMERCIAL'!$B560</f>
        <v>CHACO</v>
      </c>
      <c r="I562" s="8" t="str">
        <f>+'[1]BASE RED COMERCIAL'!$C560</f>
        <v>SAN LORENZO</v>
      </c>
      <c r="J562" s="10"/>
      <c r="K562" s="10"/>
    </row>
    <row r="563" spans="1:11" x14ac:dyDescent="0.25">
      <c r="A563" s="14" t="str">
        <f>+'[1]BASE RED COMERCIAL'!$A561</f>
        <v>H1070</v>
      </c>
      <c r="B563" s="8" t="str">
        <f>+'[1]BASE RED COMERCIAL'!$H561</f>
        <v>SELVAS DEL RIO DE ORO</v>
      </c>
      <c r="C563" s="7" t="s">
        <v>33</v>
      </c>
      <c r="D563" s="9" t="str">
        <f>+'[1]BASE RED COMERCIAL'!$E561</f>
        <v>CALLE EN LOCALIDAD DE MENOS DE</v>
      </c>
      <c r="E563" s="7">
        <f>+'[1]BASE RED COMERCIAL'!$F561</f>
        <v>0</v>
      </c>
      <c r="F563" s="14" t="str">
        <f>+'[1]BASE RED COMERCIAL'!$I561</f>
        <v>H3507ZAB</v>
      </c>
      <c r="G563" s="7" t="str">
        <f>+'[1]BASE RED COMERCIAL'!$D561</f>
        <v>SELVAS DEL RIO DE ORO</v>
      </c>
      <c r="H563" s="7" t="str">
        <f>+'[1]BASE RED COMERCIAL'!$B561</f>
        <v>CHACO</v>
      </c>
      <c r="I563" s="8" t="str">
        <f>+'[1]BASE RED COMERCIAL'!$C561</f>
        <v>LIBERTADOR GRAL SAN MARTIN</v>
      </c>
      <c r="J563" s="10"/>
      <c r="K563" s="10"/>
    </row>
    <row r="564" spans="1:11" x14ac:dyDescent="0.25">
      <c r="A564" s="14" t="str">
        <f>+'[1]BASE RED COMERCIAL'!$A562</f>
        <v>H1072</v>
      </c>
      <c r="B564" s="8" t="str">
        <f>+'[1]BASE RED COMERCIAL'!$H562</f>
        <v>MISI+N NUEVA POMPEYA</v>
      </c>
      <c r="C564" s="7" t="s">
        <v>33</v>
      </c>
      <c r="D564" s="9" t="str">
        <f>+'[1]BASE RED COMERCIAL'!$E562</f>
        <v>CALLE PUBLICA S N</v>
      </c>
      <c r="E564" s="7">
        <f>+'[1]BASE RED COMERCIAL'!$F562</f>
        <v>0</v>
      </c>
      <c r="F564" s="14" t="str">
        <f>+'[1]BASE RED COMERCIAL'!$I562</f>
        <v>H3705ZAB</v>
      </c>
      <c r="G564" s="7" t="str">
        <f>+'[1]BASE RED COMERCIAL'!$D562</f>
        <v>MISION NUEVA POMPEYA</v>
      </c>
      <c r="H564" s="7" t="str">
        <f>+'[1]BASE RED COMERCIAL'!$B562</f>
        <v>CHACO</v>
      </c>
      <c r="I564" s="8" t="str">
        <f>+'[1]BASE RED COMERCIAL'!$C562</f>
        <v>GENERAL GUEMES</v>
      </c>
      <c r="J564" s="10"/>
      <c r="K564" s="10"/>
    </row>
    <row r="565" spans="1:11" x14ac:dyDescent="0.25">
      <c r="A565" s="14" t="str">
        <f>+'[1]BASE RED COMERCIAL'!$A563</f>
        <v>H1121</v>
      </c>
      <c r="B565" s="8" t="str">
        <f>+'[1]BASE RED COMERCIAL'!$H563</f>
        <v>FONTANA</v>
      </c>
      <c r="C565" s="7" t="s">
        <v>33</v>
      </c>
      <c r="D565" s="9" t="str">
        <f>+'[1]BASE RED COMERCIAL'!$E563</f>
        <v>M GARCIA MEROU</v>
      </c>
      <c r="E565" s="7">
        <f>+'[1]BASE RED COMERCIAL'!$F563</f>
        <v>5120</v>
      </c>
      <c r="F565" s="14" t="str">
        <f>+'[1]BASE RED COMERCIAL'!$I563</f>
        <v>H3514ZAA</v>
      </c>
      <c r="G565" s="7" t="str">
        <f>+'[1]BASE RED COMERCIAL'!$D563</f>
        <v>FONTANA</v>
      </c>
      <c r="H565" s="7" t="str">
        <f>+'[1]BASE RED COMERCIAL'!$B563</f>
        <v>CHACO</v>
      </c>
      <c r="I565" s="8" t="str">
        <f>+'[1]BASE RED COMERCIAL'!$C563</f>
        <v>SAN FERNANDO</v>
      </c>
      <c r="J565" s="10"/>
      <c r="K565" s="10"/>
    </row>
    <row r="566" spans="1:11" x14ac:dyDescent="0.25">
      <c r="A566" s="14" t="str">
        <f>+'[1]BASE RED COMERCIAL'!$A564</f>
        <v>U0000</v>
      </c>
      <c r="B566" s="8" t="str">
        <f>+'[1]BASE RED COMERCIAL'!$H564</f>
        <v>COMODORO RIVADAVIA</v>
      </c>
      <c r="C566" s="7" t="s">
        <v>33</v>
      </c>
      <c r="D566" s="9" t="str">
        <f>+'[1]BASE RED COMERCIAL'!$E564</f>
        <v>SAN MARTIN</v>
      </c>
      <c r="E566" s="7">
        <f>+'[1]BASE RED COMERCIAL'!$F564</f>
        <v>180</v>
      </c>
      <c r="F566" s="14" t="str">
        <f>+'[1]BASE RED COMERCIAL'!$I564</f>
        <v>U9000ZAC</v>
      </c>
      <c r="G566" s="7" t="str">
        <f>+'[1]BASE RED COMERCIAL'!$D564</f>
        <v>COMODORO RIVADAVIA</v>
      </c>
      <c r="H566" s="7" t="str">
        <f>+'[1]BASE RED COMERCIAL'!$B564</f>
        <v>CHUBUT</v>
      </c>
      <c r="I566" s="8" t="str">
        <f>+'[1]BASE RED COMERCIAL'!$C564</f>
        <v>ESCALANTE</v>
      </c>
      <c r="J566" s="10"/>
      <c r="K566" s="10"/>
    </row>
    <row r="567" spans="1:11" x14ac:dyDescent="0.25">
      <c r="A567" s="14" t="str">
        <f>+'[1]BASE RED COMERCIAL'!$A565</f>
        <v>U0001</v>
      </c>
      <c r="B567" s="8" t="str">
        <f>+'[1]BASE RED COMERCIAL'!$H565</f>
        <v>COMODORO RIVADAVIA SUCURSAL 1</v>
      </c>
      <c r="C567" s="7" t="s">
        <v>33</v>
      </c>
      <c r="D567" s="9" t="str">
        <f>+'[1]BASE RED COMERCIAL'!$E565</f>
        <v>DON BOSCO</v>
      </c>
      <c r="E567" s="7">
        <f>+'[1]BASE RED COMERCIAL'!$F565</f>
        <v>490</v>
      </c>
      <c r="F567" s="14" t="str">
        <f>+'[1]BASE RED COMERCIAL'!$I565</f>
        <v>U9005ZAC</v>
      </c>
      <c r="G567" s="7" t="str">
        <f>+'[1]BASE RED COMERCIAL'!$D565</f>
        <v>COMODORO RIVADAVIA</v>
      </c>
      <c r="H567" s="7" t="str">
        <f>+'[1]BASE RED COMERCIAL'!$B565</f>
        <v>CHUBUT</v>
      </c>
      <c r="I567" s="8" t="str">
        <f>+'[1]BASE RED COMERCIAL'!$C565</f>
        <v>ESCALANTE</v>
      </c>
      <c r="J567" s="10"/>
      <c r="K567" s="10"/>
    </row>
    <row r="568" spans="1:11" x14ac:dyDescent="0.25">
      <c r="A568" s="14" t="str">
        <f>+'[1]BASE RED COMERCIAL'!$A566</f>
        <v>U0007</v>
      </c>
      <c r="B568" s="8" t="str">
        <f>+'[1]BASE RED COMERCIAL'!$H566</f>
        <v>COMODORO RIVADAVIA SUCURSAL 7</v>
      </c>
      <c r="C568" s="7" t="s">
        <v>33</v>
      </c>
      <c r="D568" s="9" t="str">
        <f>+'[1]BASE RED COMERCIAL'!$E566</f>
        <v>ALEJANDRO MAIZ</v>
      </c>
      <c r="E568" s="7">
        <f>+'[1]BASE RED COMERCIAL'!$F566</f>
        <v>801</v>
      </c>
      <c r="F568" s="14" t="str">
        <f>+'[1]BASE RED COMERCIAL'!$I566</f>
        <v>U9006ZAA</v>
      </c>
      <c r="G568" s="7" t="str">
        <f>+'[1]BASE RED COMERCIAL'!$D566</f>
        <v>COMODORO RIVADAVIA</v>
      </c>
      <c r="H568" s="7" t="str">
        <f>+'[1]BASE RED COMERCIAL'!$B566</f>
        <v>CHUBUT</v>
      </c>
      <c r="I568" s="8" t="str">
        <f>+'[1]BASE RED COMERCIAL'!$C566</f>
        <v>ESCALANTE</v>
      </c>
      <c r="J568" s="10"/>
      <c r="K568" s="10"/>
    </row>
    <row r="569" spans="1:11" x14ac:dyDescent="0.25">
      <c r="A569" s="14" t="str">
        <f>+'[1]BASE RED COMERCIAL'!$A567</f>
        <v>U0008</v>
      </c>
      <c r="B569" s="8" t="str">
        <f>+'[1]BASE RED COMERCIAL'!$H567</f>
        <v>ALDEA BELEIRO</v>
      </c>
      <c r="C569" s="7" t="s">
        <v>33</v>
      </c>
      <c r="D569" s="9" t="str">
        <f>+'[1]BASE RED COMERCIAL'!$E567</f>
        <v>RUTA NACIONAL NÂ° 272 LOTE 21</v>
      </c>
      <c r="E569" s="7">
        <f>+'[1]BASE RED COMERCIAL'!$F567</f>
        <v>0</v>
      </c>
      <c r="F569" s="14" t="str">
        <f>+'[1]BASE RED COMERCIAL'!$I567</f>
        <v>U9037ZAA</v>
      </c>
      <c r="G569" s="7" t="str">
        <f>+'[1]BASE RED COMERCIAL'!$D567</f>
        <v>ALDEA BELEIRO</v>
      </c>
      <c r="H569" s="7" t="str">
        <f>+'[1]BASE RED COMERCIAL'!$B567</f>
        <v>CHUBUT</v>
      </c>
      <c r="I569" s="8" t="str">
        <f>+'[1]BASE RED COMERCIAL'!$C567</f>
        <v>RIO SENGUER</v>
      </c>
      <c r="J569" s="10"/>
      <c r="K569" s="10"/>
    </row>
    <row r="570" spans="1:11" x14ac:dyDescent="0.25">
      <c r="A570" s="14" t="str">
        <f>+'[1]BASE RED COMERCIAL'!$A568</f>
        <v>U0010</v>
      </c>
      <c r="B570" s="8" t="str">
        <f>+'[1]BASE RED COMERCIAL'!$H568</f>
        <v>ALTO RIO SENGUER</v>
      </c>
      <c r="C570" s="7" t="s">
        <v>33</v>
      </c>
      <c r="D570" s="9" t="str">
        <f>+'[1]BASE RED COMERCIAL'!$E568</f>
        <v>DR MARIANO MORENO</v>
      </c>
      <c r="E570" s="7">
        <f>+'[1]BASE RED COMERCIAL'!$F568</f>
        <v>0</v>
      </c>
      <c r="F570" s="14" t="str">
        <f>+'[1]BASE RED COMERCIAL'!$I568</f>
        <v>U9033ZAA</v>
      </c>
      <c r="G570" s="7" t="str">
        <f>+'[1]BASE RED COMERCIAL'!$D568</f>
        <v>ALTO RIO SENGUER</v>
      </c>
      <c r="H570" s="7" t="str">
        <f>+'[1]BASE RED COMERCIAL'!$B568</f>
        <v>CHUBUT</v>
      </c>
      <c r="I570" s="8" t="str">
        <f>+'[1]BASE RED COMERCIAL'!$C568</f>
        <v>RIO SENGUER</v>
      </c>
      <c r="J570" s="10"/>
      <c r="K570" s="10"/>
    </row>
    <row r="571" spans="1:11" x14ac:dyDescent="0.25">
      <c r="A571" s="14" t="str">
        <f>+'[1]BASE RED COMERCIAL'!$A569</f>
        <v>U0012</v>
      </c>
      <c r="B571" s="8" t="str">
        <f>+'[1]BASE RED COMERCIAL'!$H569</f>
        <v>CAMARONES</v>
      </c>
      <c r="C571" s="7" t="s">
        <v>33</v>
      </c>
      <c r="D571" s="9" t="str">
        <f>+'[1]BASE RED COMERCIAL'!$E569</f>
        <v>PTE GRAL JULIO A ROCA</v>
      </c>
      <c r="E571" s="7">
        <f>+'[1]BASE RED COMERCIAL'!$F569</f>
        <v>300</v>
      </c>
      <c r="F571" s="14" t="str">
        <f>+'[1]BASE RED COMERCIAL'!$I569</f>
        <v>U9111ZAA</v>
      </c>
      <c r="G571" s="7" t="str">
        <f>+'[1]BASE RED COMERCIAL'!$D569</f>
        <v>CAMARONES</v>
      </c>
      <c r="H571" s="7" t="str">
        <f>+'[1]BASE RED COMERCIAL'!$B569</f>
        <v>CHUBUT</v>
      </c>
      <c r="I571" s="8" t="str">
        <f>+'[1]BASE RED COMERCIAL'!$C569</f>
        <v>FLORENTINO AMEGHINO</v>
      </c>
      <c r="J571" s="10"/>
      <c r="K571" s="10"/>
    </row>
    <row r="572" spans="1:11" x14ac:dyDescent="0.25">
      <c r="A572" s="14" t="str">
        <f>+'[1]BASE RED COMERCIAL'!$A570</f>
        <v>U0016</v>
      </c>
      <c r="B572" s="8" t="str">
        <f>+'[1]BASE RED COMERCIAL'!$H570</f>
        <v>CORCOVADO</v>
      </c>
      <c r="C572" s="7" t="s">
        <v>33</v>
      </c>
      <c r="D572" s="9" t="str">
        <f>+'[1]BASE RED COMERCIAL'!$E570</f>
        <v>S/C</v>
      </c>
      <c r="E572" s="7">
        <f>+'[1]BASE RED COMERCIAL'!$F570</f>
        <v>0</v>
      </c>
      <c r="F572" s="14" t="str">
        <f>+'[1]BASE RED COMERCIAL'!$I570</f>
        <v>U9204ZAA</v>
      </c>
      <c r="G572" s="7" t="str">
        <f>+'[1]BASE RED COMERCIAL'!$D570</f>
        <v>CORCOVADO</v>
      </c>
      <c r="H572" s="7" t="str">
        <f>+'[1]BASE RED COMERCIAL'!$B570</f>
        <v>CHUBUT</v>
      </c>
      <c r="I572" s="8" t="str">
        <f>+'[1]BASE RED COMERCIAL'!$C570</f>
        <v>FUTALEUFU</v>
      </c>
      <c r="J572" s="10"/>
      <c r="K572" s="10"/>
    </row>
    <row r="573" spans="1:11" x14ac:dyDescent="0.25">
      <c r="A573" s="14" t="str">
        <f>+'[1]BASE RED COMERCIAL'!$A571</f>
        <v>U0032</v>
      </c>
      <c r="B573" s="8" t="str">
        <f>+'[1]BASE RED COMERCIAL'!$H571</f>
        <v>GOBERNADOR COSTA</v>
      </c>
      <c r="C573" s="7" t="s">
        <v>33</v>
      </c>
      <c r="D573" s="9" t="str">
        <f>+'[1]BASE RED COMERCIAL'!$E571</f>
        <v>GRAL SAN MARTIN</v>
      </c>
      <c r="E573" s="7">
        <f>+'[1]BASE RED COMERCIAL'!$F571</f>
        <v>347</v>
      </c>
      <c r="F573" s="14" t="str">
        <f>+'[1]BASE RED COMERCIAL'!$I571</f>
        <v>U9223ZAA</v>
      </c>
      <c r="G573" s="7" t="str">
        <f>+'[1]BASE RED COMERCIAL'!$D571</f>
        <v>GOBERNADOR COSTA</v>
      </c>
      <c r="H573" s="7" t="str">
        <f>+'[1]BASE RED COMERCIAL'!$B571</f>
        <v>CHUBUT</v>
      </c>
      <c r="I573" s="8" t="str">
        <f>+'[1]BASE RED COMERCIAL'!$C571</f>
        <v>TEHUELCHES</v>
      </c>
      <c r="J573" s="10"/>
      <c r="K573" s="10"/>
    </row>
    <row r="574" spans="1:11" x14ac:dyDescent="0.25">
      <c r="A574" s="14" t="str">
        <f>+'[1]BASE RED COMERCIAL'!$A572</f>
        <v>U0034</v>
      </c>
      <c r="B574" s="8" t="str">
        <f>+'[1]BASE RED COMERCIAL'!$H572</f>
        <v>JOSE DE SAN MARTIN</v>
      </c>
      <c r="C574" s="7" t="s">
        <v>33</v>
      </c>
      <c r="D574" s="9" t="str">
        <f>+'[1]BASE RED COMERCIAL'!$E572</f>
        <v>DR MANUEL BELGRANO</v>
      </c>
      <c r="E574" s="7">
        <f>+'[1]BASE RED COMERCIAL'!$F572</f>
        <v>1</v>
      </c>
      <c r="F574" s="14" t="str">
        <f>+'[1]BASE RED COMERCIAL'!$I572</f>
        <v>U9220ZAA</v>
      </c>
      <c r="G574" s="7" t="str">
        <f>+'[1]BASE RED COMERCIAL'!$D572</f>
        <v>JOSE DE SAN MARTIN</v>
      </c>
      <c r="H574" s="7" t="str">
        <f>+'[1]BASE RED COMERCIAL'!$B572</f>
        <v>CHUBUT</v>
      </c>
      <c r="I574" s="8" t="str">
        <f>+'[1]BASE RED COMERCIAL'!$C572</f>
        <v>TEHUELCHES</v>
      </c>
      <c r="J574" s="10"/>
      <c r="K574" s="10"/>
    </row>
    <row r="575" spans="1:11" x14ac:dyDescent="0.25">
      <c r="A575" s="14" t="str">
        <f>+'[1]BASE RED COMERCIAL'!$A573</f>
        <v>U0042</v>
      </c>
      <c r="B575" s="8" t="str">
        <f>+'[1]BASE RED COMERCIAL'!$H573</f>
        <v>RADA TILLY</v>
      </c>
      <c r="C575" s="7" t="s">
        <v>33</v>
      </c>
      <c r="D575" s="9" t="str">
        <f>+'[1]BASE RED COMERCIAL'!$E573</f>
        <v>AV ALTE FRANCISCO SEGUI</v>
      </c>
      <c r="E575" s="7">
        <f>+'[1]BASE RED COMERCIAL'!$F573</f>
        <v>1315</v>
      </c>
      <c r="F575" s="14" t="str">
        <f>+'[1]BASE RED COMERCIAL'!$I573</f>
        <v>U9001ZAA</v>
      </c>
      <c r="G575" s="7" t="str">
        <f>+'[1]BASE RED COMERCIAL'!$D573</f>
        <v>RADA TILLY</v>
      </c>
      <c r="H575" s="7" t="str">
        <f>+'[1]BASE RED COMERCIAL'!$B573</f>
        <v>CHUBUT</v>
      </c>
      <c r="I575" s="8" t="str">
        <f>+'[1]BASE RED COMERCIAL'!$C573</f>
        <v>ESCALANTE</v>
      </c>
      <c r="J575" s="10"/>
      <c r="K575" s="10"/>
    </row>
    <row r="576" spans="1:11" x14ac:dyDescent="0.25">
      <c r="A576" s="14" t="str">
        <f>+'[1]BASE RED COMERCIAL'!$A574</f>
        <v>U0048</v>
      </c>
      <c r="B576" s="8" t="str">
        <f>+'[1]BASE RED COMERCIAL'!$H574</f>
        <v>RIO MAYO</v>
      </c>
      <c r="C576" s="7" t="s">
        <v>33</v>
      </c>
      <c r="D576" s="9" t="str">
        <f>+'[1]BASE RED COMERCIAL'!$E574</f>
        <v>25 DE MAYO</v>
      </c>
      <c r="E576" s="7">
        <f>+'[1]BASE RED COMERCIAL'!$F574</f>
        <v>790</v>
      </c>
      <c r="F576" s="14" t="str">
        <f>+'[1]BASE RED COMERCIAL'!$I574</f>
        <v>U9030ZAA</v>
      </c>
      <c r="G576" s="7" t="str">
        <f>+'[1]BASE RED COMERCIAL'!$D574</f>
        <v>RIO MAYO</v>
      </c>
      <c r="H576" s="7" t="str">
        <f>+'[1]BASE RED COMERCIAL'!$B574</f>
        <v>CHUBUT</v>
      </c>
      <c r="I576" s="8" t="str">
        <f>+'[1]BASE RED COMERCIAL'!$C574</f>
        <v>RIO SENGUER</v>
      </c>
      <c r="J576" s="10"/>
      <c r="K576" s="10"/>
    </row>
    <row r="577" spans="1:11" x14ac:dyDescent="0.25">
      <c r="A577" s="14" t="str">
        <f>+'[1]BASE RED COMERCIAL'!$A575</f>
        <v>U0050</v>
      </c>
      <c r="B577" s="8" t="str">
        <f>+'[1]BASE RED COMERCIAL'!$H575</f>
        <v>RIO PICO</v>
      </c>
      <c r="C577" s="7" t="s">
        <v>33</v>
      </c>
      <c r="D577" s="9" t="str">
        <f>+'[1]BASE RED COMERCIAL'!$E575</f>
        <v>PERITO FRANCISCO P MORENO</v>
      </c>
      <c r="E577" s="7">
        <f>+'[1]BASE RED COMERCIAL'!$F575</f>
        <v>240</v>
      </c>
      <c r="F577" s="14" t="str">
        <f>+'[1]BASE RED COMERCIAL'!$I575</f>
        <v>U9225ZAA</v>
      </c>
      <c r="G577" s="7" t="str">
        <f>+'[1]BASE RED COMERCIAL'!$D575</f>
        <v>RIO PICO</v>
      </c>
      <c r="H577" s="7" t="str">
        <f>+'[1]BASE RED COMERCIAL'!$B575</f>
        <v>CHUBUT</v>
      </c>
      <c r="I577" s="8" t="str">
        <f>+'[1]BASE RED COMERCIAL'!$C575</f>
        <v>TEHUELCHES</v>
      </c>
      <c r="J577" s="10"/>
      <c r="K577" s="10"/>
    </row>
    <row r="578" spans="1:11" x14ac:dyDescent="0.25">
      <c r="A578" s="14" t="str">
        <f>+'[1]BASE RED COMERCIAL'!$A576</f>
        <v>U0052</v>
      </c>
      <c r="B578" s="8" t="str">
        <f>+'[1]BASE RED COMERCIAL'!$H576</f>
        <v>SARMIENTO</v>
      </c>
      <c r="C578" s="7" t="s">
        <v>33</v>
      </c>
      <c r="D578" s="9" t="str">
        <f>+'[1]BASE RED COMERCIAL'!$E576</f>
        <v>AV ING CORONEL</v>
      </c>
      <c r="E578" s="7">
        <f>+'[1]BASE RED COMERCIAL'!$F576</f>
        <v>307</v>
      </c>
      <c r="F578" s="14" t="str">
        <f>+'[1]BASE RED COMERCIAL'!$I576</f>
        <v>U9020ZAA</v>
      </c>
      <c r="G578" s="7" t="str">
        <f>+'[1]BASE RED COMERCIAL'!$D576</f>
        <v>SARMIENTO</v>
      </c>
      <c r="H578" s="7" t="str">
        <f>+'[1]BASE RED COMERCIAL'!$B576</f>
        <v>CHUBUT</v>
      </c>
      <c r="I578" s="8" t="str">
        <f>+'[1]BASE RED COMERCIAL'!$C576</f>
        <v>SARMIENTO</v>
      </c>
      <c r="J578" s="10"/>
      <c r="K578" s="10"/>
    </row>
    <row r="579" spans="1:11" x14ac:dyDescent="0.25">
      <c r="A579" s="14" t="str">
        <f>+'[1]BASE RED COMERCIAL'!$A577</f>
        <v>U0062</v>
      </c>
      <c r="B579" s="8" t="str">
        <f>+'[1]BASE RED COMERCIAL'!$H577</f>
        <v>TREVELIN</v>
      </c>
      <c r="C579" s="7" t="s">
        <v>33</v>
      </c>
      <c r="D579" s="9" t="str">
        <f>+'[1]BASE RED COMERCIAL'!$E577</f>
        <v>AV SAN MARTIN</v>
      </c>
      <c r="E579" s="7">
        <f>+'[1]BASE RED COMERCIAL'!$F577</f>
        <v>99</v>
      </c>
      <c r="F579" s="14" t="str">
        <f>+'[1]BASE RED COMERCIAL'!$I577</f>
        <v>U9203ZAA</v>
      </c>
      <c r="G579" s="7" t="str">
        <f>+'[1]BASE RED COMERCIAL'!$D577</f>
        <v>TREVELIN</v>
      </c>
      <c r="H579" s="7" t="str">
        <f>+'[1]BASE RED COMERCIAL'!$B577</f>
        <v>CHUBUT</v>
      </c>
      <c r="I579" s="8" t="str">
        <f>+'[1]BASE RED COMERCIAL'!$C577</f>
        <v>FUTALEUFU</v>
      </c>
      <c r="J579" s="10"/>
      <c r="K579" s="10"/>
    </row>
    <row r="580" spans="1:11" x14ac:dyDescent="0.25">
      <c r="A580" s="14" t="str">
        <f>+'[1]BASE RED COMERCIAL'!$A578</f>
        <v>U0100</v>
      </c>
      <c r="B580" s="8" t="str">
        <f>+'[1]BASE RED COMERCIAL'!$H578</f>
        <v>TRELEW</v>
      </c>
      <c r="C580" s="7" t="s">
        <v>33</v>
      </c>
      <c r="D580" s="9" t="str">
        <f>+'[1]BASE RED COMERCIAL'!$E578</f>
        <v>BME MITRE</v>
      </c>
      <c r="E580" s="7">
        <f>+'[1]BASE RED COMERCIAL'!$F578</f>
        <v>315</v>
      </c>
      <c r="F580" s="14" t="str">
        <f>+'[1]BASE RED COMERCIAL'!$I578</f>
        <v>U9100ZAA</v>
      </c>
      <c r="G580" s="7" t="str">
        <f>+'[1]BASE RED COMERCIAL'!$D578</f>
        <v>TRELEW</v>
      </c>
      <c r="H580" s="7" t="str">
        <f>+'[1]BASE RED COMERCIAL'!$B578</f>
        <v>CHUBUT</v>
      </c>
      <c r="I580" s="8" t="str">
        <f>+'[1]BASE RED COMERCIAL'!$C578</f>
        <v>RAWSON</v>
      </c>
      <c r="J580" s="10"/>
      <c r="K580" s="10"/>
    </row>
    <row r="581" spans="1:11" x14ac:dyDescent="0.25">
      <c r="A581" s="14" t="str">
        <f>+'[1]BASE RED COMERCIAL'!$A579</f>
        <v>U0102</v>
      </c>
      <c r="B581" s="8" t="str">
        <f>+'[1]BASE RED COMERCIAL'!$H579</f>
        <v>CHOLILA</v>
      </c>
      <c r="C581" s="7" t="s">
        <v>33</v>
      </c>
      <c r="D581" s="9" t="str">
        <f>+'[1]BASE RED COMERCIAL'!$E579</f>
        <v>AV 15 DE DICIEMBRE</v>
      </c>
      <c r="E581" s="7">
        <f>+'[1]BASE RED COMERCIAL'!$F579</f>
        <v>0</v>
      </c>
      <c r="F581" s="14" t="str">
        <f>+'[1]BASE RED COMERCIAL'!$I579</f>
        <v>U9217ZAA</v>
      </c>
      <c r="G581" s="7" t="str">
        <f>+'[1]BASE RED COMERCIAL'!$D579</f>
        <v>CHOLILA</v>
      </c>
      <c r="H581" s="7" t="str">
        <f>+'[1]BASE RED COMERCIAL'!$B579</f>
        <v>CHUBUT</v>
      </c>
      <c r="I581" s="8" t="str">
        <f>+'[1]BASE RED COMERCIAL'!$C579</f>
        <v>CUSHAMEN</v>
      </c>
      <c r="J581" s="10"/>
      <c r="K581" s="10"/>
    </row>
    <row r="582" spans="1:11" x14ac:dyDescent="0.25">
      <c r="A582" s="14" t="str">
        <f>+'[1]BASE RED COMERCIAL'!$A580</f>
        <v>U0104</v>
      </c>
      <c r="B582" s="8" t="str">
        <f>+'[1]BASE RED COMERCIAL'!$H580</f>
        <v>DOLAVON</v>
      </c>
      <c r="C582" s="7" t="s">
        <v>33</v>
      </c>
      <c r="D582" s="9" t="str">
        <f>+'[1]BASE RED COMERCIAL'!$E580</f>
        <v>AV 28 DE JULIO</v>
      </c>
      <c r="E582" s="7">
        <f>+'[1]BASE RED COMERCIAL'!$F580</f>
        <v>102</v>
      </c>
      <c r="F582" s="14" t="str">
        <f>+'[1]BASE RED COMERCIAL'!$I580</f>
        <v>U9107ZAA</v>
      </c>
      <c r="G582" s="7" t="str">
        <f>+'[1]BASE RED COMERCIAL'!$D580</f>
        <v>DOLAVON</v>
      </c>
      <c r="H582" s="7" t="str">
        <f>+'[1]BASE RED COMERCIAL'!$B580</f>
        <v>CHUBUT</v>
      </c>
      <c r="I582" s="8" t="str">
        <f>+'[1]BASE RED COMERCIAL'!$C580</f>
        <v>GAIMAN</v>
      </c>
      <c r="J582" s="10"/>
      <c r="K582" s="10"/>
    </row>
    <row r="583" spans="1:11" x14ac:dyDescent="0.25">
      <c r="A583" s="14" t="str">
        <f>+'[1]BASE RED COMERCIAL'!$A581</f>
        <v>U0106</v>
      </c>
      <c r="B583" s="8" t="str">
        <f>+'[1]BASE RED COMERCIAL'!$H581</f>
        <v>EL MAITEN</v>
      </c>
      <c r="C583" s="7" t="s">
        <v>33</v>
      </c>
      <c r="D583" s="9" t="str">
        <f>+'[1]BASE RED COMERCIAL'!$E581</f>
        <v>AV GRAL SAN MARTIN</v>
      </c>
      <c r="E583" s="7">
        <f>+'[1]BASE RED COMERCIAL'!$F581</f>
        <v>801</v>
      </c>
      <c r="F583" s="14" t="str">
        <f>+'[1]BASE RED COMERCIAL'!$I581</f>
        <v>U9210ZAA</v>
      </c>
      <c r="G583" s="7" t="str">
        <f>+'[1]BASE RED COMERCIAL'!$D581</f>
        <v>EL MAITEN</v>
      </c>
      <c r="H583" s="7" t="str">
        <f>+'[1]BASE RED COMERCIAL'!$B581</f>
        <v>CHUBUT</v>
      </c>
      <c r="I583" s="8" t="str">
        <f>+'[1]BASE RED COMERCIAL'!$C581</f>
        <v>CUSHAMEN</v>
      </c>
      <c r="J583" s="10"/>
      <c r="K583" s="10"/>
    </row>
    <row r="584" spans="1:11" x14ac:dyDescent="0.25">
      <c r="A584" s="14" t="str">
        <f>+'[1]BASE RED COMERCIAL'!$A582</f>
        <v>U0108</v>
      </c>
      <c r="B584" s="8" t="str">
        <f>+'[1]BASE RED COMERCIAL'!$H582</f>
        <v>EPUYEN</v>
      </c>
      <c r="C584" s="7" t="s">
        <v>33</v>
      </c>
      <c r="D584" s="9" t="str">
        <f>+'[1]BASE RED COMERCIAL'!$E582</f>
        <v>LOS CONDORES NÂ°1330</v>
      </c>
      <c r="E584" s="7">
        <f>+'[1]BASE RED COMERCIAL'!$F582</f>
        <v>0</v>
      </c>
      <c r="F584" s="14" t="str">
        <f>+'[1]BASE RED COMERCIAL'!$I582</f>
        <v>U9211ZAB</v>
      </c>
      <c r="G584" s="7" t="str">
        <f>+'[1]BASE RED COMERCIAL'!$D582</f>
        <v>EPUYEN</v>
      </c>
      <c r="H584" s="7" t="str">
        <f>+'[1]BASE RED COMERCIAL'!$B582</f>
        <v>CHUBUT</v>
      </c>
      <c r="I584" s="8" t="str">
        <f>+'[1]BASE RED COMERCIAL'!$C582</f>
        <v>CUSHAMEN</v>
      </c>
      <c r="J584" s="10"/>
      <c r="K584" s="10"/>
    </row>
    <row r="585" spans="1:11" x14ac:dyDescent="0.25">
      <c r="A585" s="14" t="str">
        <f>+'[1]BASE RED COMERCIAL'!$A583</f>
        <v>U0110</v>
      </c>
      <c r="B585" s="8" t="str">
        <f>+'[1]BASE RED COMERCIAL'!$H583</f>
        <v>ESQUEL</v>
      </c>
      <c r="C585" s="7" t="s">
        <v>33</v>
      </c>
      <c r="D585" s="9" t="str">
        <f>+'[1]BASE RED COMERCIAL'!$E583</f>
        <v>AV ALVEAR</v>
      </c>
      <c r="E585" s="7">
        <f>+'[1]BASE RED COMERCIAL'!$F583</f>
        <v>1192</v>
      </c>
      <c r="F585" s="14" t="str">
        <f>+'[1]BASE RED COMERCIAL'!$I583</f>
        <v>U9200ZAB</v>
      </c>
      <c r="G585" s="7" t="str">
        <f>+'[1]BASE RED COMERCIAL'!$D583</f>
        <v>ESQUEL</v>
      </c>
      <c r="H585" s="7" t="str">
        <f>+'[1]BASE RED COMERCIAL'!$B583</f>
        <v>CHUBUT</v>
      </c>
      <c r="I585" s="8" t="str">
        <f>+'[1]BASE RED COMERCIAL'!$C583</f>
        <v>FUTALEUFU</v>
      </c>
      <c r="J585" s="10"/>
      <c r="K585" s="10"/>
    </row>
    <row r="586" spans="1:11" x14ac:dyDescent="0.25">
      <c r="A586" s="14" t="str">
        <f>+'[1]BASE RED COMERCIAL'!$A584</f>
        <v>U0112</v>
      </c>
      <c r="B586" s="8" t="str">
        <f>+'[1]BASE RED COMERCIAL'!$H584</f>
        <v>GAIMAN</v>
      </c>
      <c r="C586" s="7" t="s">
        <v>33</v>
      </c>
      <c r="D586" s="9" t="str">
        <f>+'[1]BASE RED COMERCIAL'!$E584</f>
        <v>JUAN CARLOS EVANS</v>
      </c>
      <c r="E586" s="7">
        <f>+'[1]BASE RED COMERCIAL'!$F584</f>
        <v>114</v>
      </c>
      <c r="F586" s="14" t="str">
        <f>+'[1]BASE RED COMERCIAL'!$I584</f>
        <v>U9105ZAA</v>
      </c>
      <c r="G586" s="7" t="str">
        <f>+'[1]BASE RED COMERCIAL'!$D584</f>
        <v>GAIMAN</v>
      </c>
      <c r="H586" s="7" t="str">
        <f>+'[1]BASE RED COMERCIAL'!$B584</f>
        <v>CHUBUT</v>
      </c>
      <c r="I586" s="8" t="str">
        <f>+'[1]BASE RED COMERCIAL'!$C584</f>
        <v>GAIMAN</v>
      </c>
      <c r="J586" s="10"/>
      <c r="K586" s="10"/>
    </row>
    <row r="587" spans="1:11" x14ac:dyDescent="0.25">
      <c r="A587" s="14" t="str">
        <f>+'[1]BASE RED COMERCIAL'!$A585</f>
        <v>U0114</v>
      </c>
      <c r="B587" s="8" t="str">
        <f>+'[1]BASE RED COMERCIAL'!$H585</f>
        <v>PASO DE INDIOS</v>
      </c>
      <c r="C587" s="7" t="s">
        <v>33</v>
      </c>
      <c r="D587" s="9" t="str">
        <f>+'[1]BASE RED COMERCIAL'!$E585</f>
        <v>AV TEODORO STROBER</v>
      </c>
      <c r="E587" s="7">
        <f>+'[1]BASE RED COMERCIAL'!$F585</f>
        <v>0</v>
      </c>
      <c r="F587" s="14" t="str">
        <f>+'[1]BASE RED COMERCIAL'!$I585</f>
        <v>U9207ZAA</v>
      </c>
      <c r="G587" s="7" t="str">
        <f>+'[1]BASE RED COMERCIAL'!$D585</f>
        <v>PASO DE INDIOS</v>
      </c>
      <c r="H587" s="7" t="str">
        <f>+'[1]BASE RED COMERCIAL'!$B585</f>
        <v>CHUBUT</v>
      </c>
      <c r="I587" s="8" t="str">
        <f>+'[1]BASE RED COMERCIAL'!$C585</f>
        <v>PASO DE INDIOS</v>
      </c>
      <c r="J587" s="10"/>
      <c r="K587" s="10"/>
    </row>
    <row r="588" spans="1:11" x14ac:dyDescent="0.25">
      <c r="A588" s="14" t="str">
        <f>+'[1]BASE RED COMERCIAL'!$A586</f>
        <v>U0116</v>
      </c>
      <c r="B588" s="8" t="str">
        <f>+'[1]BASE RED COMERCIAL'!$H586</f>
        <v>PUERTO MADRYN</v>
      </c>
      <c r="C588" s="7" t="s">
        <v>33</v>
      </c>
      <c r="D588" s="9" t="str">
        <f>+'[1]BASE RED COMERCIAL'!$E586</f>
        <v>GDOR ALEJANDRO MAIZ</v>
      </c>
      <c r="E588" s="7">
        <f>+'[1]BASE RED COMERCIAL'!$F586</f>
        <v>293</v>
      </c>
      <c r="F588" s="14" t="str">
        <f>+'[1]BASE RED COMERCIAL'!$I586</f>
        <v>U9120ZAA</v>
      </c>
      <c r="G588" s="7" t="str">
        <f>+'[1]BASE RED COMERCIAL'!$D586</f>
        <v>PUERTO MADRYN</v>
      </c>
      <c r="H588" s="7" t="str">
        <f>+'[1]BASE RED COMERCIAL'!$B586</f>
        <v>CHUBUT</v>
      </c>
      <c r="I588" s="8" t="str">
        <f>+'[1]BASE RED COMERCIAL'!$C586</f>
        <v>BIEDMA</v>
      </c>
      <c r="J588" s="10"/>
      <c r="K588" s="10"/>
    </row>
    <row r="589" spans="1:11" x14ac:dyDescent="0.25">
      <c r="A589" s="14" t="str">
        <f>+'[1]BASE RED COMERCIAL'!$A587</f>
        <v>U0118</v>
      </c>
      <c r="B589" s="8" t="str">
        <f>+'[1]BASE RED COMERCIAL'!$H587</f>
        <v>LAGO PUELO</v>
      </c>
      <c r="C589" s="7" t="s">
        <v>33</v>
      </c>
      <c r="D589" s="9" t="str">
        <f>+'[1]BASE RED COMERCIAL'!$E587</f>
        <v>AMANCAY</v>
      </c>
      <c r="E589" s="7">
        <f>+'[1]BASE RED COMERCIAL'!$F587</f>
        <v>0</v>
      </c>
      <c r="F589" s="14" t="str">
        <f>+'[1]BASE RED COMERCIAL'!$I587</f>
        <v>U9211ZAA</v>
      </c>
      <c r="G589" s="7" t="str">
        <f>+'[1]BASE RED COMERCIAL'!$D587</f>
        <v>LAGO PUELO</v>
      </c>
      <c r="H589" s="7" t="str">
        <f>+'[1]BASE RED COMERCIAL'!$B587</f>
        <v>CHUBUT</v>
      </c>
      <c r="I589" s="8" t="str">
        <f>+'[1]BASE RED COMERCIAL'!$C587</f>
        <v>CUSHAMEN</v>
      </c>
      <c r="J589" s="10"/>
      <c r="K589" s="10"/>
    </row>
    <row r="590" spans="1:11" x14ac:dyDescent="0.25">
      <c r="A590" s="14" t="str">
        <f>+'[1]BASE RED COMERCIAL'!$A588</f>
        <v>U0120</v>
      </c>
      <c r="B590" s="8" t="str">
        <f>+'[1]BASE RED COMERCIAL'!$H588</f>
        <v>RAWSON</v>
      </c>
      <c r="C590" s="7" t="s">
        <v>33</v>
      </c>
      <c r="D590" s="9" t="str">
        <f>+'[1]BASE RED COMERCIAL'!$E588</f>
        <v>BERNARDO VACCHINA</v>
      </c>
      <c r="E590" s="7">
        <f>+'[1]BASE RED COMERCIAL'!$F588</f>
        <v>22</v>
      </c>
      <c r="F590" s="14" t="str">
        <f>+'[1]BASE RED COMERCIAL'!$I588</f>
        <v>U9103ZAA</v>
      </c>
      <c r="G590" s="7" t="str">
        <f>+'[1]BASE RED COMERCIAL'!$D588</f>
        <v>RAWSON</v>
      </c>
      <c r="H590" s="7" t="str">
        <f>+'[1]BASE RED COMERCIAL'!$B588</f>
        <v>CHUBUT</v>
      </c>
      <c r="I590" s="8" t="str">
        <f>+'[1]BASE RED COMERCIAL'!$C588</f>
        <v>RAWSON</v>
      </c>
      <c r="J590" s="10"/>
      <c r="K590" s="10"/>
    </row>
    <row r="591" spans="1:11" x14ac:dyDescent="0.25">
      <c r="A591" s="14" t="str">
        <f>+'[1]BASE RED COMERCIAL'!$A589</f>
        <v>U0122</v>
      </c>
      <c r="B591" s="8" t="str">
        <f>+'[1]BASE RED COMERCIAL'!$H589</f>
        <v>TECKA</v>
      </c>
      <c r="C591" s="7" t="s">
        <v>33</v>
      </c>
      <c r="D591" s="9" t="str">
        <f>+'[1]BASE RED COMERCIAL'!$E589</f>
        <v>AV GRAL SAN MARTIN</v>
      </c>
      <c r="E591" s="7">
        <f>+'[1]BASE RED COMERCIAL'!$F589</f>
        <v>891</v>
      </c>
      <c r="F591" s="14" t="str">
        <f>+'[1]BASE RED COMERCIAL'!$I589</f>
        <v>U9201ZAA</v>
      </c>
      <c r="G591" s="7" t="str">
        <f>+'[1]BASE RED COMERCIAL'!$D589</f>
        <v>TECKA</v>
      </c>
      <c r="H591" s="7" t="str">
        <f>+'[1]BASE RED COMERCIAL'!$B589</f>
        <v>CHUBUT</v>
      </c>
      <c r="I591" s="8" t="str">
        <f>+'[1]BASE RED COMERCIAL'!$C589</f>
        <v>LANGUIÃ‘EO</v>
      </c>
      <c r="J591" s="10"/>
      <c r="K591" s="10"/>
    </row>
    <row r="592" spans="1:11" x14ac:dyDescent="0.25">
      <c r="A592" s="14" t="str">
        <f>+'[1]BASE RED COMERCIAL'!$A590</f>
        <v>U0124</v>
      </c>
      <c r="B592" s="8" t="str">
        <f>+'[1]BASE RED COMERCIAL'!$H590</f>
        <v>TELSEN</v>
      </c>
      <c r="C592" s="7" t="s">
        <v>33</v>
      </c>
      <c r="D592" s="9" t="str">
        <f>+'[1]BASE RED COMERCIAL'!$E590</f>
        <v>SARMIENTO</v>
      </c>
      <c r="E592" s="7">
        <f>+'[1]BASE RED COMERCIAL'!$F590</f>
        <v>0</v>
      </c>
      <c r="F592" s="14" t="str">
        <f>+'[1]BASE RED COMERCIAL'!$I590</f>
        <v>U9121ZAA</v>
      </c>
      <c r="G592" s="7" t="str">
        <f>+'[1]BASE RED COMERCIAL'!$D590</f>
        <v>TELSEN</v>
      </c>
      <c r="H592" s="7" t="str">
        <f>+'[1]BASE RED COMERCIAL'!$B590</f>
        <v>CHUBUT</v>
      </c>
      <c r="I592" s="8" t="str">
        <f>+'[1]BASE RED COMERCIAL'!$C590</f>
        <v>TELSEN</v>
      </c>
      <c r="J592" s="10"/>
      <c r="K592" s="10"/>
    </row>
    <row r="593" spans="1:11" x14ac:dyDescent="0.25">
      <c r="A593" s="14" t="str">
        <f>+'[1]BASE RED COMERCIAL'!$A591</f>
        <v>U3232</v>
      </c>
      <c r="B593" s="8" t="str">
        <f>+'[1]BASE RED COMERCIAL'!$H591</f>
        <v>GUALJAINA</v>
      </c>
      <c r="C593" s="7" t="s">
        <v>33</v>
      </c>
      <c r="D593" s="9" t="str">
        <f>+'[1]BASE RED COMERCIAL'!$E591</f>
        <v>GDOR BENITO FERNANDEZ</v>
      </c>
      <c r="E593" s="7">
        <f>+'[1]BASE RED COMERCIAL'!$F591</f>
        <v>0</v>
      </c>
      <c r="F593" s="14" t="str">
        <f>+'[1]BASE RED COMERCIAL'!$I591</f>
        <v>U9202ZAB</v>
      </c>
      <c r="G593" s="7" t="str">
        <f>+'[1]BASE RED COMERCIAL'!$D591</f>
        <v>GUALJAINA</v>
      </c>
      <c r="H593" s="7" t="str">
        <f>+'[1]BASE RED COMERCIAL'!$B591</f>
        <v>CHUBUT</v>
      </c>
      <c r="I593" s="8" t="str">
        <f>+'[1]BASE RED COMERCIAL'!$C591</f>
        <v>CUSHAMEN</v>
      </c>
      <c r="J593" s="10"/>
      <c r="K593" s="10"/>
    </row>
    <row r="594" spans="1:11" x14ac:dyDescent="0.25">
      <c r="A594" s="14" t="str">
        <f>+'[1]BASE RED COMERCIAL'!$A592</f>
        <v>X0000</v>
      </c>
      <c r="B594" s="8" t="str">
        <f>+'[1]BASE RED COMERCIAL'!$H592</f>
        <v>CORDOBA</v>
      </c>
      <c r="C594" s="7" t="s">
        <v>33</v>
      </c>
      <c r="D594" s="9" t="str">
        <f>+'[1]BASE RED COMERCIAL'!$E592</f>
        <v>AV COLON</v>
      </c>
      <c r="E594" s="7">
        <f>+'[1]BASE RED COMERCIAL'!$F592</f>
        <v>210</v>
      </c>
      <c r="F594" s="14" t="str">
        <f>+'[1]BASE RED COMERCIAL'!$I592</f>
        <v>X5000ZAA</v>
      </c>
      <c r="G594" s="7" t="str">
        <f>+'[1]BASE RED COMERCIAL'!$D592</f>
        <v>CORDOBA</v>
      </c>
      <c r="H594" s="7" t="str">
        <f>+'[1]BASE RED COMERCIAL'!$B592</f>
        <v>CORDOBA</v>
      </c>
      <c r="I594" s="8" t="str">
        <f>+'[1]BASE RED COMERCIAL'!$C592</f>
        <v>CAPITAL</v>
      </c>
      <c r="J594" s="10"/>
      <c r="K594" s="10"/>
    </row>
    <row r="595" spans="1:11" x14ac:dyDescent="0.25">
      <c r="A595" s="14" t="str">
        <f>+'[1]BASE RED COMERCIAL'!$A593</f>
        <v>X0001</v>
      </c>
      <c r="B595" s="8" t="str">
        <f>+'[1]BASE RED COMERCIAL'!$H593</f>
        <v>CORDOBA 1</v>
      </c>
      <c r="C595" s="7" t="s">
        <v>33</v>
      </c>
      <c r="D595" s="9" t="str">
        <f>+'[1]BASE RED COMERCIAL'!$E593</f>
        <v>AV J B JUSTO</v>
      </c>
      <c r="E595" s="7">
        <f>+'[1]BASE RED COMERCIAL'!$F593</f>
        <v>3479</v>
      </c>
      <c r="F595" s="14" t="str">
        <f>+'[1]BASE RED COMERCIAL'!$I593</f>
        <v>X5001ZAA</v>
      </c>
      <c r="G595" s="7" t="str">
        <f>+'[1]BASE RED COMERCIAL'!$D593</f>
        <v>CORDOBA</v>
      </c>
      <c r="H595" s="7" t="str">
        <f>+'[1]BASE RED COMERCIAL'!$B593</f>
        <v>CORDOBA</v>
      </c>
      <c r="I595" s="8" t="str">
        <f>+'[1]BASE RED COMERCIAL'!$C593</f>
        <v>CAPITAL</v>
      </c>
      <c r="J595" s="10"/>
      <c r="K595" s="10"/>
    </row>
    <row r="596" spans="1:11" x14ac:dyDescent="0.25">
      <c r="A596" s="14" t="str">
        <f>+'[1]BASE RED COMERCIAL'!$A594</f>
        <v>X0003</v>
      </c>
      <c r="B596" s="8" t="str">
        <f>+'[1]BASE RED COMERCIAL'!$H594</f>
        <v>CORDOBA 3</v>
      </c>
      <c r="C596" s="7" t="s">
        <v>33</v>
      </c>
      <c r="D596" s="9" t="str">
        <f>+'[1]BASE RED COMERCIAL'!$E594</f>
        <v>AV COLON</v>
      </c>
      <c r="E596" s="7">
        <f>+'[1]BASE RED COMERCIAL'!$F594</f>
        <v>2547</v>
      </c>
      <c r="F596" s="14" t="str">
        <f>+'[1]BASE RED COMERCIAL'!$I594</f>
        <v>X5003ZAA</v>
      </c>
      <c r="G596" s="7" t="str">
        <f>+'[1]BASE RED COMERCIAL'!$D594</f>
        <v>CORDOBA</v>
      </c>
      <c r="H596" s="7" t="str">
        <f>+'[1]BASE RED COMERCIAL'!$B594</f>
        <v>CORDOBA</v>
      </c>
      <c r="I596" s="8" t="str">
        <f>+'[1]BASE RED COMERCIAL'!$C594</f>
        <v>CAPITAL</v>
      </c>
      <c r="J596" s="10"/>
      <c r="K596" s="10"/>
    </row>
    <row r="597" spans="1:11" x14ac:dyDescent="0.25">
      <c r="A597" s="14" t="str">
        <f>+'[1]BASE RED COMERCIAL'!$A595</f>
        <v>X0006</v>
      </c>
      <c r="B597" s="8" t="str">
        <f>+'[1]BASE RED COMERCIAL'!$H595</f>
        <v>CORDOBA 6</v>
      </c>
      <c r="C597" s="7" t="s">
        <v>33</v>
      </c>
      <c r="D597" s="9" t="str">
        <f>+'[1]BASE RED COMERCIAL'!$E595</f>
        <v>JUAN RODRIGUEZ</v>
      </c>
      <c r="E597" s="7">
        <f>+'[1]BASE RED COMERCIAL'!$F595</f>
        <v>1351</v>
      </c>
      <c r="F597" s="14" t="str">
        <f>+'[1]BASE RED COMERCIAL'!$I595</f>
        <v>X5006ZAA</v>
      </c>
      <c r="G597" s="7" t="str">
        <f>+'[1]BASE RED COMERCIAL'!$D595</f>
        <v>CORDOBA</v>
      </c>
      <c r="H597" s="7" t="str">
        <f>+'[1]BASE RED COMERCIAL'!$B595</f>
        <v>CORDOBA</v>
      </c>
      <c r="I597" s="8" t="str">
        <f>+'[1]BASE RED COMERCIAL'!$C595</f>
        <v>CAPITAL</v>
      </c>
      <c r="J597" s="10"/>
      <c r="K597" s="10"/>
    </row>
    <row r="598" spans="1:11" x14ac:dyDescent="0.25">
      <c r="A598" s="14" t="str">
        <f>+'[1]BASE RED COMERCIAL'!$A596</f>
        <v>X0007</v>
      </c>
      <c r="B598" s="8" t="str">
        <f>+'[1]BASE RED COMERCIAL'!$H596</f>
        <v>CORDOBA  22</v>
      </c>
      <c r="C598" s="7" t="s">
        <v>33</v>
      </c>
      <c r="D598" s="9" t="str">
        <f>+'[1]BASE RED COMERCIAL'!$E596</f>
        <v>AV RAFAEL NUÃ‘EZ</v>
      </c>
      <c r="E598" s="7">
        <f>+'[1]BASE RED COMERCIAL'!$F596</f>
        <v>6237</v>
      </c>
      <c r="F598" s="14" t="str">
        <f>+'[1]BASE RED COMERCIAL'!$I596</f>
        <v>X5001ZAB</v>
      </c>
      <c r="G598" s="7" t="str">
        <f>+'[1]BASE RED COMERCIAL'!$D596</f>
        <v>CORDOBA</v>
      </c>
      <c r="H598" s="7" t="str">
        <f>+'[1]BASE RED COMERCIAL'!$B596</f>
        <v>CORDOBA</v>
      </c>
      <c r="I598" s="8" t="str">
        <f>+'[1]BASE RED COMERCIAL'!$C596</f>
        <v>CAPITAL</v>
      </c>
      <c r="J598" s="10"/>
      <c r="K598" s="10"/>
    </row>
    <row r="599" spans="1:11" x14ac:dyDescent="0.25">
      <c r="A599" s="14" t="str">
        <f>+'[1]BASE RED COMERCIAL'!$A597</f>
        <v>X0008</v>
      </c>
      <c r="B599" s="8" t="str">
        <f>+'[1]BASE RED COMERCIAL'!$H597</f>
        <v>CORDOBA 8</v>
      </c>
      <c r="C599" s="7" t="s">
        <v>33</v>
      </c>
      <c r="D599" s="9" t="str">
        <f>+'[1]BASE RED COMERCIAL'!$E597</f>
        <v>AV MONS PABLO CABRERA</v>
      </c>
      <c r="E599" s="7">
        <f>+'[1]BASE RED COMERCIAL'!$F597</f>
        <v>3160</v>
      </c>
      <c r="F599" s="14" t="str">
        <f>+'[1]BASE RED COMERCIAL'!$I597</f>
        <v>X5008ZAA</v>
      </c>
      <c r="G599" s="7" t="str">
        <f>+'[1]BASE RED COMERCIAL'!$D597</f>
        <v>CORDOBA</v>
      </c>
      <c r="H599" s="7" t="str">
        <f>+'[1]BASE RED COMERCIAL'!$B597</f>
        <v>CORDOBA</v>
      </c>
      <c r="I599" s="8" t="str">
        <f>+'[1]BASE RED COMERCIAL'!$C597</f>
        <v>CAPITAL</v>
      </c>
      <c r="J599" s="10"/>
      <c r="K599" s="10"/>
    </row>
    <row r="600" spans="1:11" x14ac:dyDescent="0.25">
      <c r="A600" s="14" t="str">
        <f>+'[1]BASE RED COMERCIAL'!$A598</f>
        <v>X0009</v>
      </c>
      <c r="B600" s="8" t="str">
        <f>+'[1]BASE RED COMERCIAL'!$H598</f>
        <v>CORDOBA 9</v>
      </c>
      <c r="C600" s="7" t="s">
        <v>33</v>
      </c>
      <c r="D600" s="9" t="str">
        <f>+'[1]BASE RED COMERCIAL'!$E598</f>
        <v>AV RAFAEL NUÃ‘EZ</v>
      </c>
      <c r="E600" s="7">
        <f>+'[1]BASE RED COMERCIAL'!$F598</f>
        <v>3782</v>
      </c>
      <c r="F600" s="14" t="str">
        <f>+'[1]BASE RED COMERCIAL'!$I598</f>
        <v>X5009ZAA</v>
      </c>
      <c r="G600" s="7" t="str">
        <f>+'[1]BASE RED COMERCIAL'!$D598</f>
        <v>CORDOBA</v>
      </c>
      <c r="H600" s="7" t="str">
        <f>+'[1]BASE RED COMERCIAL'!$B598</f>
        <v>CORDOBA</v>
      </c>
      <c r="I600" s="8" t="str">
        <f>+'[1]BASE RED COMERCIAL'!$C598</f>
        <v>CAPITAL</v>
      </c>
      <c r="J600" s="10"/>
      <c r="K600" s="10"/>
    </row>
    <row r="601" spans="1:11" x14ac:dyDescent="0.25">
      <c r="A601" s="14" t="str">
        <f>+'[1]BASE RED COMERCIAL'!$A599</f>
        <v>X0010</v>
      </c>
      <c r="B601" s="8" t="str">
        <f>+'[1]BASE RED COMERCIAL'!$H599</f>
        <v>CORDOBA 10</v>
      </c>
      <c r="C601" s="7" t="s">
        <v>33</v>
      </c>
      <c r="D601" s="9" t="str">
        <f>+'[1]BASE RED COMERCIAL'!$E599</f>
        <v>AV FUERZA AEREA ARG</v>
      </c>
      <c r="E601" s="7">
        <f>+'[1]BASE RED COMERCIAL'!$F599</f>
        <v>2921</v>
      </c>
      <c r="F601" s="14" t="str">
        <f>+'[1]BASE RED COMERCIAL'!$I599</f>
        <v>X5010ZAA</v>
      </c>
      <c r="G601" s="7" t="str">
        <f>+'[1]BASE RED COMERCIAL'!$D599</f>
        <v>CORDOBA</v>
      </c>
      <c r="H601" s="7" t="str">
        <f>+'[1]BASE RED COMERCIAL'!$B599</f>
        <v>CORDOBA</v>
      </c>
      <c r="I601" s="8" t="str">
        <f>+'[1]BASE RED COMERCIAL'!$C599</f>
        <v>CAPITAL</v>
      </c>
      <c r="J601" s="10"/>
      <c r="K601" s="10"/>
    </row>
    <row r="602" spans="1:11" x14ac:dyDescent="0.25">
      <c r="A602" s="14" t="str">
        <f>+'[1]BASE RED COMERCIAL'!$A600</f>
        <v>X0011</v>
      </c>
      <c r="B602" s="8" t="str">
        <f>+'[1]BASE RED COMERCIAL'!$H600</f>
        <v>CORDOBA 23 TRIB PROVINCIALES</v>
      </c>
      <c r="C602" s="7" t="s">
        <v>33</v>
      </c>
      <c r="D602" s="9" t="str">
        <f>+'[1]BASE RED COMERCIAL'!$E600</f>
        <v>ARTURO M BAS</v>
      </c>
      <c r="E602" s="7">
        <f>+'[1]BASE RED COMERCIAL'!$F600</f>
        <v>251</v>
      </c>
      <c r="F602" s="14" t="str">
        <f>+'[1]BASE RED COMERCIAL'!$I600</f>
        <v>X5000ZAB</v>
      </c>
      <c r="G602" s="7" t="str">
        <f>+'[1]BASE RED COMERCIAL'!$D600</f>
        <v>CORDOBA</v>
      </c>
      <c r="H602" s="7" t="str">
        <f>+'[1]BASE RED COMERCIAL'!$B600</f>
        <v>CORDOBA</v>
      </c>
      <c r="I602" s="8" t="str">
        <f>+'[1]BASE RED COMERCIAL'!$C600</f>
        <v>CAPITAL</v>
      </c>
      <c r="J602" s="10"/>
      <c r="K602" s="10"/>
    </row>
    <row r="603" spans="1:11" x14ac:dyDescent="0.25">
      <c r="A603" s="14" t="str">
        <f>+'[1]BASE RED COMERCIAL'!$A601</f>
        <v>X0012</v>
      </c>
      <c r="B603" s="8" t="str">
        <f>+'[1]BASE RED COMERCIAL'!$H601</f>
        <v>CORDOBA 12</v>
      </c>
      <c r="C603" s="7" t="s">
        <v>33</v>
      </c>
      <c r="D603" s="9" t="str">
        <f>+'[1]BASE RED COMERCIAL'!$E601</f>
        <v>AV L N ALEM</v>
      </c>
      <c r="E603" s="7">
        <f>+'[1]BASE RED COMERCIAL'!$F601</f>
        <v>753</v>
      </c>
      <c r="F603" s="14" t="str">
        <f>+'[1]BASE RED COMERCIAL'!$I601</f>
        <v>X5012ZAA</v>
      </c>
      <c r="G603" s="7" t="str">
        <f>+'[1]BASE RED COMERCIAL'!$D601</f>
        <v>CORDOBA</v>
      </c>
      <c r="H603" s="7" t="str">
        <f>+'[1]BASE RED COMERCIAL'!$B601</f>
        <v>CORDOBA</v>
      </c>
      <c r="I603" s="8" t="str">
        <f>+'[1]BASE RED COMERCIAL'!$C601</f>
        <v>CAPITAL</v>
      </c>
      <c r="J603" s="10"/>
      <c r="K603" s="10"/>
    </row>
    <row r="604" spans="1:11" x14ac:dyDescent="0.25">
      <c r="A604" s="14" t="str">
        <f>+'[1]BASE RED COMERCIAL'!$A602</f>
        <v>X0016</v>
      </c>
      <c r="B604" s="8" t="str">
        <f>+'[1]BASE RED COMERCIAL'!$H602</f>
        <v>CORDOBA 16</v>
      </c>
      <c r="C604" s="7" t="s">
        <v>33</v>
      </c>
      <c r="D604" s="9" t="str">
        <f>+'[1]BASE RED COMERCIAL'!$E602</f>
        <v>AV DR VELEZ SARSFIELD</v>
      </c>
      <c r="E604" s="7">
        <f>+'[1]BASE RED COMERCIAL'!$F602</f>
        <v>3458</v>
      </c>
      <c r="F604" s="14" t="str">
        <f>+'[1]BASE RED COMERCIAL'!$I602</f>
        <v>X5016ZAA</v>
      </c>
      <c r="G604" s="7" t="str">
        <f>+'[1]BASE RED COMERCIAL'!$D602</f>
        <v>CORDOBA</v>
      </c>
      <c r="H604" s="7" t="str">
        <f>+'[1]BASE RED COMERCIAL'!$B602</f>
        <v>CORDOBA</v>
      </c>
      <c r="I604" s="8" t="str">
        <f>+'[1]BASE RED COMERCIAL'!$C602</f>
        <v>CAPITAL</v>
      </c>
      <c r="J604" s="10"/>
      <c r="K604" s="10"/>
    </row>
    <row r="605" spans="1:11" x14ac:dyDescent="0.25">
      <c r="A605" s="14" t="str">
        <f>+'[1]BASE RED COMERCIAL'!$A603</f>
        <v>X0025</v>
      </c>
      <c r="B605" s="8" t="str">
        <f>+'[1]BASE RED COMERCIAL'!$H603</f>
        <v>ALICIA</v>
      </c>
      <c r="C605" s="7" t="s">
        <v>33</v>
      </c>
      <c r="D605" s="9" t="str">
        <f>+'[1]BASE RED COMERCIAL'!$E603</f>
        <v>GRAL SAN MARTIN</v>
      </c>
      <c r="E605" s="7">
        <f>+'[1]BASE RED COMERCIAL'!$F603</f>
        <v>604</v>
      </c>
      <c r="F605" s="14" t="str">
        <f>+'[1]BASE RED COMERCIAL'!$I603</f>
        <v>X5949ZAA</v>
      </c>
      <c r="G605" s="7" t="str">
        <f>+'[1]BASE RED COMERCIAL'!$D603</f>
        <v>ALICIA</v>
      </c>
      <c r="H605" s="7" t="str">
        <f>+'[1]BASE RED COMERCIAL'!$B603</f>
        <v>CORDOBA</v>
      </c>
      <c r="I605" s="8" t="str">
        <f>+'[1]BASE RED COMERCIAL'!$C603</f>
        <v>SAN JUSTO</v>
      </c>
      <c r="J605" s="10"/>
      <c r="K605" s="10"/>
    </row>
    <row r="606" spans="1:11" x14ac:dyDescent="0.25">
      <c r="A606" s="14" t="str">
        <f>+'[1]BASE RED COMERCIAL'!$A604</f>
        <v>X0026</v>
      </c>
      <c r="B606" s="8" t="str">
        <f>+'[1]BASE RED COMERCIAL'!$H604</f>
        <v>AGUA DE ORO</v>
      </c>
      <c r="C606" s="7" t="s">
        <v>33</v>
      </c>
      <c r="D606" s="9" t="str">
        <f>+'[1]BASE RED COMERCIAL'!$E604</f>
        <v>OBISPO ZENON BUSTOS</v>
      </c>
      <c r="E606" s="7">
        <f>+'[1]BASE RED COMERCIAL'!$F604</f>
        <v>1</v>
      </c>
      <c r="F606" s="14" t="str">
        <f>+'[1]BASE RED COMERCIAL'!$I604</f>
        <v>X5107ZAA</v>
      </c>
      <c r="G606" s="7" t="str">
        <f>+'[1]BASE RED COMERCIAL'!$D604</f>
        <v>AGUA DE ORO</v>
      </c>
      <c r="H606" s="7" t="str">
        <f>+'[1]BASE RED COMERCIAL'!$B604</f>
        <v>CORDOBA</v>
      </c>
      <c r="I606" s="8" t="str">
        <f>+'[1]BASE RED COMERCIAL'!$C604</f>
        <v>COLON</v>
      </c>
      <c r="J606" s="10"/>
      <c r="K606" s="10"/>
    </row>
    <row r="607" spans="1:11" x14ac:dyDescent="0.25">
      <c r="A607" s="14" t="str">
        <f>+'[1]BASE RED COMERCIAL'!$A605</f>
        <v>X0027</v>
      </c>
      <c r="B607" s="8" t="str">
        <f>+'[1]BASE RED COMERCIAL'!$H605</f>
        <v>ALTA GRACIA</v>
      </c>
      <c r="C607" s="7" t="s">
        <v>33</v>
      </c>
      <c r="D607" s="9" t="str">
        <f>+'[1]BASE RED COMERCIAL'!$E605</f>
        <v>AV LIBERTADOR</v>
      </c>
      <c r="E607" s="7">
        <f>+'[1]BASE RED COMERCIAL'!$F605</f>
        <v>577</v>
      </c>
      <c r="F607" s="14" t="str">
        <f>+'[1]BASE RED COMERCIAL'!$I605</f>
        <v>X5186ZAA</v>
      </c>
      <c r="G607" s="7" t="str">
        <f>+'[1]BASE RED COMERCIAL'!$D605</f>
        <v>ALTA GRACIA</v>
      </c>
      <c r="H607" s="7" t="str">
        <f>+'[1]BASE RED COMERCIAL'!$B605</f>
        <v>CORDOBA</v>
      </c>
      <c r="I607" s="8" t="str">
        <f>+'[1]BASE RED COMERCIAL'!$C605</f>
        <v>SANTA MARIA</v>
      </c>
      <c r="J607" s="10"/>
      <c r="K607" s="10"/>
    </row>
    <row r="608" spans="1:11" x14ac:dyDescent="0.25">
      <c r="A608" s="14" t="str">
        <f>+'[1]BASE RED COMERCIAL'!$A606</f>
        <v>X0028</v>
      </c>
      <c r="B608" s="8" t="str">
        <f>+'[1]BASE RED COMERCIAL'!$H606</f>
        <v>ALTOS DE CHIPION</v>
      </c>
      <c r="C608" s="7" t="s">
        <v>33</v>
      </c>
      <c r="D608" s="9" t="str">
        <f>+'[1]BASE RED COMERCIAL'!$E606</f>
        <v>AV L N ALEM</v>
      </c>
      <c r="E608" s="7">
        <f>+'[1]BASE RED COMERCIAL'!$F606</f>
        <v>544</v>
      </c>
      <c r="F608" s="14" t="str">
        <f>+'[1]BASE RED COMERCIAL'!$I606</f>
        <v>X2417ZAA</v>
      </c>
      <c r="G608" s="7" t="str">
        <f>+'[1]BASE RED COMERCIAL'!$D606</f>
        <v>ALTOS DE CHIPION</v>
      </c>
      <c r="H608" s="7" t="str">
        <f>+'[1]BASE RED COMERCIAL'!$B606</f>
        <v>CORDOBA</v>
      </c>
      <c r="I608" s="8" t="str">
        <f>+'[1]BASE RED COMERCIAL'!$C606</f>
        <v>SAN JUSTO</v>
      </c>
      <c r="J608" s="10"/>
      <c r="K608" s="10"/>
    </row>
    <row r="609" spans="1:11" x14ac:dyDescent="0.25">
      <c r="A609" s="14" t="str">
        <f>+'[1]BASE RED COMERCIAL'!$A607</f>
        <v>X0033</v>
      </c>
      <c r="B609" s="8" t="str">
        <f>+'[1]BASE RED COMERCIAL'!$H607</f>
        <v>ARROYITO</v>
      </c>
      <c r="C609" s="7" t="s">
        <v>33</v>
      </c>
      <c r="D609" s="9" t="str">
        <f>+'[1]BASE RED COMERCIAL'!$E607</f>
        <v>PRES BERNARDINO RIVADAVIA</v>
      </c>
      <c r="E609" s="7">
        <f>+'[1]BASE RED COMERCIAL'!$F607</f>
        <v>505</v>
      </c>
      <c r="F609" s="14" t="str">
        <f>+'[1]BASE RED COMERCIAL'!$I607</f>
        <v>X2434ZAA</v>
      </c>
      <c r="G609" s="7" t="str">
        <f>+'[1]BASE RED COMERCIAL'!$D607</f>
        <v>ARROYITO</v>
      </c>
      <c r="H609" s="7" t="str">
        <f>+'[1]BASE RED COMERCIAL'!$B607</f>
        <v>CORDOBA</v>
      </c>
      <c r="I609" s="8" t="str">
        <f>+'[1]BASE RED COMERCIAL'!$C607</f>
        <v>SAN JUSTO</v>
      </c>
      <c r="J609" s="10"/>
      <c r="K609" s="10"/>
    </row>
    <row r="610" spans="1:11" x14ac:dyDescent="0.25">
      <c r="A610" s="14" t="str">
        <f>+'[1]BASE RED COMERCIAL'!$A608</f>
        <v>X0041</v>
      </c>
      <c r="B610" s="8" t="str">
        <f>+'[1]BASE RED COMERCIAL'!$H608</f>
        <v>BALNEARIA</v>
      </c>
      <c r="C610" s="7" t="s">
        <v>33</v>
      </c>
      <c r="D610" s="9" t="str">
        <f>+'[1]BASE RED COMERCIAL'!$E608</f>
        <v>TRISTAN CORNEJO</v>
      </c>
      <c r="E610" s="7">
        <f>+'[1]BASE RED COMERCIAL'!$F608</f>
        <v>168</v>
      </c>
      <c r="F610" s="14" t="str">
        <f>+'[1]BASE RED COMERCIAL'!$I608</f>
        <v>X5141ZAA</v>
      </c>
      <c r="G610" s="7" t="str">
        <f>+'[1]BASE RED COMERCIAL'!$D608</f>
        <v>BALNEARIA</v>
      </c>
      <c r="H610" s="7" t="str">
        <f>+'[1]BASE RED COMERCIAL'!$B608</f>
        <v>CORDOBA</v>
      </c>
      <c r="I610" s="8" t="str">
        <f>+'[1]BASE RED COMERCIAL'!$C608</f>
        <v>SAN JUSTO</v>
      </c>
      <c r="J610" s="10"/>
      <c r="K610" s="10"/>
    </row>
    <row r="611" spans="1:11" x14ac:dyDescent="0.25">
      <c r="A611" s="14" t="str">
        <f>+'[1]BASE RED COMERCIAL'!$A609</f>
        <v>X0043</v>
      </c>
      <c r="B611" s="8" t="str">
        <f>+'[1]BASE RED COMERCIAL'!$H609</f>
        <v>BRINKMANN</v>
      </c>
      <c r="C611" s="7" t="s">
        <v>33</v>
      </c>
      <c r="D611" s="9" t="str">
        <f>+'[1]BASE RED COMERCIAL'!$E609</f>
        <v>INTE SABINO GIAVENO</v>
      </c>
      <c r="E611" s="7">
        <f>+'[1]BASE RED COMERCIAL'!$F609</f>
        <v>101</v>
      </c>
      <c r="F611" s="14" t="str">
        <f>+'[1]BASE RED COMERCIAL'!$I609</f>
        <v>X2419ZAA</v>
      </c>
      <c r="G611" s="7" t="str">
        <f>+'[1]BASE RED COMERCIAL'!$D609</f>
        <v>BRINKMANN</v>
      </c>
      <c r="H611" s="7" t="str">
        <f>+'[1]BASE RED COMERCIAL'!$B609</f>
        <v>CORDOBA</v>
      </c>
      <c r="I611" s="8" t="str">
        <f>+'[1]BASE RED COMERCIAL'!$C609</f>
        <v>SAN JUSTO</v>
      </c>
      <c r="J611" s="10"/>
      <c r="K611" s="10"/>
    </row>
    <row r="612" spans="1:11" x14ac:dyDescent="0.25">
      <c r="A612" s="14" t="str">
        <f>+'[1]BASE RED COMERCIAL'!$A610</f>
        <v>X0050</v>
      </c>
      <c r="B612" s="8" t="str">
        <f>+'[1]BASE RED COMERCIAL'!$H610</f>
        <v>CAPILLA DEL MONTE</v>
      </c>
      <c r="C612" s="7" t="s">
        <v>33</v>
      </c>
      <c r="D612" s="9" t="str">
        <f>+'[1]BASE RED COMERCIAL'!$E610</f>
        <v>CORRIENTES</v>
      </c>
      <c r="E612" s="7">
        <f>+'[1]BASE RED COMERCIAL'!$F610</f>
        <v>165</v>
      </c>
      <c r="F612" s="14" t="str">
        <f>+'[1]BASE RED COMERCIAL'!$I610</f>
        <v>X5184ZAA</v>
      </c>
      <c r="G612" s="7" t="str">
        <f>+'[1]BASE RED COMERCIAL'!$D610</f>
        <v>CAPILLA DEL MONTE</v>
      </c>
      <c r="H612" s="7" t="str">
        <f>+'[1]BASE RED COMERCIAL'!$B610</f>
        <v>CORDOBA</v>
      </c>
      <c r="I612" s="8" t="str">
        <f>+'[1]BASE RED COMERCIAL'!$C610</f>
        <v>PUNILLA</v>
      </c>
      <c r="J612" s="10"/>
      <c r="K612" s="10"/>
    </row>
    <row r="613" spans="1:11" x14ac:dyDescent="0.25">
      <c r="A613" s="14" t="str">
        <f>+'[1]BASE RED COMERCIAL'!$A611</f>
        <v>X0053</v>
      </c>
      <c r="B613" s="8" t="str">
        <f>+'[1]BASE RED COMERCIAL'!$H611</f>
        <v>CORDOBA 10</v>
      </c>
      <c r="C613" s="7" t="s">
        <v>33</v>
      </c>
      <c r="D613" s="9" t="str">
        <f>+'[1]BASE RED COMERCIAL'!$E611</f>
        <v>AV EJERCITO ARGENTINO</v>
      </c>
      <c r="E613" s="7">
        <f>+'[1]BASE RED COMERCIAL'!$F611</f>
        <v>7200</v>
      </c>
      <c r="F613" s="14" t="str">
        <f>+'[1]BASE RED COMERCIAL'!$I611</f>
        <v>X5023ZAA</v>
      </c>
      <c r="G613" s="7" t="str">
        <f>+'[1]BASE RED COMERCIAL'!$D611</f>
        <v>CORDOBA</v>
      </c>
      <c r="H613" s="7" t="str">
        <f>+'[1]BASE RED COMERCIAL'!$B611</f>
        <v>CORDOBA</v>
      </c>
      <c r="I613" s="8" t="str">
        <f>+'[1]BASE RED COMERCIAL'!$C611</f>
        <v>CAPITAL</v>
      </c>
      <c r="J613" s="10"/>
      <c r="K613" s="10"/>
    </row>
    <row r="614" spans="1:11" x14ac:dyDescent="0.25">
      <c r="A614" s="14" t="str">
        <f>+'[1]BASE RED COMERCIAL'!$A612</f>
        <v>X0054</v>
      </c>
      <c r="B614" s="8" t="str">
        <f>+'[1]BASE RED COMERCIAL'!$H612</f>
        <v>COLONIA CAROYA</v>
      </c>
      <c r="C614" s="7" t="s">
        <v>33</v>
      </c>
      <c r="D614" s="9" t="str">
        <f>+'[1]BASE RED COMERCIAL'!$E612</f>
        <v>ITALIA</v>
      </c>
      <c r="E614" s="7">
        <f>+'[1]BASE RED COMERCIAL'!$F612</f>
        <v>50</v>
      </c>
      <c r="F614" s="14" t="str">
        <f>+'[1]BASE RED COMERCIAL'!$I612</f>
        <v>X5223ZAA</v>
      </c>
      <c r="G614" s="7" t="str">
        <f>+'[1]BASE RED COMERCIAL'!$D612</f>
        <v>COLONIA CAROYA</v>
      </c>
      <c r="H614" s="7" t="str">
        <f>+'[1]BASE RED COMERCIAL'!$B612</f>
        <v>CORDOBA</v>
      </c>
      <c r="I614" s="8" t="str">
        <f>+'[1]BASE RED COMERCIAL'!$C612</f>
        <v>COLON</v>
      </c>
      <c r="J614" s="10"/>
      <c r="K614" s="10"/>
    </row>
    <row r="615" spans="1:11" x14ac:dyDescent="0.25">
      <c r="A615" s="14" t="str">
        <f>+'[1]BASE RED COMERCIAL'!$A613</f>
        <v>X0056</v>
      </c>
      <c r="B615" s="8" t="str">
        <f>+'[1]BASE RED COMERCIAL'!$H613</f>
        <v>COLONIA SAN BARTOLOME</v>
      </c>
      <c r="C615" s="7" t="s">
        <v>33</v>
      </c>
      <c r="D615" s="9" t="str">
        <f>+'[1]BASE RED COMERCIAL'!$E613</f>
        <v>AV DE MAYO</v>
      </c>
      <c r="E615" s="7">
        <f>+'[1]BASE RED COMERCIAL'!$F613</f>
        <v>472</v>
      </c>
      <c r="F615" s="14" t="str">
        <f>+'[1]BASE RED COMERCIAL'!$I613</f>
        <v>X2426ZAA</v>
      </c>
      <c r="G615" s="7" t="str">
        <f>+'[1]BASE RED COMERCIAL'!$D613</f>
        <v>COLONIA SAN BARTOLOME</v>
      </c>
      <c r="H615" s="7" t="str">
        <f>+'[1]BASE RED COMERCIAL'!$B613</f>
        <v>CORDOBA</v>
      </c>
      <c r="I615" s="8" t="str">
        <f>+'[1]BASE RED COMERCIAL'!$C613</f>
        <v>SAN JUSTO</v>
      </c>
      <c r="J615" s="10"/>
      <c r="K615" s="10"/>
    </row>
    <row r="616" spans="1:11" x14ac:dyDescent="0.25">
      <c r="A616" s="14" t="str">
        <f>+'[1]BASE RED COMERCIAL'!$A614</f>
        <v>X0058</v>
      </c>
      <c r="B616" s="8" t="str">
        <f>+'[1]BASE RED COMERCIAL'!$H614</f>
        <v>COSQUIN</v>
      </c>
      <c r="C616" s="7" t="s">
        <v>33</v>
      </c>
      <c r="D616" s="9" t="str">
        <f>+'[1]BASE RED COMERCIAL'!$E614</f>
        <v>TUCUMAN</v>
      </c>
      <c r="E616" s="7">
        <f>+'[1]BASE RED COMERCIAL'!$F614</f>
        <v>1069</v>
      </c>
      <c r="F616" s="14" t="str">
        <f>+'[1]BASE RED COMERCIAL'!$I614</f>
        <v>X5166ZAA</v>
      </c>
      <c r="G616" s="7" t="str">
        <f>+'[1]BASE RED COMERCIAL'!$D614</f>
        <v>COSQUIN</v>
      </c>
      <c r="H616" s="7" t="str">
        <f>+'[1]BASE RED COMERCIAL'!$B614</f>
        <v>CORDOBA</v>
      </c>
      <c r="I616" s="8" t="str">
        <f>+'[1]BASE RED COMERCIAL'!$C614</f>
        <v>PUNILLA</v>
      </c>
      <c r="J616" s="10"/>
      <c r="K616" s="10"/>
    </row>
    <row r="617" spans="1:11" x14ac:dyDescent="0.25">
      <c r="A617" s="14" t="str">
        <f>+'[1]BASE RED COMERCIAL'!$A615</f>
        <v>X0062</v>
      </c>
      <c r="B617" s="8" t="str">
        <f>+'[1]BASE RED COMERCIAL'!$H615</f>
        <v>CRUZ DEL EJE</v>
      </c>
      <c r="C617" s="7" t="s">
        <v>33</v>
      </c>
      <c r="D617" s="9" t="str">
        <f>+'[1]BASE RED COMERCIAL'!$E615</f>
        <v>PTE M T DE ALVEAR</v>
      </c>
      <c r="E617" s="7">
        <f>+'[1]BASE RED COMERCIAL'!$F615</f>
        <v>403</v>
      </c>
      <c r="F617" s="14" t="str">
        <f>+'[1]BASE RED COMERCIAL'!$I615</f>
        <v>X5280ZAA</v>
      </c>
      <c r="G617" s="7" t="str">
        <f>+'[1]BASE RED COMERCIAL'!$D615</f>
        <v>CRUZ DEL EJE</v>
      </c>
      <c r="H617" s="7" t="str">
        <f>+'[1]BASE RED COMERCIAL'!$B615</f>
        <v>CORDOBA</v>
      </c>
      <c r="I617" s="8" t="str">
        <f>+'[1]BASE RED COMERCIAL'!$C615</f>
        <v>CRUZ DEL EJE</v>
      </c>
      <c r="J617" s="10"/>
      <c r="K617" s="10"/>
    </row>
    <row r="618" spans="1:11" x14ac:dyDescent="0.25">
      <c r="A618" s="14" t="str">
        <f>+'[1]BASE RED COMERCIAL'!$A616</f>
        <v>X0066</v>
      </c>
      <c r="B618" s="8" t="str">
        <f>+'[1]BASE RED COMERCIAL'!$H616</f>
        <v>DEAN FUNES</v>
      </c>
      <c r="C618" s="7" t="s">
        <v>33</v>
      </c>
      <c r="D618" s="9" t="str">
        <f>+'[1]BASE RED COMERCIAL'!$E616</f>
        <v>RIVADAVIA</v>
      </c>
      <c r="E618" s="7">
        <f>+'[1]BASE RED COMERCIAL'!$F616</f>
        <v>200</v>
      </c>
      <c r="F618" s="14" t="str">
        <f>+'[1]BASE RED COMERCIAL'!$I616</f>
        <v>X5200ZAA</v>
      </c>
      <c r="G618" s="7" t="str">
        <f>+'[1]BASE RED COMERCIAL'!$D616</f>
        <v>DEAN FUNES</v>
      </c>
      <c r="H618" s="7" t="str">
        <f>+'[1]BASE RED COMERCIAL'!$B616</f>
        <v>CORDOBA</v>
      </c>
      <c r="I618" s="8" t="str">
        <f>+'[1]BASE RED COMERCIAL'!$C616</f>
        <v>ISCHILIN</v>
      </c>
      <c r="J618" s="10"/>
      <c r="K618" s="10"/>
    </row>
    <row r="619" spans="1:11" x14ac:dyDescent="0.25">
      <c r="A619" s="14" t="str">
        <f>+'[1]BASE RED COMERCIAL'!$A617</f>
        <v>X0068</v>
      </c>
      <c r="B619" s="8" t="str">
        <f>+'[1]BASE RED COMERCIAL'!$H617</f>
        <v>DESPEÃ‘ADEROS (AG. 30)</v>
      </c>
      <c r="C619" s="7" t="s">
        <v>33</v>
      </c>
      <c r="D619" s="9" t="str">
        <f>+'[1]BASE RED COMERCIAL'!$E617</f>
        <v>FLORIDA</v>
      </c>
      <c r="E619" s="7">
        <f>+'[1]BASE RED COMERCIAL'!$F617</f>
        <v>231</v>
      </c>
      <c r="F619" s="14" t="str">
        <f>+'[1]BASE RED COMERCIAL'!$I617</f>
        <v>X5121ZAA</v>
      </c>
      <c r="G619" s="7" t="str">
        <f>+'[1]BASE RED COMERCIAL'!$D617</f>
        <v>DESPEÃ‘ADEROS</v>
      </c>
      <c r="H619" s="7" t="str">
        <f>+'[1]BASE RED COMERCIAL'!$B617</f>
        <v>CORDOBA</v>
      </c>
      <c r="I619" s="8" t="str">
        <f>+'[1]BASE RED COMERCIAL'!$C617</f>
        <v>SANTA MARIA</v>
      </c>
      <c r="J619" s="10"/>
      <c r="K619" s="10"/>
    </row>
    <row r="620" spans="1:11" x14ac:dyDescent="0.25">
      <c r="A620" s="14" t="str">
        <f>+'[1]BASE RED COMERCIAL'!$A618</f>
        <v>X0070</v>
      </c>
      <c r="B620" s="8" t="str">
        <f>+'[1]BASE RED COMERCIAL'!$H618</f>
        <v>DEVOTO</v>
      </c>
      <c r="C620" s="7" t="s">
        <v>33</v>
      </c>
      <c r="D620" s="9" t="str">
        <f>+'[1]BASE RED COMERCIAL'!$E618</f>
        <v>SARMIENTO</v>
      </c>
      <c r="E620" s="7">
        <f>+'[1]BASE RED COMERCIAL'!$F618</f>
        <v>449</v>
      </c>
      <c r="F620" s="14" t="str">
        <f>+'[1]BASE RED COMERCIAL'!$I618</f>
        <v>X2424ZAA</v>
      </c>
      <c r="G620" s="7" t="str">
        <f>+'[1]BASE RED COMERCIAL'!$D618</f>
        <v>DEVOTO</v>
      </c>
      <c r="H620" s="7" t="str">
        <f>+'[1]BASE RED COMERCIAL'!$B618</f>
        <v>CORDOBA</v>
      </c>
      <c r="I620" s="8" t="str">
        <f>+'[1]BASE RED COMERCIAL'!$C618</f>
        <v>SAN JUSTO</v>
      </c>
      <c r="J620" s="10"/>
      <c r="K620" s="10"/>
    </row>
    <row r="621" spans="1:11" x14ac:dyDescent="0.25">
      <c r="A621" s="14" t="str">
        <f>+'[1]BASE RED COMERCIAL'!$A619</f>
        <v>X0072</v>
      </c>
      <c r="B621" s="8" t="str">
        <f>+'[1]BASE RED COMERCIAL'!$H619</f>
        <v>EL ARAÃ‘ADO</v>
      </c>
      <c r="C621" s="7" t="s">
        <v>33</v>
      </c>
      <c r="D621" s="9" t="str">
        <f>+'[1]BASE RED COMERCIAL'!$E619</f>
        <v>9 DE JULIO</v>
      </c>
      <c r="E621" s="7">
        <f>+'[1]BASE RED COMERCIAL'!$F619</f>
        <v>353</v>
      </c>
      <c r="F621" s="14" t="str">
        <f>+'[1]BASE RED COMERCIAL'!$I619</f>
        <v>X5947ZAA</v>
      </c>
      <c r="G621" s="7" t="str">
        <f>+'[1]BASE RED COMERCIAL'!$D619</f>
        <v>EL ARAÃ‘ADO</v>
      </c>
      <c r="H621" s="7" t="str">
        <f>+'[1]BASE RED COMERCIAL'!$B619</f>
        <v>CORDOBA</v>
      </c>
      <c r="I621" s="8" t="str">
        <f>+'[1]BASE RED COMERCIAL'!$C619</f>
        <v>SAN JUSTO</v>
      </c>
      <c r="J621" s="10"/>
      <c r="K621" s="10"/>
    </row>
    <row r="622" spans="1:11" x14ac:dyDescent="0.25">
      <c r="A622" s="14" t="str">
        <f>+'[1]BASE RED COMERCIAL'!$A620</f>
        <v>X0076</v>
      </c>
      <c r="B622" s="8" t="str">
        <f>+'[1]BASE RED COMERCIAL'!$H620</f>
        <v>EL TIO</v>
      </c>
      <c r="C622" s="7" t="s">
        <v>33</v>
      </c>
      <c r="D622" s="9" t="str">
        <f>+'[1]BASE RED COMERCIAL'!$E620</f>
        <v>AV 25 DE MAYO</v>
      </c>
      <c r="E622" s="7">
        <f>+'[1]BASE RED COMERCIAL'!$F620</f>
        <v>631</v>
      </c>
      <c r="F622" s="14" t="str">
        <f>+'[1]BASE RED COMERCIAL'!$I620</f>
        <v>X2432ZAA</v>
      </c>
      <c r="G622" s="7" t="str">
        <f>+'[1]BASE RED COMERCIAL'!$D620</f>
        <v>EL TIO</v>
      </c>
      <c r="H622" s="7" t="str">
        <f>+'[1]BASE RED COMERCIAL'!$B620</f>
        <v>CORDOBA</v>
      </c>
      <c r="I622" s="8" t="str">
        <f>+'[1]BASE RED COMERCIAL'!$C620</f>
        <v>SAN JUSTO</v>
      </c>
      <c r="J622" s="10"/>
      <c r="K622" s="10"/>
    </row>
    <row r="623" spans="1:11" x14ac:dyDescent="0.25">
      <c r="A623" s="14" t="str">
        <f>+'[1]BASE RED COMERCIAL'!$A621</f>
        <v>X0078</v>
      </c>
      <c r="B623" s="8" t="str">
        <f>+'[1]BASE RED COMERCIAL'!$H621</f>
        <v>ESTACION CALCHIN</v>
      </c>
      <c r="C623" s="7" t="s">
        <v>33</v>
      </c>
      <c r="D623" s="9" t="str">
        <f>+'[1]BASE RED COMERCIAL'!$E621</f>
        <v>25 DE MAYO 100</v>
      </c>
      <c r="E623" s="7">
        <f>+'[1]BASE RED COMERCIAL'!$F621</f>
        <v>0</v>
      </c>
      <c r="F623" s="14" t="str">
        <f>+'[1]BASE RED COMERCIAL'!$I621</f>
        <v>X5969ZAA</v>
      </c>
      <c r="G623" s="7" t="str">
        <f>+'[1]BASE RED COMERCIAL'!$D621</f>
        <v>ESTACION CALCHIN</v>
      </c>
      <c r="H623" s="7" t="str">
        <f>+'[1]BASE RED COMERCIAL'!$B621</f>
        <v>CORDOBA</v>
      </c>
      <c r="I623" s="8" t="str">
        <f>+'[1]BASE RED COMERCIAL'!$C621</f>
        <v>RIO SEGUNDO</v>
      </c>
      <c r="J623" s="10"/>
      <c r="K623" s="10"/>
    </row>
    <row r="624" spans="1:11" x14ac:dyDescent="0.25">
      <c r="A624" s="14" t="str">
        <f>+'[1]BASE RED COMERCIAL'!$A622</f>
        <v>X0082</v>
      </c>
      <c r="B624" s="8" t="str">
        <f>+'[1]BASE RED COMERCIAL'!$H622</f>
        <v>FREYRE</v>
      </c>
      <c r="C624" s="7" t="s">
        <v>33</v>
      </c>
      <c r="D624" s="9" t="str">
        <f>+'[1]BASE RED COMERCIAL'!$E622</f>
        <v>GRAL SAN MARTIN</v>
      </c>
      <c r="E624" s="7">
        <f>+'[1]BASE RED COMERCIAL'!$F622</f>
        <v>790</v>
      </c>
      <c r="F624" s="14" t="str">
        <f>+'[1]BASE RED COMERCIAL'!$I622</f>
        <v>X2413ZAA</v>
      </c>
      <c r="G624" s="7" t="str">
        <f>+'[1]BASE RED COMERCIAL'!$D622</f>
        <v>FREYRE</v>
      </c>
      <c r="H624" s="7" t="str">
        <f>+'[1]BASE RED COMERCIAL'!$B622</f>
        <v>CORDOBA</v>
      </c>
      <c r="I624" s="8" t="str">
        <f>+'[1]BASE RED COMERCIAL'!$C622</f>
        <v>SAN JUSTO</v>
      </c>
      <c r="J624" s="10"/>
      <c r="K624" s="10"/>
    </row>
    <row r="625" spans="1:11" x14ac:dyDescent="0.25">
      <c r="A625" s="14" t="str">
        <f>+'[1]BASE RED COMERCIAL'!$A623</f>
        <v>X0088</v>
      </c>
      <c r="B625" s="8" t="str">
        <f>+'[1]BASE RED COMERCIAL'!$H623</f>
        <v>JESUS MARIA</v>
      </c>
      <c r="C625" s="7" t="s">
        <v>33</v>
      </c>
      <c r="D625" s="9" t="str">
        <f>+'[1]BASE RED COMERCIAL'!$E623</f>
        <v>SARMIENTO</v>
      </c>
      <c r="E625" s="7">
        <f>+'[1]BASE RED COMERCIAL'!$F623</f>
        <v>15</v>
      </c>
      <c r="F625" s="14" t="str">
        <f>+'[1]BASE RED COMERCIAL'!$I623</f>
        <v>X5220ZAA</v>
      </c>
      <c r="G625" s="7" t="str">
        <f>+'[1]BASE RED COMERCIAL'!$D623</f>
        <v>JESUS MARIA</v>
      </c>
      <c r="H625" s="7" t="str">
        <f>+'[1]BASE RED COMERCIAL'!$B623</f>
        <v>CORDOBA</v>
      </c>
      <c r="I625" s="8" t="str">
        <f>+'[1]BASE RED COMERCIAL'!$C623</f>
        <v>COLON</v>
      </c>
      <c r="J625" s="10"/>
      <c r="K625" s="10"/>
    </row>
    <row r="626" spans="1:11" x14ac:dyDescent="0.25">
      <c r="A626" s="14" t="str">
        <f>+'[1]BASE RED COMERCIAL'!$A624</f>
        <v>X0090</v>
      </c>
      <c r="B626" s="8" t="str">
        <f>+'[1]BASE RED COMERCIAL'!$H624</f>
        <v>LA PAZ</v>
      </c>
      <c r="C626" s="7" t="s">
        <v>33</v>
      </c>
      <c r="D626" s="9" t="str">
        <f>+'[1]BASE RED COMERCIAL'!$E624</f>
        <v>PRES BERNARDINO RIVADAVIA</v>
      </c>
      <c r="E626" s="7">
        <f>+'[1]BASE RED COMERCIAL'!$F624</f>
        <v>1</v>
      </c>
      <c r="F626" s="14" t="str">
        <f>+'[1]BASE RED COMERCIAL'!$I624</f>
        <v>X5879ZAA</v>
      </c>
      <c r="G626" s="7" t="str">
        <f>+'[1]BASE RED COMERCIAL'!$D624</f>
        <v>LA PAZ</v>
      </c>
      <c r="H626" s="7" t="str">
        <f>+'[1]BASE RED COMERCIAL'!$B624</f>
        <v>CORDOBA</v>
      </c>
      <c r="I626" s="8" t="str">
        <f>+'[1]BASE RED COMERCIAL'!$C624</f>
        <v>SAN JAVIER</v>
      </c>
      <c r="J626" s="10"/>
      <c r="K626" s="10"/>
    </row>
    <row r="627" spans="1:11" x14ac:dyDescent="0.25">
      <c r="A627" s="14" t="str">
        <f>+'[1]BASE RED COMERCIAL'!$A625</f>
        <v>X0092</v>
      </c>
      <c r="B627" s="8" t="str">
        <f>+'[1]BASE RED COMERCIAL'!$H625</f>
        <v>LA CALERA</v>
      </c>
      <c r="C627" s="7" t="s">
        <v>33</v>
      </c>
      <c r="D627" s="9" t="str">
        <f>+'[1]BASE RED COMERCIAL'!$E625</f>
        <v>SAN MARTIN</v>
      </c>
      <c r="E627" s="7">
        <f>+'[1]BASE RED COMERCIAL'!$F625</f>
        <v>531</v>
      </c>
      <c r="F627" s="14" t="str">
        <f>+'[1]BASE RED COMERCIAL'!$I625</f>
        <v>X5151ZAA</v>
      </c>
      <c r="G627" s="7" t="str">
        <f>+'[1]BASE RED COMERCIAL'!$D625</f>
        <v>LA CALERA</v>
      </c>
      <c r="H627" s="7" t="str">
        <f>+'[1]BASE RED COMERCIAL'!$B625</f>
        <v>CORDOBA</v>
      </c>
      <c r="I627" s="8" t="str">
        <f>+'[1]BASE RED COMERCIAL'!$C625</f>
        <v>COLON</v>
      </c>
      <c r="J627" s="10"/>
      <c r="K627" s="10"/>
    </row>
    <row r="628" spans="1:11" x14ac:dyDescent="0.25">
      <c r="A628" s="14" t="str">
        <f>+'[1]BASE RED COMERCIAL'!$A626</f>
        <v>X0094</v>
      </c>
      <c r="B628" s="8" t="str">
        <f>+'[1]BASE RED COMERCIAL'!$H626</f>
        <v>LA CUMBRE</v>
      </c>
      <c r="C628" s="7" t="s">
        <v>33</v>
      </c>
      <c r="D628" s="9" t="str">
        <f>+'[1]BASE RED COMERCIAL'!$E626</f>
        <v>COLON</v>
      </c>
      <c r="E628" s="7">
        <f>+'[1]BASE RED COMERCIAL'!$F626</f>
        <v>60</v>
      </c>
      <c r="F628" s="14" t="str">
        <f>+'[1]BASE RED COMERCIAL'!$I626</f>
        <v>X5180ZAA</v>
      </c>
      <c r="G628" s="7" t="str">
        <f>+'[1]BASE RED COMERCIAL'!$D626</f>
        <v>LA CUMBRE</v>
      </c>
      <c r="H628" s="7" t="str">
        <f>+'[1]BASE RED COMERCIAL'!$B626</f>
        <v>CORDOBA</v>
      </c>
      <c r="I628" s="8" t="str">
        <f>+'[1]BASE RED COMERCIAL'!$C626</f>
        <v>PUNILLA</v>
      </c>
      <c r="J628" s="10"/>
      <c r="K628" s="10"/>
    </row>
    <row r="629" spans="1:11" x14ac:dyDescent="0.25">
      <c r="A629" s="14" t="str">
        <f>+'[1]BASE RED COMERCIAL'!$A627</f>
        <v>X0096</v>
      </c>
      <c r="B629" s="8" t="str">
        <f>+'[1]BASE RED COMERCIAL'!$H627</f>
        <v>LA FALDA</v>
      </c>
      <c r="C629" s="7" t="s">
        <v>33</v>
      </c>
      <c r="D629" s="9" t="str">
        <f>+'[1]BASE RED COMERCIAL'!$E627</f>
        <v>AV ARGENTINA</v>
      </c>
      <c r="E629" s="7">
        <f>+'[1]BASE RED COMERCIAL'!$F627</f>
        <v>184</v>
      </c>
      <c r="F629" s="14" t="str">
        <f>+'[1]BASE RED COMERCIAL'!$I627</f>
        <v>X5172ZAA</v>
      </c>
      <c r="G629" s="7" t="str">
        <f>+'[1]BASE RED COMERCIAL'!$D627</f>
        <v>LA FALDA</v>
      </c>
      <c r="H629" s="7" t="str">
        <f>+'[1]BASE RED COMERCIAL'!$B627</f>
        <v>CORDOBA</v>
      </c>
      <c r="I629" s="8" t="str">
        <f>+'[1]BASE RED COMERCIAL'!$C627</f>
        <v>PUNILLA</v>
      </c>
      <c r="J629" s="10"/>
      <c r="K629" s="10"/>
    </row>
    <row r="630" spans="1:11" x14ac:dyDescent="0.25">
      <c r="A630" s="14" t="str">
        <f>+'[1]BASE RED COMERCIAL'!$A628</f>
        <v>X0098</v>
      </c>
      <c r="B630" s="8" t="str">
        <f>+'[1]BASE RED COMERCIAL'!$H628</f>
        <v>LA FRANCIA</v>
      </c>
      <c r="C630" s="7" t="s">
        <v>33</v>
      </c>
      <c r="D630" s="9" t="str">
        <f>+'[1]BASE RED COMERCIAL'!$E628</f>
        <v>PASCUAL LENCINAS</v>
      </c>
      <c r="E630" s="7">
        <f>+'[1]BASE RED COMERCIAL'!$F628</f>
        <v>255</v>
      </c>
      <c r="F630" s="14" t="str">
        <f>+'[1]BASE RED COMERCIAL'!$I628</f>
        <v>X2425ZAA</v>
      </c>
      <c r="G630" s="7" t="str">
        <f>+'[1]BASE RED COMERCIAL'!$D628</f>
        <v>LA FRANCIA</v>
      </c>
      <c r="H630" s="7" t="str">
        <f>+'[1]BASE RED COMERCIAL'!$B628</f>
        <v>CORDOBA</v>
      </c>
      <c r="I630" s="8" t="str">
        <f>+'[1]BASE RED COMERCIAL'!$C628</f>
        <v>SAN JUSTO</v>
      </c>
      <c r="J630" s="10"/>
      <c r="K630" s="10"/>
    </row>
    <row r="631" spans="1:11" x14ac:dyDescent="0.25">
      <c r="A631" s="14" t="str">
        <f>+'[1]BASE RED COMERCIAL'!$A629</f>
        <v>X0100</v>
      </c>
      <c r="B631" s="8" t="str">
        <f>+'[1]BASE RED COMERCIAL'!$H629</f>
        <v>LA GRANJA</v>
      </c>
      <c r="C631" s="7" t="s">
        <v>33</v>
      </c>
      <c r="D631" s="9" t="str">
        <f>+'[1]BASE RED COMERCIAL'!$E629</f>
        <v>LOS ACERES ESQ LOS FRESNOS</v>
      </c>
      <c r="E631" s="7">
        <f>+'[1]BASE RED COMERCIAL'!$F629</f>
        <v>0</v>
      </c>
      <c r="F631" s="14" t="str">
        <f>+'[1]BASE RED COMERCIAL'!$I629</f>
        <v>X5115ZAA</v>
      </c>
      <c r="G631" s="7" t="str">
        <f>+'[1]BASE RED COMERCIAL'!$D629</f>
        <v>LA GRANJA</v>
      </c>
      <c r="H631" s="7" t="str">
        <f>+'[1]BASE RED COMERCIAL'!$B629</f>
        <v>CORDOBA</v>
      </c>
      <c r="I631" s="8" t="str">
        <f>+'[1]BASE RED COMERCIAL'!$C629</f>
        <v>COLON</v>
      </c>
      <c r="J631" s="10"/>
      <c r="K631" s="10"/>
    </row>
    <row r="632" spans="1:11" x14ac:dyDescent="0.25">
      <c r="A632" s="14" t="str">
        <f>+'[1]BASE RED COMERCIAL'!$A630</f>
        <v>X0102</v>
      </c>
      <c r="B632" s="8" t="str">
        <f>+'[1]BASE RED COMERCIAL'!$H630</f>
        <v>LA PARA</v>
      </c>
      <c r="C632" s="7" t="s">
        <v>33</v>
      </c>
      <c r="D632" s="9" t="str">
        <f>+'[1]BASE RED COMERCIAL'!$E630</f>
        <v>AV GRAL SAN MARTIN</v>
      </c>
      <c r="E632" s="7">
        <f>+'[1]BASE RED COMERCIAL'!$F630</f>
        <v>897</v>
      </c>
      <c r="F632" s="14" t="str">
        <f>+'[1]BASE RED COMERCIAL'!$I630</f>
        <v>X5137ZAA</v>
      </c>
      <c r="G632" s="7" t="str">
        <f>+'[1]BASE RED COMERCIAL'!$D630</f>
        <v>LA PARA</v>
      </c>
      <c r="H632" s="7" t="str">
        <f>+'[1]BASE RED COMERCIAL'!$B630</f>
        <v>CORDOBA</v>
      </c>
      <c r="I632" s="8" t="str">
        <f>+'[1]BASE RED COMERCIAL'!$C630</f>
        <v>RIO PRIMERO</v>
      </c>
      <c r="J632" s="10"/>
      <c r="K632" s="10"/>
    </row>
    <row r="633" spans="1:11" x14ac:dyDescent="0.25">
      <c r="A633" s="14" t="str">
        <f>+'[1]BASE RED COMERCIAL'!$A631</f>
        <v>X0104</v>
      </c>
      <c r="B633" s="8" t="str">
        <f>+'[1]BASE RED COMERCIAL'!$H631</f>
        <v>LA PUERTA</v>
      </c>
      <c r="C633" s="7" t="s">
        <v>33</v>
      </c>
      <c r="D633" s="9" t="str">
        <f>+'[1]BASE RED COMERCIAL'!$E631</f>
        <v>LOS ALPES</v>
      </c>
      <c r="E633" s="7">
        <f>+'[1]BASE RED COMERCIAL'!$F631</f>
        <v>0</v>
      </c>
      <c r="F633" s="14" t="str">
        <f>+'[1]BASE RED COMERCIAL'!$I631</f>
        <v>X4872ZAA</v>
      </c>
      <c r="G633" s="7" t="str">
        <f>+'[1]BASE RED COMERCIAL'!$D631</f>
        <v>LA PUERTA</v>
      </c>
      <c r="H633" s="7" t="str">
        <f>+'[1]BASE RED COMERCIAL'!$B631</f>
        <v>CORDOBA</v>
      </c>
      <c r="I633" s="8" t="str">
        <f>+'[1]BASE RED COMERCIAL'!$C631</f>
        <v>COLON</v>
      </c>
      <c r="J633" s="10"/>
      <c r="K633" s="10"/>
    </row>
    <row r="634" spans="1:11" x14ac:dyDescent="0.25">
      <c r="A634" s="14" t="str">
        <f>+'[1]BASE RED COMERCIAL'!$A632</f>
        <v>X0106</v>
      </c>
      <c r="B634" s="8" t="str">
        <f>+'[1]BASE RED COMERCIAL'!$H632</f>
        <v>LAGUNA LARGA</v>
      </c>
      <c r="C634" s="7" t="s">
        <v>33</v>
      </c>
      <c r="D634" s="9" t="str">
        <f>+'[1]BASE RED COMERCIAL'!$E632</f>
        <v>LIBERTAD</v>
      </c>
      <c r="E634" s="7">
        <f>+'[1]BASE RED COMERCIAL'!$F632</f>
        <v>44</v>
      </c>
      <c r="F634" s="14" t="str">
        <f>+'[1]BASE RED COMERCIAL'!$I632</f>
        <v>X5974ZAA</v>
      </c>
      <c r="G634" s="7" t="str">
        <f>+'[1]BASE RED COMERCIAL'!$D632</f>
        <v>LAGUNA LARGA</v>
      </c>
      <c r="H634" s="7" t="str">
        <f>+'[1]BASE RED COMERCIAL'!$B632</f>
        <v>CORDOBA</v>
      </c>
      <c r="I634" s="8" t="str">
        <f>+'[1]BASE RED COMERCIAL'!$C632</f>
        <v>RIO SEGUNDO</v>
      </c>
      <c r="J634" s="10"/>
      <c r="K634" s="10"/>
    </row>
    <row r="635" spans="1:11" x14ac:dyDescent="0.25">
      <c r="A635" s="14" t="str">
        <f>+'[1]BASE RED COMERCIAL'!$A633</f>
        <v>X0108</v>
      </c>
      <c r="B635" s="8" t="str">
        <f>+'[1]BASE RED COMERCIAL'!$H633</f>
        <v>LAS JUNTURAS</v>
      </c>
      <c r="C635" s="7" t="s">
        <v>33</v>
      </c>
      <c r="D635" s="9" t="str">
        <f>+'[1]BASE RED COMERCIAL'!$E633</f>
        <v>GRAL PAZ</v>
      </c>
      <c r="E635" s="7">
        <f>+'[1]BASE RED COMERCIAL'!$F633</f>
        <v>205</v>
      </c>
      <c r="F635" s="14" t="str">
        <f>+'[1]BASE RED COMERCIAL'!$I633</f>
        <v>X5965ZAA</v>
      </c>
      <c r="G635" s="7" t="str">
        <f>+'[1]BASE RED COMERCIAL'!$D633</f>
        <v>LAS JUNTURAS</v>
      </c>
      <c r="H635" s="7" t="str">
        <f>+'[1]BASE RED COMERCIAL'!$B633</f>
        <v>CORDOBA</v>
      </c>
      <c r="I635" s="8" t="str">
        <f>+'[1]BASE RED COMERCIAL'!$C633</f>
        <v>RIO SEGUNDO</v>
      </c>
      <c r="J635" s="10"/>
      <c r="K635" s="10"/>
    </row>
    <row r="636" spans="1:11" x14ac:dyDescent="0.25">
      <c r="A636" s="14" t="str">
        <f>+'[1]BASE RED COMERCIAL'!$A634</f>
        <v>X0110</v>
      </c>
      <c r="B636" s="8" t="str">
        <f>+'[1]BASE RED COMERCIAL'!$H634</f>
        <v>LAS PEÃ‘AS</v>
      </c>
      <c r="C636" s="7" t="s">
        <v>33</v>
      </c>
      <c r="D636" s="9" t="str">
        <f>+'[1]BASE RED COMERCIAL'!$E634</f>
        <v>CARRANZA MARTINEZ</v>
      </c>
      <c r="E636" s="7">
        <f>+'[1]BASE RED COMERCIAL'!$F634</f>
        <v>246</v>
      </c>
      <c r="F636" s="14" t="str">
        <f>+'[1]BASE RED COMERCIAL'!$I634</f>
        <v>X5238ZAA</v>
      </c>
      <c r="G636" s="7" t="str">
        <f>+'[1]BASE RED COMERCIAL'!$D634</f>
        <v>LAS PEÃ‘AS</v>
      </c>
      <c r="H636" s="7" t="str">
        <f>+'[1]BASE RED COMERCIAL'!$B634</f>
        <v>CORDOBA</v>
      </c>
      <c r="I636" s="8" t="str">
        <f>+'[1]BASE RED COMERCIAL'!$C634</f>
        <v>TOTORAL</v>
      </c>
      <c r="J636" s="10"/>
      <c r="K636" s="10"/>
    </row>
    <row r="637" spans="1:11" x14ac:dyDescent="0.25">
      <c r="A637" s="14" t="str">
        <f>+'[1]BASE RED COMERCIAL'!$A635</f>
        <v>X0112</v>
      </c>
      <c r="B637" s="8" t="str">
        <f>+'[1]BASE RED COMERCIAL'!$H635</f>
        <v>LAS VARAS</v>
      </c>
      <c r="C637" s="7" t="s">
        <v>33</v>
      </c>
      <c r="D637" s="9" t="str">
        <f>+'[1]BASE RED COMERCIAL'!$E635</f>
        <v>DR JUAN G GRUNDY</v>
      </c>
      <c r="E637" s="7">
        <f>+'[1]BASE RED COMERCIAL'!$F635</f>
        <v>332</v>
      </c>
      <c r="F637" s="14" t="str">
        <f>+'[1]BASE RED COMERCIAL'!$I635</f>
        <v>X5941ZAA</v>
      </c>
      <c r="G637" s="7" t="str">
        <f>+'[1]BASE RED COMERCIAL'!$D635</f>
        <v>LAS VARAS</v>
      </c>
      <c r="H637" s="7" t="str">
        <f>+'[1]BASE RED COMERCIAL'!$B635</f>
        <v>CORDOBA</v>
      </c>
      <c r="I637" s="8" t="str">
        <f>+'[1]BASE RED COMERCIAL'!$C635</f>
        <v>SAN JUSTO</v>
      </c>
      <c r="J637" s="10"/>
      <c r="K637" s="10"/>
    </row>
    <row r="638" spans="1:11" x14ac:dyDescent="0.25">
      <c r="A638" s="14" t="str">
        <f>+'[1]BASE RED COMERCIAL'!$A636</f>
        <v>X0114</v>
      </c>
      <c r="B638" s="8" t="str">
        <f>+'[1]BASE RED COMERCIAL'!$H636</f>
        <v>LAS VARILLAS</v>
      </c>
      <c r="C638" s="7" t="s">
        <v>33</v>
      </c>
      <c r="D638" s="9" t="str">
        <f>+'[1]BASE RED COMERCIAL'!$E636</f>
        <v>BALDRICH</v>
      </c>
      <c r="E638" s="7">
        <f>+'[1]BASE RED COMERCIAL'!$F636</f>
        <v>51</v>
      </c>
      <c r="F638" s="14" t="str">
        <f>+'[1]BASE RED COMERCIAL'!$I636</f>
        <v>X5992ZAA</v>
      </c>
      <c r="G638" s="7" t="str">
        <f>+'[1]BASE RED COMERCIAL'!$D636</f>
        <v>LAS VARILLAS</v>
      </c>
      <c r="H638" s="7" t="str">
        <f>+'[1]BASE RED COMERCIAL'!$B636</f>
        <v>CORDOBA</v>
      </c>
      <c r="I638" s="8" t="str">
        <f>+'[1]BASE RED COMERCIAL'!$C636</f>
        <v>SAN JUSTO</v>
      </c>
      <c r="J638" s="10"/>
      <c r="K638" s="10"/>
    </row>
    <row r="639" spans="1:11" x14ac:dyDescent="0.25">
      <c r="A639" s="14" t="str">
        <f>+'[1]BASE RED COMERCIAL'!$A637</f>
        <v>X0116</v>
      </c>
      <c r="B639" s="8" t="str">
        <f>+'[1]BASE RED COMERCIAL'!$H637</f>
        <v>LOS COCOS</v>
      </c>
      <c r="C639" s="7" t="s">
        <v>33</v>
      </c>
      <c r="D639" s="9" t="str">
        <f>+'[1]BASE RED COMERCIAL'!$E637</f>
        <v>AV- GRIERSON 1774</v>
      </c>
      <c r="E639" s="7">
        <f>+'[1]BASE RED COMERCIAL'!$F637</f>
        <v>0</v>
      </c>
      <c r="F639" s="14" t="str">
        <f>+'[1]BASE RED COMERCIAL'!$I637</f>
        <v>X5182ZAA</v>
      </c>
      <c r="G639" s="7" t="str">
        <f>+'[1]BASE RED COMERCIAL'!$D637</f>
        <v>LOS COCOS</v>
      </c>
      <c r="H639" s="7" t="str">
        <f>+'[1]BASE RED COMERCIAL'!$B637</f>
        <v>CORDOBA</v>
      </c>
      <c r="I639" s="8" t="str">
        <f>+'[1]BASE RED COMERCIAL'!$C637</f>
        <v>CALAMUCHITA</v>
      </c>
      <c r="J639" s="10"/>
      <c r="K639" s="10"/>
    </row>
    <row r="640" spans="1:11" x14ac:dyDescent="0.25">
      <c r="A640" s="14" t="str">
        <f>+'[1]BASE RED COMERCIAL'!$A638</f>
        <v>X0118</v>
      </c>
      <c r="B640" s="8" t="str">
        <f>+'[1]BASE RED COMERCIAL'!$H638</f>
        <v>LUQUE</v>
      </c>
      <c r="C640" s="7" t="s">
        <v>33</v>
      </c>
      <c r="D640" s="9" t="str">
        <f>+'[1]BASE RED COMERCIAL'!$E638</f>
        <v>AV CHACABUCO</v>
      </c>
      <c r="E640" s="7">
        <f>+'[1]BASE RED COMERCIAL'!$F638</f>
        <v>758</v>
      </c>
      <c r="F640" s="14" t="str">
        <f>+'[1]BASE RED COMERCIAL'!$I638</f>
        <v>X5967ZAA</v>
      </c>
      <c r="G640" s="7" t="str">
        <f>+'[1]BASE RED COMERCIAL'!$D638</f>
        <v>LUQUE</v>
      </c>
      <c r="H640" s="7" t="str">
        <f>+'[1]BASE RED COMERCIAL'!$B638</f>
        <v>CORDOBA</v>
      </c>
      <c r="I640" s="8" t="str">
        <f>+'[1]BASE RED COMERCIAL'!$C638</f>
        <v>RIO SEGUNDO</v>
      </c>
      <c r="J640" s="10"/>
      <c r="K640" s="10"/>
    </row>
    <row r="641" spans="1:11" x14ac:dyDescent="0.25">
      <c r="A641" s="14" t="str">
        <f>+'[1]BASE RED COMERCIAL'!$A639</f>
        <v>X0122</v>
      </c>
      <c r="B641" s="8" t="str">
        <f>+'[1]BASE RED COMERCIAL'!$H639</f>
        <v>MINA CLAVERO</v>
      </c>
      <c r="C641" s="7" t="s">
        <v>33</v>
      </c>
      <c r="D641" s="9" t="str">
        <f>+'[1]BASE RED COMERCIAL'!$E639</f>
        <v>AV SAN MARTIN</v>
      </c>
      <c r="E641" s="7">
        <f>+'[1]BASE RED COMERCIAL'!$F639</f>
        <v>707</v>
      </c>
      <c r="F641" s="14" t="str">
        <f>+'[1]BASE RED COMERCIAL'!$I639</f>
        <v>X5889ZAA</v>
      </c>
      <c r="G641" s="7" t="str">
        <f>+'[1]BASE RED COMERCIAL'!$D639</f>
        <v>MINA CLAVERO</v>
      </c>
      <c r="H641" s="7" t="str">
        <f>+'[1]BASE RED COMERCIAL'!$B639</f>
        <v>CORDOBA</v>
      </c>
      <c r="I641" s="8" t="str">
        <f>+'[1]BASE RED COMERCIAL'!$C639</f>
        <v>SAN ALBERTO</v>
      </c>
      <c r="J641" s="10"/>
      <c r="K641" s="10"/>
    </row>
    <row r="642" spans="1:11" x14ac:dyDescent="0.25">
      <c r="A642" s="14" t="str">
        <f>+'[1]BASE RED COMERCIAL'!$A640</f>
        <v>X0124</v>
      </c>
      <c r="B642" s="8" t="str">
        <f>+'[1]BASE RED COMERCIAL'!$H640</f>
        <v>MARULL</v>
      </c>
      <c r="C642" s="7" t="s">
        <v>33</v>
      </c>
      <c r="D642" s="9" t="str">
        <f>+'[1]BASE RED COMERCIAL'!$E640</f>
        <v>AV DOMINGO SARMIENTO</v>
      </c>
      <c r="E642" s="7">
        <f>+'[1]BASE RED COMERCIAL'!$F640</f>
        <v>283</v>
      </c>
      <c r="F642" s="14" t="str">
        <f>+'[1]BASE RED COMERCIAL'!$I640</f>
        <v>X5139ZAA</v>
      </c>
      <c r="G642" s="7" t="str">
        <f>+'[1]BASE RED COMERCIAL'!$D640</f>
        <v>MARULL</v>
      </c>
      <c r="H642" s="7" t="str">
        <f>+'[1]BASE RED COMERCIAL'!$B640</f>
        <v>CORDOBA</v>
      </c>
      <c r="I642" s="8" t="str">
        <f>+'[1]BASE RED COMERCIAL'!$C640</f>
        <v>SAN JUSTO</v>
      </c>
      <c r="J642" s="10"/>
      <c r="K642" s="10"/>
    </row>
    <row r="643" spans="1:11" x14ac:dyDescent="0.25">
      <c r="A643" s="14" t="str">
        <f>+'[1]BASE RED COMERCIAL'!$A641</f>
        <v>X0128</v>
      </c>
      <c r="B643" s="8" t="str">
        <f>+'[1]BASE RED COMERCIAL'!$H641</f>
        <v>MIRAMAR</v>
      </c>
      <c r="C643" s="7" t="s">
        <v>33</v>
      </c>
      <c r="D643" s="9" t="str">
        <f>+'[1]BASE RED COMERCIAL'!$E641</f>
        <v>URQUIZA</v>
      </c>
      <c r="E643" s="7">
        <f>+'[1]BASE RED COMERCIAL'!$F641</f>
        <v>150</v>
      </c>
      <c r="F643" s="14" t="str">
        <f>+'[1]BASE RED COMERCIAL'!$I641</f>
        <v>X5143ZAA</v>
      </c>
      <c r="G643" s="7" t="str">
        <f>+'[1]BASE RED COMERCIAL'!$D641</f>
        <v>MIRAMAR</v>
      </c>
      <c r="H643" s="7" t="str">
        <f>+'[1]BASE RED COMERCIAL'!$B641</f>
        <v>CORDOBA</v>
      </c>
      <c r="I643" s="8" t="str">
        <f>+'[1]BASE RED COMERCIAL'!$C641</f>
        <v>SAN JUSTO</v>
      </c>
      <c r="J643" s="10"/>
      <c r="K643" s="10"/>
    </row>
    <row r="644" spans="1:11" x14ac:dyDescent="0.25">
      <c r="A644" s="14" t="str">
        <f>+'[1]BASE RED COMERCIAL'!$A642</f>
        <v>X0130</v>
      </c>
      <c r="B644" s="8" t="str">
        <f>+'[1]BASE RED COMERCIAL'!$H642</f>
        <v>MONTE CRISTO</v>
      </c>
      <c r="C644" s="7" t="s">
        <v>33</v>
      </c>
      <c r="D644" s="9" t="str">
        <f>+'[1]BASE RED COMERCIAL'!$E642</f>
        <v>INTE NEMIROSKY</v>
      </c>
      <c r="E644" s="7">
        <f>+'[1]BASE RED COMERCIAL'!$F642</f>
        <v>223</v>
      </c>
      <c r="F644" s="14" t="str">
        <f>+'[1]BASE RED COMERCIAL'!$I642</f>
        <v>X5125ZAA</v>
      </c>
      <c r="G644" s="7" t="str">
        <f>+'[1]BASE RED COMERCIAL'!$D642</f>
        <v>MONTE CRISTO</v>
      </c>
      <c r="H644" s="7" t="str">
        <f>+'[1]BASE RED COMERCIAL'!$B642</f>
        <v>CORDOBA</v>
      </c>
      <c r="I644" s="8" t="str">
        <f>+'[1]BASE RED COMERCIAL'!$C642</f>
        <v>RIO PRIMERO</v>
      </c>
      <c r="J644" s="10"/>
      <c r="K644" s="10"/>
    </row>
    <row r="645" spans="1:11" x14ac:dyDescent="0.25">
      <c r="A645" s="14" t="str">
        <f>+'[1]BASE RED COMERCIAL'!$A643</f>
        <v>X0132</v>
      </c>
      <c r="B645" s="8" t="str">
        <f>+'[1]BASE RED COMERCIAL'!$H643</f>
        <v>MORTEROS</v>
      </c>
      <c r="C645" s="7" t="s">
        <v>33</v>
      </c>
      <c r="D645" s="9" t="str">
        <f>+'[1]BASE RED COMERCIAL'!$E643</f>
        <v>ESPAÃ‘A</v>
      </c>
      <c r="E645" s="7">
        <f>+'[1]BASE RED COMERCIAL'!$F643</f>
        <v>964</v>
      </c>
      <c r="F645" s="14" t="str">
        <f>+'[1]BASE RED COMERCIAL'!$I643</f>
        <v>X2421ZAA</v>
      </c>
      <c r="G645" s="7" t="str">
        <f>+'[1]BASE RED COMERCIAL'!$D643</f>
        <v>MORTEROS</v>
      </c>
      <c r="H645" s="7" t="str">
        <f>+'[1]BASE RED COMERCIAL'!$B643</f>
        <v>CORDOBA</v>
      </c>
      <c r="I645" s="8" t="str">
        <f>+'[1]BASE RED COMERCIAL'!$C643</f>
        <v>SAN JUSTO</v>
      </c>
      <c r="J645" s="10"/>
      <c r="K645" s="10"/>
    </row>
    <row r="646" spans="1:11" x14ac:dyDescent="0.25">
      <c r="A646" s="14" t="str">
        <f>+'[1]BASE RED COMERCIAL'!$A644</f>
        <v>X0136</v>
      </c>
      <c r="B646" s="8" t="str">
        <f>+'[1]BASE RED COMERCIAL'!$H644</f>
        <v>OBISPO TREJO</v>
      </c>
      <c r="C646" s="7" t="s">
        <v>33</v>
      </c>
      <c r="D646" s="9" t="str">
        <f>+'[1]BASE RED COMERCIAL'!$E644</f>
        <v>GRAL M BELGRANO</v>
      </c>
      <c r="E646" s="7">
        <f>+'[1]BASE RED COMERCIAL'!$F644</f>
        <v>802</v>
      </c>
      <c r="F646" s="14" t="str">
        <f>+'[1]BASE RED COMERCIAL'!$I644</f>
        <v>X5225ZAA</v>
      </c>
      <c r="G646" s="7" t="str">
        <f>+'[1]BASE RED COMERCIAL'!$D644</f>
        <v>OBISPO TREJO</v>
      </c>
      <c r="H646" s="7" t="str">
        <f>+'[1]BASE RED COMERCIAL'!$B644</f>
        <v>CORDOBA</v>
      </c>
      <c r="I646" s="8" t="str">
        <f>+'[1]BASE RED COMERCIAL'!$C644</f>
        <v>RIO PRIMERO</v>
      </c>
      <c r="J646" s="10"/>
      <c r="K646" s="10"/>
    </row>
    <row r="647" spans="1:11" x14ac:dyDescent="0.25">
      <c r="A647" s="14" t="str">
        <f>+'[1]BASE RED COMERCIAL'!$A645</f>
        <v>X0138</v>
      </c>
      <c r="B647" s="8" t="str">
        <f>+'[1]BASE RED COMERCIAL'!$H645</f>
        <v>ONCATIVO</v>
      </c>
      <c r="C647" s="7" t="s">
        <v>33</v>
      </c>
      <c r="D647" s="9" t="str">
        <f>+'[1]BASE RED COMERCIAL'!$E645</f>
        <v>25 DE MAYO</v>
      </c>
      <c r="E647" s="7">
        <f>+'[1]BASE RED COMERCIAL'!$F645</f>
        <v>709</v>
      </c>
      <c r="F647" s="14" t="str">
        <f>+'[1]BASE RED COMERCIAL'!$I645</f>
        <v>X5986ZAA</v>
      </c>
      <c r="G647" s="7" t="str">
        <f>+'[1]BASE RED COMERCIAL'!$D645</f>
        <v>ONCATIVO</v>
      </c>
      <c r="H647" s="7" t="str">
        <f>+'[1]BASE RED COMERCIAL'!$B645</f>
        <v>CORDOBA</v>
      </c>
      <c r="I647" s="8" t="str">
        <f>+'[1]BASE RED COMERCIAL'!$C645</f>
        <v>RIO SEGUNDO</v>
      </c>
      <c r="J647" s="10"/>
      <c r="K647" s="10"/>
    </row>
    <row r="648" spans="1:11" x14ac:dyDescent="0.25">
      <c r="A648" s="14" t="str">
        <f>+'[1]BASE RED COMERCIAL'!$A646</f>
        <v>X0140</v>
      </c>
      <c r="B648" s="8" t="str">
        <f>+'[1]BASE RED COMERCIAL'!$H646</f>
        <v>PILAR (AG. 31)</v>
      </c>
      <c r="C648" s="7" t="s">
        <v>33</v>
      </c>
      <c r="D648" s="9" t="str">
        <f>+'[1]BASE RED COMERCIAL'!$E646</f>
        <v>9 DE JULIO</v>
      </c>
      <c r="E648" s="7">
        <f>+'[1]BASE RED COMERCIAL'!$F646</f>
        <v>112</v>
      </c>
      <c r="F648" s="14" t="str">
        <f>+'[1]BASE RED COMERCIAL'!$I646</f>
        <v>X5972ZAA</v>
      </c>
      <c r="G648" s="7" t="str">
        <f>+'[1]BASE RED COMERCIAL'!$D646</f>
        <v>PILAR</v>
      </c>
      <c r="H648" s="7" t="str">
        <f>+'[1]BASE RED COMERCIAL'!$B646</f>
        <v>CORDOBA</v>
      </c>
      <c r="I648" s="8" t="str">
        <f>+'[1]BASE RED COMERCIAL'!$C646</f>
        <v>RIO SEGUNDO</v>
      </c>
      <c r="J648" s="10"/>
      <c r="K648" s="10"/>
    </row>
    <row r="649" spans="1:11" x14ac:dyDescent="0.25">
      <c r="A649" s="14" t="str">
        <f>+'[1]BASE RED COMERCIAL'!$A647</f>
        <v>X0142</v>
      </c>
      <c r="B649" s="8" t="str">
        <f>+'[1]BASE RED COMERCIAL'!$H647</f>
        <v>PORTEÃ‘A</v>
      </c>
      <c r="C649" s="7" t="s">
        <v>33</v>
      </c>
      <c r="D649" s="9" t="str">
        <f>+'[1]BASE RED COMERCIAL'!$E647</f>
        <v>25 DE MAYO</v>
      </c>
      <c r="E649" s="7">
        <f>+'[1]BASE RED COMERCIAL'!$F647</f>
        <v>557</v>
      </c>
      <c r="F649" s="14" t="str">
        <f>+'[1]BASE RED COMERCIAL'!$I647</f>
        <v>X2415ZAA</v>
      </c>
      <c r="G649" s="7" t="str">
        <f>+'[1]BASE RED COMERCIAL'!$D647</f>
        <v>PORTEÃ‘A</v>
      </c>
      <c r="H649" s="7" t="str">
        <f>+'[1]BASE RED COMERCIAL'!$B647</f>
        <v>CORDOBA</v>
      </c>
      <c r="I649" s="8" t="str">
        <f>+'[1]BASE RED COMERCIAL'!$C647</f>
        <v>SAN JUSTO</v>
      </c>
      <c r="J649" s="10"/>
      <c r="K649" s="10"/>
    </row>
    <row r="650" spans="1:11" x14ac:dyDescent="0.25">
      <c r="A650" s="14" t="str">
        <f>+'[1]BASE RED COMERCIAL'!$A648</f>
        <v>X0144</v>
      </c>
      <c r="B650" s="8" t="str">
        <f>+'[1]BASE RED COMERCIAL'!$H648</f>
        <v>POZO DEL MOLLE</v>
      </c>
      <c r="C650" s="7" t="s">
        <v>33</v>
      </c>
      <c r="D650" s="9" t="str">
        <f>+'[1]BASE RED COMERCIAL'!$E648</f>
        <v>DR MANUEL BELGRANO</v>
      </c>
      <c r="E650" s="7">
        <f>+'[1]BASE RED COMERCIAL'!$F648</f>
        <v>1</v>
      </c>
      <c r="F650" s="14" t="str">
        <f>+'[1]BASE RED COMERCIAL'!$I648</f>
        <v>X5913ZAA</v>
      </c>
      <c r="G650" s="7" t="str">
        <f>+'[1]BASE RED COMERCIAL'!$D648</f>
        <v>POZO DEL MOLLE</v>
      </c>
      <c r="H650" s="7" t="str">
        <f>+'[1]BASE RED COMERCIAL'!$B648</f>
        <v>CORDOBA</v>
      </c>
      <c r="I650" s="8" t="str">
        <f>+'[1]BASE RED COMERCIAL'!$C648</f>
        <v>RIO SEGUNDO</v>
      </c>
      <c r="J650" s="10"/>
      <c r="K650" s="10"/>
    </row>
    <row r="651" spans="1:11" x14ac:dyDescent="0.25">
      <c r="A651" s="14" t="str">
        <f>+'[1]BASE RED COMERCIAL'!$A649</f>
        <v>X0146</v>
      </c>
      <c r="B651" s="8" t="str">
        <f>+'[1]BASE RED COMERCIAL'!$H649</f>
        <v>QUILINO</v>
      </c>
      <c r="C651" s="7" t="s">
        <v>33</v>
      </c>
      <c r="D651" s="9" t="str">
        <f>+'[1]BASE RED COMERCIAL'!$E649</f>
        <v>DOMINGO SARMIENTO</v>
      </c>
      <c r="E651" s="7">
        <f>+'[1]BASE RED COMERCIAL'!$F649</f>
        <v>63</v>
      </c>
      <c r="F651" s="14" t="str">
        <f>+'[1]BASE RED COMERCIAL'!$I649</f>
        <v>X5214ZAA</v>
      </c>
      <c r="G651" s="7" t="str">
        <f>+'[1]BASE RED COMERCIAL'!$D649</f>
        <v>QUILINO</v>
      </c>
      <c r="H651" s="7" t="str">
        <f>+'[1]BASE RED COMERCIAL'!$B649</f>
        <v>CORDOBA</v>
      </c>
      <c r="I651" s="8" t="str">
        <f>+'[1]BASE RED COMERCIAL'!$C649</f>
        <v>ISCHILIN</v>
      </c>
      <c r="J651" s="10"/>
      <c r="K651" s="10"/>
    </row>
    <row r="652" spans="1:11" x14ac:dyDescent="0.25">
      <c r="A652" s="14" t="str">
        <f>+'[1]BASE RED COMERCIAL'!$A650</f>
        <v>X0148</v>
      </c>
      <c r="B652" s="8" t="str">
        <f>+'[1]BASE RED COMERCIAL'!$H650</f>
        <v>RIO CEBALLOS</v>
      </c>
      <c r="C652" s="7" t="s">
        <v>33</v>
      </c>
      <c r="D652" s="9" t="str">
        <f>+'[1]BASE RED COMERCIAL'!$E650</f>
        <v>AV SAN MARTIN</v>
      </c>
      <c r="E652" s="7">
        <f>+'[1]BASE RED COMERCIAL'!$F650</f>
        <v>4444</v>
      </c>
      <c r="F652" s="14" t="str">
        <f>+'[1]BASE RED COMERCIAL'!$I650</f>
        <v>X5111ZAA</v>
      </c>
      <c r="G652" s="7" t="str">
        <f>+'[1]BASE RED COMERCIAL'!$D650</f>
        <v>RIO CEBALLOS</v>
      </c>
      <c r="H652" s="7" t="str">
        <f>+'[1]BASE RED COMERCIAL'!$B650</f>
        <v>CORDOBA</v>
      </c>
      <c r="I652" s="8" t="str">
        <f>+'[1]BASE RED COMERCIAL'!$C650</f>
        <v>COLON</v>
      </c>
      <c r="J652" s="10"/>
      <c r="K652" s="10"/>
    </row>
    <row r="653" spans="1:11" x14ac:dyDescent="0.25">
      <c r="A653" s="14" t="str">
        <f>+'[1]BASE RED COMERCIAL'!$A651</f>
        <v>X0150</v>
      </c>
      <c r="B653" s="8" t="str">
        <f>+'[1]BASE RED COMERCIAL'!$H651</f>
        <v>RIO PRIMERO</v>
      </c>
      <c r="C653" s="7" t="s">
        <v>33</v>
      </c>
      <c r="D653" s="9" t="str">
        <f>+'[1]BASE RED COMERCIAL'!$E651</f>
        <v>INTE ANTONIO MOSCATI</v>
      </c>
      <c r="E653" s="7">
        <f>+'[1]BASE RED COMERCIAL'!$F651</f>
        <v>43</v>
      </c>
      <c r="F653" s="14" t="str">
        <f>+'[1]BASE RED COMERCIAL'!$I651</f>
        <v>X5127ZAA</v>
      </c>
      <c r="G653" s="7" t="str">
        <f>+'[1]BASE RED COMERCIAL'!$D651</f>
        <v>RIO PRIMERO</v>
      </c>
      <c r="H653" s="7" t="str">
        <f>+'[1]BASE RED COMERCIAL'!$B651</f>
        <v>CORDOBA</v>
      </c>
      <c r="I653" s="8" t="str">
        <f>+'[1]BASE RED COMERCIAL'!$C651</f>
        <v>RIO PRIMERO</v>
      </c>
      <c r="J653" s="10"/>
      <c r="K653" s="10"/>
    </row>
    <row r="654" spans="1:11" x14ac:dyDescent="0.25">
      <c r="A654" s="14" t="str">
        <f>+'[1]BASE RED COMERCIAL'!$A652</f>
        <v>X0152</v>
      </c>
      <c r="B654" s="8" t="str">
        <f>+'[1]BASE RED COMERCIAL'!$H652</f>
        <v>RIO SEGUNDO</v>
      </c>
      <c r="C654" s="7" t="s">
        <v>33</v>
      </c>
      <c r="D654" s="9" t="str">
        <f>+'[1]BASE RED COMERCIAL'!$E652</f>
        <v>DOMINGO SARMIENTO</v>
      </c>
      <c r="E654" s="7">
        <f>+'[1]BASE RED COMERCIAL'!$F652</f>
        <v>1193</v>
      </c>
      <c r="F654" s="14" t="str">
        <f>+'[1]BASE RED COMERCIAL'!$I652</f>
        <v>X5960ZAA</v>
      </c>
      <c r="G654" s="7" t="str">
        <f>+'[1]BASE RED COMERCIAL'!$D652</f>
        <v>RIO SEGUNDO</v>
      </c>
      <c r="H654" s="7" t="str">
        <f>+'[1]BASE RED COMERCIAL'!$B652</f>
        <v>CORDOBA</v>
      </c>
      <c r="I654" s="8" t="str">
        <f>+'[1]BASE RED COMERCIAL'!$C652</f>
        <v>RIO SEGUNDO</v>
      </c>
      <c r="J654" s="10"/>
      <c r="K654" s="10"/>
    </row>
    <row r="655" spans="1:11" x14ac:dyDescent="0.25">
      <c r="A655" s="14" t="str">
        <f>+'[1]BASE RED COMERCIAL'!$A653</f>
        <v>X0154</v>
      </c>
      <c r="B655" s="8" t="str">
        <f>+'[1]BASE RED COMERCIAL'!$H653</f>
        <v>SALSACATE</v>
      </c>
      <c r="C655" s="7" t="s">
        <v>33</v>
      </c>
      <c r="D655" s="9" t="str">
        <f>+'[1]BASE RED COMERCIAL'!$E653</f>
        <v>AV EJERCITO ARGENTINO</v>
      </c>
      <c r="E655" s="7">
        <f>+'[1]BASE RED COMERCIAL'!$F653</f>
        <v>305</v>
      </c>
      <c r="F655" s="14" t="str">
        <f>+'[1]BASE RED COMERCIAL'!$I653</f>
        <v>X5295ZAA</v>
      </c>
      <c r="G655" s="7" t="str">
        <f>+'[1]BASE RED COMERCIAL'!$D653</f>
        <v>SALSACATE</v>
      </c>
      <c r="H655" s="7" t="str">
        <f>+'[1]BASE RED COMERCIAL'!$B653</f>
        <v>CORDOBA</v>
      </c>
      <c r="I655" s="8" t="str">
        <f>+'[1]BASE RED COMERCIAL'!$C653</f>
        <v>POCHO</v>
      </c>
      <c r="J655" s="10"/>
      <c r="K655" s="10"/>
    </row>
    <row r="656" spans="1:11" x14ac:dyDescent="0.25">
      <c r="A656" s="14" t="str">
        <f>+'[1]BASE RED COMERCIAL'!$A654</f>
        <v>X0156</v>
      </c>
      <c r="B656" s="8" t="str">
        <f>+'[1]BASE RED COMERCIAL'!$H654</f>
        <v>SACANTA</v>
      </c>
      <c r="C656" s="7" t="s">
        <v>33</v>
      </c>
      <c r="D656" s="9" t="str">
        <f>+'[1]BASE RED COMERCIAL'!$E654</f>
        <v>DR MANUEL BELGRANO</v>
      </c>
      <c r="E656" s="7">
        <f>+'[1]BASE RED COMERCIAL'!$F654</f>
        <v>499</v>
      </c>
      <c r="F656" s="14" t="str">
        <f>+'[1]BASE RED COMERCIAL'!$I654</f>
        <v>X5945ZAA</v>
      </c>
      <c r="G656" s="7" t="str">
        <f>+'[1]BASE RED COMERCIAL'!$D654</f>
        <v>SACANTA</v>
      </c>
      <c r="H656" s="7" t="str">
        <f>+'[1]BASE RED COMERCIAL'!$B654</f>
        <v>CORDOBA</v>
      </c>
      <c r="I656" s="8" t="str">
        <f>+'[1]BASE RED COMERCIAL'!$C654</f>
        <v>SAN JUSTO</v>
      </c>
      <c r="J656" s="10"/>
      <c r="K656" s="10"/>
    </row>
    <row r="657" spans="1:11" x14ac:dyDescent="0.25">
      <c r="A657" s="14" t="str">
        <f>+'[1]BASE RED COMERCIAL'!$A655</f>
        <v>X0158</v>
      </c>
      <c r="B657" s="8" t="str">
        <f>+'[1]BASE RED COMERCIAL'!$H655</f>
        <v>SALSIPUEDES</v>
      </c>
      <c r="C657" s="7" t="s">
        <v>33</v>
      </c>
      <c r="D657" s="9" t="str">
        <f>+'[1]BASE RED COMERCIAL'!$E655</f>
        <v>SANTA ROSA</v>
      </c>
      <c r="E657" s="7">
        <f>+'[1]BASE RED COMERCIAL'!$F655</f>
        <v>235</v>
      </c>
      <c r="F657" s="14" t="str">
        <f>+'[1]BASE RED COMERCIAL'!$I655</f>
        <v>X5113ZAA</v>
      </c>
      <c r="G657" s="7" t="str">
        <f>+'[1]BASE RED COMERCIAL'!$D655</f>
        <v>SALSIPUEDES</v>
      </c>
      <c r="H657" s="7" t="str">
        <f>+'[1]BASE RED COMERCIAL'!$B655</f>
        <v>CORDOBA</v>
      </c>
      <c r="I657" s="8" t="str">
        <f>+'[1]BASE RED COMERCIAL'!$C655</f>
        <v>COLON</v>
      </c>
      <c r="J657" s="10"/>
      <c r="K657" s="10"/>
    </row>
    <row r="658" spans="1:11" x14ac:dyDescent="0.25">
      <c r="A658" s="14" t="str">
        <f>+'[1]BASE RED COMERCIAL'!$A656</f>
        <v>X0160</v>
      </c>
      <c r="B658" s="8" t="str">
        <f>+'[1]BASE RED COMERCIAL'!$H656</f>
        <v>SAN CARLOS MINAS</v>
      </c>
      <c r="C658" s="7" t="s">
        <v>33</v>
      </c>
      <c r="D658" s="9" t="str">
        <f>+'[1]BASE RED COMERCIAL'!$E656</f>
        <v>AV GRAL SAN MARTIN</v>
      </c>
      <c r="E658" s="7">
        <f>+'[1]BASE RED COMERCIAL'!$F656</f>
        <v>230</v>
      </c>
      <c r="F658" s="14" t="str">
        <f>+'[1]BASE RED COMERCIAL'!$I656</f>
        <v>X5291ZAA</v>
      </c>
      <c r="G658" s="7" t="str">
        <f>+'[1]BASE RED COMERCIAL'!$D656</f>
        <v>SAN CARLOS</v>
      </c>
      <c r="H658" s="7" t="str">
        <f>+'[1]BASE RED COMERCIAL'!$B656</f>
        <v>CORDOBA</v>
      </c>
      <c r="I658" s="8" t="str">
        <f>+'[1]BASE RED COMERCIAL'!$C656</f>
        <v>MINAS</v>
      </c>
      <c r="J658" s="10"/>
      <c r="K658" s="10"/>
    </row>
    <row r="659" spans="1:11" x14ac:dyDescent="0.25">
      <c r="A659" s="14" t="str">
        <f>+'[1]BASE RED COMERCIAL'!$A657</f>
        <v>X0164</v>
      </c>
      <c r="B659" s="8" t="str">
        <f>+'[1]BASE RED COMERCIAL'!$H657</f>
        <v>SAN FRANCISCO</v>
      </c>
      <c r="C659" s="7" t="s">
        <v>33</v>
      </c>
      <c r="D659" s="9" t="str">
        <f>+'[1]BASE RED COMERCIAL'!$E657</f>
        <v>JUAN B ALBERDI</v>
      </c>
      <c r="E659" s="7">
        <f>+'[1]BASE RED COMERCIAL'!$F657</f>
        <v>198</v>
      </c>
      <c r="F659" s="14" t="str">
        <f>+'[1]BASE RED COMERCIAL'!$I657</f>
        <v>X2400ZAA</v>
      </c>
      <c r="G659" s="7" t="str">
        <f>+'[1]BASE RED COMERCIAL'!$D657</f>
        <v>SAN FRANCISCO</v>
      </c>
      <c r="H659" s="7" t="str">
        <f>+'[1]BASE RED COMERCIAL'!$B657</f>
        <v>CORDOBA</v>
      </c>
      <c r="I659" s="8" t="str">
        <f>+'[1]BASE RED COMERCIAL'!$C657</f>
        <v>SAN JUSTO</v>
      </c>
      <c r="J659" s="10"/>
      <c r="K659" s="10"/>
    </row>
    <row r="660" spans="1:11" x14ac:dyDescent="0.25">
      <c r="A660" s="14" t="str">
        <f>+'[1]BASE RED COMERCIAL'!$A658</f>
        <v>X0166</v>
      </c>
      <c r="B660" s="8" t="str">
        <f>+'[1]BASE RED COMERCIAL'!$H658</f>
        <v>SAN JOSE DE LA DORMIDA (AG. 54</v>
      </c>
      <c r="C660" s="7" t="s">
        <v>33</v>
      </c>
      <c r="D660" s="9" t="str">
        <f>+'[1]BASE RED COMERCIAL'!$E658</f>
        <v>AV SAN MARTIN</v>
      </c>
      <c r="E660" s="7">
        <f>+'[1]BASE RED COMERCIAL'!$F658</f>
        <v>533</v>
      </c>
      <c r="F660" s="14" t="str">
        <f>+'[1]BASE RED COMERCIAL'!$I658</f>
        <v>X5244ZAA</v>
      </c>
      <c r="G660" s="7" t="str">
        <f>+'[1]BASE RED COMERCIAL'!$D658</f>
        <v>SAN JOSE DE LA DORMIDA</v>
      </c>
      <c r="H660" s="7" t="str">
        <f>+'[1]BASE RED COMERCIAL'!$B658</f>
        <v>CORDOBA</v>
      </c>
      <c r="I660" s="8" t="str">
        <f>+'[1]BASE RED COMERCIAL'!$C658</f>
        <v>TULUMBA</v>
      </c>
      <c r="J660" s="10"/>
      <c r="K660" s="10"/>
    </row>
    <row r="661" spans="1:11" x14ac:dyDescent="0.25">
      <c r="A661" s="14" t="str">
        <f>+'[1]BASE RED COMERCIAL'!$A659</f>
        <v>X0168</v>
      </c>
      <c r="B661" s="8" t="str">
        <f>+'[1]BASE RED COMERCIAL'!$H659</f>
        <v>SAN MARCO SIERRAS</v>
      </c>
      <c r="C661" s="7" t="s">
        <v>33</v>
      </c>
      <c r="D661" s="9" t="str">
        <f>+'[1]BASE RED COMERCIAL'!$E659</f>
        <v>AV LIBERTAD</v>
      </c>
      <c r="E661" s="7">
        <f>+'[1]BASE RED COMERCIAL'!$F659</f>
        <v>841</v>
      </c>
      <c r="F661" s="14" t="str">
        <f>+'[1]BASE RED COMERCIAL'!$I659</f>
        <v>X5282ZAA</v>
      </c>
      <c r="G661" s="7" t="str">
        <f>+'[1]BASE RED COMERCIAL'!$D659</f>
        <v>SAN MARCOS SIERRAS</v>
      </c>
      <c r="H661" s="7" t="str">
        <f>+'[1]BASE RED COMERCIAL'!$B659</f>
        <v>CORDOBA</v>
      </c>
      <c r="I661" s="8" t="str">
        <f>+'[1]BASE RED COMERCIAL'!$C659</f>
        <v>CRUZ DEL EJE</v>
      </c>
      <c r="J661" s="10"/>
      <c r="K661" s="10"/>
    </row>
    <row r="662" spans="1:11" x14ac:dyDescent="0.25">
      <c r="A662" s="14" t="str">
        <f>+'[1]BASE RED COMERCIAL'!$A660</f>
        <v>X0172</v>
      </c>
      <c r="B662" s="8" t="str">
        <f>+'[1]BASE RED COMERCIAL'!$H660</f>
        <v>STA. ROSA DE RIO PRIMERO</v>
      </c>
      <c r="C662" s="7" t="s">
        <v>33</v>
      </c>
      <c r="D662" s="9" t="str">
        <f>+'[1]BASE RED COMERCIAL'!$E660</f>
        <v>9 DE JULIO</v>
      </c>
      <c r="E662" s="7">
        <f>+'[1]BASE RED COMERCIAL'!$F660</f>
        <v>650</v>
      </c>
      <c r="F662" s="14" t="str">
        <f>+'[1]BASE RED COMERCIAL'!$I660</f>
        <v>X5133ZAA</v>
      </c>
      <c r="G662" s="7" t="str">
        <f>+'[1]BASE RED COMERCIAL'!$D660</f>
        <v>SANTA ROSA DE RIO PRIMERO</v>
      </c>
      <c r="H662" s="7" t="str">
        <f>+'[1]BASE RED COMERCIAL'!$B660</f>
        <v>CORDOBA</v>
      </c>
      <c r="I662" s="8" t="str">
        <f>+'[1]BASE RED COMERCIAL'!$C660</f>
        <v>RIO PRIMERO</v>
      </c>
      <c r="J662" s="10"/>
      <c r="K662" s="10"/>
    </row>
    <row r="663" spans="1:11" x14ac:dyDescent="0.25">
      <c r="A663" s="14" t="str">
        <f>+'[1]BASE RED COMERCIAL'!$A661</f>
        <v>X0174</v>
      </c>
      <c r="B663" s="8" t="str">
        <f>+'[1]BASE RED COMERCIAL'!$H661</f>
        <v>SANTIAGO TEMPLE</v>
      </c>
      <c r="C663" s="7" t="s">
        <v>33</v>
      </c>
      <c r="D663" s="9" t="str">
        <f>+'[1]BASE RED COMERCIAL'!$E661</f>
        <v>LEOPOLDO LUGONES</v>
      </c>
      <c r="E663" s="7">
        <f>+'[1]BASE RED COMERCIAL'!$F661</f>
        <v>1105</v>
      </c>
      <c r="F663" s="14" t="str">
        <f>+'[1]BASE RED COMERCIAL'!$I661</f>
        <v>X5124ZAA</v>
      </c>
      <c r="G663" s="7" t="str">
        <f>+'[1]BASE RED COMERCIAL'!$D661</f>
        <v>SANTIAGO TEMPLE</v>
      </c>
      <c r="H663" s="7" t="str">
        <f>+'[1]BASE RED COMERCIAL'!$B661</f>
        <v>CORDOBA</v>
      </c>
      <c r="I663" s="8" t="str">
        <f>+'[1]BASE RED COMERCIAL'!$C661</f>
        <v>RIO SEGUNDO</v>
      </c>
      <c r="J663" s="10"/>
      <c r="K663" s="10"/>
    </row>
    <row r="664" spans="1:11" x14ac:dyDescent="0.25">
      <c r="A664" s="14" t="str">
        <f>+'[1]BASE RED COMERCIAL'!$A662</f>
        <v>X0176</v>
      </c>
      <c r="B664" s="8" t="str">
        <f>+'[1]BASE RED COMERCIAL'!$H662</f>
        <v>SATURNINO MARIA LASPIUR</v>
      </c>
      <c r="C664" s="7" t="s">
        <v>33</v>
      </c>
      <c r="D664" s="9" t="str">
        <f>+'[1]BASE RED COMERCIAL'!$E662</f>
        <v>AV DR LAMELAS</v>
      </c>
      <c r="E664" s="7">
        <f>+'[1]BASE RED COMERCIAL'!$F662</f>
        <v>98</v>
      </c>
      <c r="F664" s="14" t="str">
        <f>+'[1]BASE RED COMERCIAL'!$I662</f>
        <v>X5943ZAB</v>
      </c>
      <c r="G664" s="7" t="str">
        <f>+'[1]BASE RED COMERCIAL'!$D662</f>
        <v>SATURNINO M LASPIUR</v>
      </c>
      <c r="H664" s="7" t="str">
        <f>+'[1]BASE RED COMERCIAL'!$B662</f>
        <v>CORDOBA</v>
      </c>
      <c r="I664" s="8" t="str">
        <f>+'[1]BASE RED COMERCIAL'!$C662</f>
        <v>SAN JUSTO</v>
      </c>
      <c r="J664" s="10"/>
      <c r="K664" s="10"/>
    </row>
    <row r="665" spans="1:11" x14ac:dyDescent="0.25">
      <c r="A665" s="14" t="str">
        <f>+'[1]BASE RED COMERCIAL'!$A663</f>
        <v>X0180</v>
      </c>
      <c r="B665" s="8" t="str">
        <f>+'[1]BASE RED COMERCIAL'!$H663</f>
        <v>SERREZUELA</v>
      </c>
      <c r="C665" s="7" t="s">
        <v>33</v>
      </c>
      <c r="D665" s="9" t="str">
        <f>+'[1]BASE RED COMERCIAL'!$E663</f>
        <v>GRAL PAZ</v>
      </c>
      <c r="E665" s="7">
        <f>+'[1]BASE RED COMERCIAL'!$F663</f>
        <v>152</v>
      </c>
      <c r="F665" s="14" t="str">
        <f>+'[1]BASE RED COMERCIAL'!$I663</f>
        <v>X5270ZAA</v>
      </c>
      <c r="G665" s="7" t="str">
        <f>+'[1]BASE RED COMERCIAL'!$D663</f>
        <v>SERREZUELA</v>
      </c>
      <c r="H665" s="7" t="str">
        <f>+'[1]BASE RED COMERCIAL'!$B663</f>
        <v>CORDOBA</v>
      </c>
      <c r="I665" s="8" t="str">
        <f>+'[1]BASE RED COMERCIAL'!$C663</f>
        <v>CRUZ DEL EJE</v>
      </c>
      <c r="J665" s="10"/>
      <c r="K665" s="10"/>
    </row>
    <row r="666" spans="1:11" x14ac:dyDescent="0.25">
      <c r="A666" s="14" t="str">
        <f>+'[1]BASE RED COMERCIAL'!$A664</f>
        <v>X0182</v>
      </c>
      <c r="B666" s="8" t="str">
        <f>+'[1]BASE RED COMERCIAL'!$H664</f>
        <v>TANTI</v>
      </c>
      <c r="C666" s="7" t="s">
        <v>33</v>
      </c>
      <c r="D666" s="9" t="str">
        <f>+'[1]BASE RED COMERCIAL'!$E664</f>
        <v>SAN MARTIN</v>
      </c>
      <c r="E666" s="7">
        <f>+'[1]BASE RED COMERCIAL'!$F664</f>
        <v>314</v>
      </c>
      <c r="F666" s="14" t="str">
        <f>+'[1]BASE RED COMERCIAL'!$I664</f>
        <v>X5155ZAA</v>
      </c>
      <c r="G666" s="7" t="str">
        <f>+'[1]BASE RED COMERCIAL'!$D664</f>
        <v>TANTI</v>
      </c>
      <c r="H666" s="7" t="str">
        <f>+'[1]BASE RED COMERCIAL'!$B664</f>
        <v>CORDOBA</v>
      </c>
      <c r="I666" s="8" t="str">
        <f>+'[1]BASE RED COMERCIAL'!$C664</f>
        <v>PUNILLA</v>
      </c>
      <c r="J666" s="10"/>
      <c r="K666" s="10"/>
    </row>
    <row r="667" spans="1:11" x14ac:dyDescent="0.25">
      <c r="A667" s="14" t="str">
        <f>+'[1]BASE RED COMERCIAL'!$A665</f>
        <v>X0184</v>
      </c>
      <c r="B667" s="8" t="str">
        <f>+'[1]BASE RED COMERCIAL'!$H665</f>
        <v>TRÃNSITO</v>
      </c>
      <c r="C667" s="7" t="s">
        <v>33</v>
      </c>
      <c r="D667" s="9" t="str">
        <f>+'[1]BASE RED COMERCIAL'!$E665</f>
        <v>LOPEZ MARTI</v>
      </c>
      <c r="E667" s="7">
        <f>+'[1]BASE RED COMERCIAL'!$F665</f>
        <v>111</v>
      </c>
      <c r="F667" s="14" t="str">
        <f>+'[1]BASE RED COMERCIAL'!$I665</f>
        <v>X2436ZAA</v>
      </c>
      <c r="G667" s="7" t="str">
        <f>+'[1]BASE RED COMERCIAL'!$D665</f>
        <v>TRANSITO</v>
      </c>
      <c r="H667" s="7" t="str">
        <f>+'[1]BASE RED COMERCIAL'!$B665</f>
        <v>CORDOBA</v>
      </c>
      <c r="I667" s="8" t="str">
        <f>+'[1]BASE RED COMERCIAL'!$C665</f>
        <v>SAN JUSTO</v>
      </c>
      <c r="J667" s="10"/>
      <c r="K667" s="10"/>
    </row>
    <row r="668" spans="1:11" x14ac:dyDescent="0.25">
      <c r="A668" s="14" t="str">
        <f>+'[1]BASE RED COMERCIAL'!$A666</f>
        <v>X0188</v>
      </c>
      <c r="B668" s="8" t="str">
        <f>+'[1]BASE RED COMERCIAL'!$H666</f>
        <v>UNQUILLO</v>
      </c>
      <c r="C668" s="7" t="s">
        <v>33</v>
      </c>
      <c r="D668" s="9" t="str">
        <f>+'[1]BASE RED COMERCIAL'!$E666</f>
        <v>AV SAN MARTIN</v>
      </c>
      <c r="E668" s="7">
        <f>+'[1]BASE RED COMERCIAL'!$F666</f>
        <v>2035</v>
      </c>
      <c r="F668" s="14" t="str">
        <f>+'[1]BASE RED COMERCIAL'!$I666</f>
        <v>X5109ZAA</v>
      </c>
      <c r="G668" s="7" t="str">
        <f>+'[1]BASE RED COMERCIAL'!$D666</f>
        <v>UNQUILLO</v>
      </c>
      <c r="H668" s="7" t="str">
        <f>+'[1]BASE RED COMERCIAL'!$B666</f>
        <v>CORDOBA</v>
      </c>
      <c r="I668" s="8" t="str">
        <f>+'[1]BASE RED COMERCIAL'!$C666</f>
        <v>COLON</v>
      </c>
      <c r="J668" s="10"/>
      <c r="K668" s="10"/>
    </row>
    <row r="669" spans="1:11" x14ac:dyDescent="0.25">
      <c r="A669" s="14" t="str">
        <f>+'[1]BASE RED COMERCIAL'!$A667</f>
        <v>X0192</v>
      </c>
      <c r="B669" s="8" t="str">
        <f>+'[1]BASE RED COMERCIAL'!$H667</f>
        <v>VILLA ALLENDE</v>
      </c>
      <c r="C669" s="7" t="s">
        <v>33</v>
      </c>
      <c r="D669" s="9" t="str">
        <f>+'[1]BASE RED COMERCIAL'!$E667</f>
        <v>AV ELPIDIO GONZALEZ</v>
      </c>
      <c r="E669" s="7">
        <f>+'[1]BASE RED COMERCIAL'!$F667</f>
        <v>61</v>
      </c>
      <c r="F669" s="14" t="str">
        <f>+'[1]BASE RED COMERCIAL'!$I667</f>
        <v>X5105ZAA</v>
      </c>
      <c r="G669" s="7" t="str">
        <f>+'[1]BASE RED COMERCIAL'!$D667</f>
        <v>VILLA ALLENDE</v>
      </c>
      <c r="H669" s="7" t="str">
        <f>+'[1]BASE RED COMERCIAL'!$B667</f>
        <v>CORDOBA</v>
      </c>
      <c r="I669" s="8" t="str">
        <f>+'[1]BASE RED COMERCIAL'!$C667</f>
        <v>COLON</v>
      </c>
      <c r="J669" s="10"/>
      <c r="K669" s="10"/>
    </row>
    <row r="670" spans="1:11" x14ac:dyDescent="0.25">
      <c r="A670" s="14" t="str">
        <f>+'[1]BASE RED COMERCIAL'!$A668</f>
        <v>X0194</v>
      </c>
      <c r="B670" s="8" t="str">
        <f>+'[1]BASE RED COMERCIAL'!$H668</f>
        <v>VILLA CARLOS PAZ</v>
      </c>
      <c r="C670" s="7" t="s">
        <v>33</v>
      </c>
      <c r="D670" s="9" t="str">
        <f>+'[1]BASE RED COMERCIAL'!$E668</f>
        <v>SAN MARTIN</v>
      </c>
      <c r="E670" s="7">
        <f>+'[1]BASE RED COMERCIAL'!$F668</f>
        <v>199</v>
      </c>
      <c r="F670" s="14" t="str">
        <f>+'[1]BASE RED COMERCIAL'!$I668</f>
        <v>X5152ZAA</v>
      </c>
      <c r="G670" s="7" t="str">
        <f>+'[1]BASE RED COMERCIAL'!$D668</f>
        <v>VILLA CARLOS PAZ</v>
      </c>
      <c r="H670" s="7" t="str">
        <f>+'[1]BASE RED COMERCIAL'!$B668</f>
        <v>CORDOBA</v>
      </c>
      <c r="I670" s="8" t="str">
        <f>+'[1]BASE RED COMERCIAL'!$C668</f>
        <v>PUNILLA</v>
      </c>
      <c r="J670" s="10"/>
      <c r="K670" s="10"/>
    </row>
    <row r="671" spans="1:11" x14ac:dyDescent="0.25">
      <c r="A671" s="14" t="str">
        <f>+'[1]BASE RED COMERCIAL'!$A669</f>
        <v>X0196</v>
      </c>
      <c r="B671" s="8" t="str">
        <f>+'[1]BASE RED COMERCIAL'!$H669</f>
        <v>VILLA CONCEPCION DEL TIO</v>
      </c>
      <c r="C671" s="7" t="s">
        <v>33</v>
      </c>
      <c r="D671" s="9" t="str">
        <f>+'[1]BASE RED COMERCIAL'!$E669</f>
        <v>GRAL PAZ</v>
      </c>
      <c r="E671" s="7">
        <f>+'[1]BASE RED COMERCIAL'!$F669</f>
        <v>495</v>
      </c>
      <c r="F671" s="14" t="str">
        <f>+'[1]BASE RED COMERCIAL'!$I669</f>
        <v>X2433ZAA</v>
      </c>
      <c r="G671" s="7" t="str">
        <f>+'[1]BASE RED COMERCIAL'!$D669</f>
        <v>VILLA CONCEPCION DEL TIO</v>
      </c>
      <c r="H671" s="7" t="str">
        <f>+'[1]BASE RED COMERCIAL'!$B669</f>
        <v>CORDOBA</v>
      </c>
      <c r="I671" s="8" t="str">
        <f>+'[1]BASE RED COMERCIAL'!$C669</f>
        <v>SAN JUSTO</v>
      </c>
      <c r="J671" s="10"/>
      <c r="K671" s="10"/>
    </row>
    <row r="672" spans="1:11" x14ac:dyDescent="0.25">
      <c r="A672" s="14" t="str">
        <f>+'[1]BASE RED COMERCIAL'!$A670</f>
        <v>X0198</v>
      </c>
      <c r="B672" s="8" t="str">
        <f>+'[1]BASE RED COMERCIAL'!$H670</f>
        <v>VILLA MARIA DEL RIO SECO</v>
      </c>
      <c r="C672" s="7" t="s">
        <v>33</v>
      </c>
      <c r="D672" s="9" t="str">
        <f>+'[1]BASE RED COMERCIAL'!$E670</f>
        <v>9 DE JULIO</v>
      </c>
      <c r="E672" s="7">
        <f>+'[1]BASE RED COMERCIAL'!$F670</f>
        <v>46</v>
      </c>
      <c r="F672" s="14" t="str">
        <f>+'[1]BASE RED COMERCIAL'!$I670</f>
        <v>X5248ZAA</v>
      </c>
      <c r="G672" s="7" t="str">
        <f>+'[1]BASE RED COMERCIAL'!$D670</f>
        <v>VILLA DE MARIA</v>
      </c>
      <c r="H672" s="7" t="str">
        <f>+'[1]BASE RED COMERCIAL'!$B670</f>
        <v>CORDOBA</v>
      </c>
      <c r="I672" s="8" t="str">
        <f>+'[1]BASE RED COMERCIAL'!$C670</f>
        <v>RIO SECO</v>
      </c>
      <c r="J672" s="10"/>
      <c r="K672" s="10"/>
    </row>
    <row r="673" spans="1:11" x14ac:dyDescent="0.25">
      <c r="A673" s="14" t="str">
        <f>+'[1]BASE RED COMERCIAL'!$A671</f>
        <v>X0200</v>
      </c>
      <c r="B673" s="8" t="str">
        <f>+'[1]BASE RED COMERCIAL'!$H671</f>
        <v>VILLA DE SOTO</v>
      </c>
      <c r="C673" s="7" t="s">
        <v>33</v>
      </c>
      <c r="D673" s="9" t="str">
        <f>+'[1]BASE RED COMERCIAL'!$E671</f>
        <v>GRAL SAN MARTIN</v>
      </c>
      <c r="E673" s="7">
        <f>+'[1]BASE RED COMERCIAL'!$F671</f>
        <v>505</v>
      </c>
      <c r="F673" s="14" t="str">
        <f>+'[1]BASE RED COMERCIAL'!$I671</f>
        <v>X5284ZAB</v>
      </c>
      <c r="G673" s="7" t="str">
        <f>+'[1]BASE RED COMERCIAL'!$D671</f>
        <v>VILLA DE SOTO</v>
      </c>
      <c r="H673" s="7" t="str">
        <f>+'[1]BASE RED COMERCIAL'!$B671</f>
        <v>CORDOBA</v>
      </c>
      <c r="I673" s="8" t="str">
        <f>+'[1]BASE RED COMERCIAL'!$C671</f>
        <v>CRUZ DEL EJE</v>
      </c>
      <c r="J673" s="10"/>
      <c r="K673" s="10"/>
    </row>
    <row r="674" spans="1:11" x14ac:dyDescent="0.25">
      <c r="A674" s="14" t="str">
        <f>+'[1]BASE RED COMERCIAL'!$A672</f>
        <v>X0202</v>
      </c>
      <c r="B674" s="8" t="str">
        <f>+'[1]BASE RED COMERCIAL'!$H672</f>
        <v>VILLA DEL ROSARIO</v>
      </c>
      <c r="C674" s="7" t="s">
        <v>33</v>
      </c>
      <c r="D674" s="9" t="str">
        <f>+'[1]BASE RED COMERCIAL'!$E672</f>
        <v>OBISPO FERREYRA</v>
      </c>
      <c r="E674" s="7">
        <f>+'[1]BASE RED COMERCIAL'!$F672</f>
        <v>905</v>
      </c>
      <c r="F674" s="14" t="str">
        <f>+'[1]BASE RED COMERCIAL'!$I672</f>
        <v>X5963ZAA</v>
      </c>
      <c r="G674" s="7" t="str">
        <f>+'[1]BASE RED COMERCIAL'!$D672</f>
        <v>VILLA DEL ROSARIO</v>
      </c>
      <c r="H674" s="7" t="str">
        <f>+'[1]BASE RED COMERCIAL'!$B672</f>
        <v>CORDOBA</v>
      </c>
      <c r="I674" s="8" t="str">
        <f>+'[1]BASE RED COMERCIAL'!$C672</f>
        <v>RIO SEGUNDO</v>
      </c>
      <c r="J674" s="10"/>
      <c r="K674" s="10"/>
    </row>
    <row r="675" spans="1:11" x14ac:dyDescent="0.25">
      <c r="A675" s="14" t="str">
        <f>+'[1]BASE RED COMERCIAL'!$A673</f>
        <v>X0204</v>
      </c>
      <c r="B675" s="8" t="str">
        <f>+'[1]BASE RED COMERCIAL'!$H673</f>
        <v>VILLA DEL TOTORAL</v>
      </c>
      <c r="C675" s="7" t="s">
        <v>33</v>
      </c>
      <c r="D675" s="9" t="str">
        <f>+'[1]BASE RED COMERCIAL'!$E673</f>
        <v>DIOGENES MOYANO</v>
      </c>
      <c r="E675" s="7">
        <f>+'[1]BASE RED COMERCIAL'!$F673</f>
        <v>745</v>
      </c>
      <c r="F675" s="14" t="str">
        <f>+'[1]BASE RED COMERCIAL'!$I673</f>
        <v>X5236ZAA</v>
      </c>
      <c r="G675" s="7" t="str">
        <f>+'[1]BASE RED COMERCIAL'!$D673</f>
        <v>VILLA DEL TOTORAL</v>
      </c>
      <c r="H675" s="7" t="str">
        <f>+'[1]BASE RED COMERCIAL'!$B673</f>
        <v>CORDOBA</v>
      </c>
      <c r="I675" s="8" t="str">
        <f>+'[1]BASE RED COMERCIAL'!$C673</f>
        <v>TOTORAL</v>
      </c>
      <c r="J675" s="10"/>
      <c r="K675" s="10"/>
    </row>
    <row r="676" spans="1:11" x14ac:dyDescent="0.25">
      <c r="A676" s="14" t="str">
        <f>+'[1]BASE RED COMERCIAL'!$A674</f>
        <v>X0210</v>
      </c>
      <c r="B676" s="8" t="str">
        <f>+'[1]BASE RED COMERCIAL'!$H674</f>
        <v>VILLA DOLORES</v>
      </c>
      <c r="C676" s="7" t="s">
        <v>33</v>
      </c>
      <c r="D676" s="9" t="str">
        <f>+'[1]BASE RED COMERCIAL'!$E674</f>
        <v>ITALIA</v>
      </c>
      <c r="E676" s="7">
        <f>+'[1]BASE RED COMERCIAL'!$F674</f>
        <v>299</v>
      </c>
      <c r="F676" s="14" t="str">
        <f>+'[1]BASE RED COMERCIAL'!$I674</f>
        <v>X5870ZAA</v>
      </c>
      <c r="G676" s="7" t="str">
        <f>+'[1]BASE RED COMERCIAL'!$D674</f>
        <v>VILLA DOLORES</v>
      </c>
      <c r="H676" s="7" t="str">
        <f>+'[1]BASE RED COMERCIAL'!$B674</f>
        <v>CORDOBA</v>
      </c>
      <c r="I676" s="8" t="str">
        <f>+'[1]BASE RED COMERCIAL'!$C674</f>
        <v>SAN JAVIER</v>
      </c>
      <c r="J676" s="10"/>
      <c r="K676" s="10"/>
    </row>
    <row r="677" spans="1:11" x14ac:dyDescent="0.25">
      <c r="A677" s="14" t="str">
        <f>+'[1]BASE RED COMERCIAL'!$A675</f>
        <v>X0212</v>
      </c>
      <c r="B677" s="8" t="str">
        <f>+'[1]BASE RED COMERCIAL'!$H675</f>
        <v>SAN FRANCISCO DEL CHANAR</v>
      </c>
      <c r="C677" s="7" t="s">
        <v>33</v>
      </c>
      <c r="D677" s="9" t="str">
        <f>+'[1]BASE RED COMERCIAL'!$E675</f>
        <v>ALBERDI</v>
      </c>
      <c r="E677" s="7">
        <f>+'[1]BASE RED COMERCIAL'!$F675</f>
        <v>0</v>
      </c>
      <c r="F677" s="14" t="str">
        <f>+'[1]BASE RED COMERCIAL'!$I675</f>
        <v>X5209ZAA</v>
      </c>
      <c r="G677" s="7" t="str">
        <f>+'[1]BASE RED COMERCIAL'!$D675</f>
        <v>SAN FRANCISCO DEL CHAÃ‘AR</v>
      </c>
      <c r="H677" s="7" t="str">
        <f>+'[1]BASE RED COMERCIAL'!$B675</f>
        <v>CORDOBA</v>
      </c>
      <c r="I677" s="8" t="str">
        <f>+'[1]BASE RED COMERCIAL'!$C675</f>
        <v>SOBREMONTE</v>
      </c>
      <c r="J677" s="10"/>
      <c r="K677" s="10"/>
    </row>
    <row r="678" spans="1:11" x14ac:dyDescent="0.25">
      <c r="A678" s="14" t="str">
        <f>+'[1]BASE RED COMERCIAL'!$A676</f>
        <v>X0214</v>
      </c>
      <c r="B678" s="8" t="str">
        <f>+'[1]BASE RED COMERCIAL'!$H676</f>
        <v>MALAGUEÃ‘O</v>
      </c>
      <c r="C678" s="7" t="s">
        <v>33</v>
      </c>
      <c r="D678" s="9" t="str">
        <f>+'[1]BASE RED COMERCIAL'!$E676</f>
        <v>GRAL FRANCISCO RAMIREZ</v>
      </c>
      <c r="E678" s="7">
        <f>+'[1]BASE RED COMERCIAL'!$F676</f>
        <v>518</v>
      </c>
      <c r="F678" s="14" t="str">
        <f>+'[1]BASE RED COMERCIAL'!$I676</f>
        <v>X4687ZAA</v>
      </c>
      <c r="G678" s="7" t="str">
        <f>+'[1]BASE RED COMERCIAL'!$D676</f>
        <v>MALAGUEÃ‘O</v>
      </c>
      <c r="H678" s="7" t="str">
        <f>+'[1]BASE RED COMERCIAL'!$B676</f>
        <v>CORDOBA</v>
      </c>
      <c r="I678" s="8" t="str">
        <f>+'[1]BASE RED COMERCIAL'!$C676</f>
        <v>SANTA MARIA</v>
      </c>
      <c r="J678" s="10"/>
      <c r="K678" s="10"/>
    </row>
    <row r="679" spans="1:11" x14ac:dyDescent="0.25">
      <c r="A679" s="14" t="str">
        <f>+'[1]BASE RED COMERCIAL'!$A677</f>
        <v>X0300</v>
      </c>
      <c r="B679" s="8" t="str">
        <f>+'[1]BASE RED COMERCIAL'!$H677</f>
        <v>RIO CUARTO</v>
      </c>
      <c r="C679" s="7" t="s">
        <v>33</v>
      </c>
      <c r="D679" s="9" t="str">
        <f>+'[1]BASE RED COMERCIAL'!$E677</f>
        <v>GRAL PAZ</v>
      </c>
      <c r="E679" s="7">
        <f>+'[1]BASE RED COMERCIAL'!$F677</f>
        <v>624</v>
      </c>
      <c r="F679" s="14" t="str">
        <f>+'[1]BASE RED COMERCIAL'!$I677</f>
        <v>X5806ZAB</v>
      </c>
      <c r="G679" s="7" t="str">
        <f>+'[1]BASE RED COMERCIAL'!$D677</f>
        <v>RIO CUARTO</v>
      </c>
      <c r="H679" s="7" t="str">
        <f>+'[1]BASE RED COMERCIAL'!$B677</f>
        <v>CORDOBA</v>
      </c>
      <c r="I679" s="8" t="str">
        <f>+'[1]BASE RED COMERCIAL'!$C677</f>
        <v>RIO CUARTO</v>
      </c>
      <c r="J679" s="10"/>
      <c r="K679" s="10"/>
    </row>
    <row r="680" spans="1:11" x14ac:dyDescent="0.25">
      <c r="A680" s="14" t="str">
        <f>+'[1]BASE RED COMERCIAL'!$A678</f>
        <v>X0302</v>
      </c>
      <c r="B680" s="8" t="str">
        <f>+'[1]BASE RED COMERCIAL'!$H678</f>
        <v>RIO CUARTO 1 ALBERDI</v>
      </c>
      <c r="C680" s="7" t="s">
        <v>33</v>
      </c>
      <c r="D680" s="9" t="str">
        <f>+'[1]BASE RED COMERCIAL'!$E678</f>
        <v>ENTRE RIOS</v>
      </c>
      <c r="E680" s="7">
        <f>+'[1]BASE RED COMERCIAL'!$F678</f>
        <v>484</v>
      </c>
      <c r="F680" s="14" t="str">
        <f>+'[1]BASE RED COMERCIAL'!$I678</f>
        <v>X5808ZAA</v>
      </c>
      <c r="G680" s="7" t="str">
        <f>+'[1]BASE RED COMERCIAL'!$D678</f>
        <v>RIO CUARTO</v>
      </c>
      <c r="H680" s="7" t="str">
        <f>+'[1]BASE RED COMERCIAL'!$B678</f>
        <v>CORDOBA</v>
      </c>
      <c r="I680" s="8" t="str">
        <f>+'[1]BASE RED COMERCIAL'!$C678</f>
        <v>RIO CUARTO</v>
      </c>
      <c r="J680" s="10"/>
      <c r="K680" s="10"/>
    </row>
    <row r="681" spans="1:11" x14ac:dyDescent="0.25">
      <c r="A681" s="14" t="str">
        <f>+'[1]BASE RED COMERCIAL'!$A679</f>
        <v>X0303</v>
      </c>
      <c r="B681" s="8" t="str">
        <f>+'[1]BASE RED COMERCIAL'!$H679</f>
        <v>RIO CUARTO 5</v>
      </c>
      <c r="C681" s="7" t="s">
        <v>33</v>
      </c>
      <c r="D681" s="9" t="str">
        <f>+'[1]BASE RED COMERCIAL'!$E679</f>
        <v>AV DR AMADEO SABATTINI</v>
      </c>
      <c r="E681" s="7">
        <f>+'[1]BASE RED COMERCIAL'!$F679</f>
        <v>1982</v>
      </c>
      <c r="F681" s="14" t="str">
        <f>+'[1]BASE RED COMERCIAL'!$I679</f>
        <v>X5806ZAA</v>
      </c>
      <c r="G681" s="7" t="str">
        <f>+'[1]BASE RED COMERCIAL'!$D679</f>
        <v>RIO CUARTO</v>
      </c>
      <c r="H681" s="7" t="str">
        <f>+'[1]BASE RED COMERCIAL'!$B679</f>
        <v>CORDOBA</v>
      </c>
      <c r="I681" s="8" t="str">
        <f>+'[1]BASE RED COMERCIAL'!$C679</f>
        <v>RIO CUARTO</v>
      </c>
      <c r="J681" s="10"/>
      <c r="K681" s="10"/>
    </row>
    <row r="682" spans="1:11" x14ac:dyDescent="0.25">
      <c r="A682" s="14" t="str">
        <f>+'[1]BASE RED COMERCIAL'!$A680</f>
        <v>X0304</v>
      </c>
      <c r="B682" s="8" t="str">
        <f>+'[1]BASE RED COMERCIAL'!$H680</f>
        <v>RIO CUARTO 4</v>
      </c>
      <c r="C682" s="7" t="s">
        <v>33</v>
      </c>
      <c r="D682" s="9" t="str">
        <f>+'[1]BASE RED COMERCIAL'!$E680</f>
        <v>MARTIRES RIOCUARTENSES</v>
      </c>
      <c r="E682" s="7">
        <f>+'[1]BASE RED COMERCIAL'!$F680</f>
        <v>1044</v>
      </c>
      <c r="F682" s="14" t="str">
        <f>+'[1]BASE RED COMERCIAL'!$I680</f>
        <v>X5802ZAB</v>
      </c>
      <c r="G682" s="7" t="str">
        <f>+'[1]BASE RED COMERCIAL'!$D680</f>
        <v>RIO CUARTO</v>
      </c>
      <c r="H682" s="7" t="str">
        <f>+'[1]BASE RED COMERCIAL'!$B680</f>
        <v>CORDOBA</v>
      </c>
      <c r="I682" s="8" t="str">
        <f>+'[1]BASE RED COMERCIAL'!$C680</f>
        <v>RIO CUARTO</v>
      </c>
      <c r="J682" s="10"/>
      <c r="K682" s="10"/>
    </row>
    <row r="683" spans="1:11" x14ac:dyDescent="0.25">
      <c r="A683" s="14" t="str">
        <f>+'[1]BASE RED COMERCIAL'!$A681</f>
        <v>X0305</v>
      </c>
      <c r="B683" s="8" t="str">
        <f>+'[1]BASE RED COMERCIAL'!$H681</f>
        <v>ACHIRAS</v>
      </c>
      <c r="C683" s="7" t="s">
        <v>33</v>
      </c>
      <c r="D683" s="9" t="str">
        <f>+'[1]BASE RED COMERCIAL'!$E681</f>
        <v>DOMINGO SARMIENTO</v>
      </c>
      <c r="E683" s="7">
        <f>+'[1]BASE RED COMERCIAL'!$F681</f>
        <v>151</v>
      </c>
      <c r="F683" s="14" t="str">
        <f>+'[1]BASE RED COMERCIAL'!$I681</f>
        <v>X5833ZAA</v>
      </c>
      <c r="G683" s="7" t="str">
        <f>+'[1]BASE RED COMERCIAL'!$D681</f>
        <v>ACHIRAS</v>
      </c>
      <c r="H683" s="7" t="str">
        <f>+'[1]BASE RED COMERCIAL'!$B681</f>
        <v>CORDOBA</v>
      </c>
      <c r="I683" s="8" t="str">
        <f>+'[1]BASE RED COMERCIAL'!$C681</f>
        <v>RIO CUARTO</v>
      </c>
      <c r="J683" s="10"/>
      <c r="K683" s="10"/>
    </row>
    <row r="684" spans="1:11" x14ac:dyDescent="0.25">
      <c r="A684" s="14" t="str">
        <f>+'[1]BASE RED COMERCIAL'!$A682</f>
        <v>X0306</v>
      </c>
      <c r="B684" s="8" t="str">
        <f>+'[1]BASE RED COMERCIAL'!$H682</f>
        <v>ADELIA MARIA</v>
      </c>
      <c r="C684" s="7" t="s">
        <v>33</v>
      </c>
      <c r="D684" s="9" t="str">
        <f>+'[1]BASE RED COMERCIAL'!$E682</f>
        <v>AV GRAL SAN MARTIN</v>
      </c>
      <c r="E684" s="7">
        <f>+'[1]BASE RED COMERCIAL'!$F682</f>
        <v>178</v>
      </c>
      <c r="F684" s="14" t="str">
        <f>+'[1]BASE RED COMERCIAL'!$I682</f>
        <v>X5843ZAA</v>
      </c>
      <c r="G684" s="7" t="str">
        <f>+'[1]BASE RED COMERCIAL'!$D682</f>
        <v>ADELIA MARIA</v>
      </c>
      <c r="H684" s="7" t="str">
        <f>+'[1]BASE RED COMERCIAL'!$B682</f>
        <v>CORDOBA</v>
      </c>
      <c r="I684" s="8" t="str">
        <f>+'[1]BASE RED COMERCIAL'!$C682</f>
        <v>RIO CUARTO</v>
      </c>
      <c r="J684" s="10"/>
      <c r="K684" s="10"/>
    </row>
    <row r="685" spans="1:11" x14ac:dyDescent="0.25">
      <c r="A685" s="14" t="str">
        <f>+'[1]BASE RED COMERCIAL'!$A683</f>
        <v>X0307</v>
      </c>
      <c r="B685" s="8" t="str">
        <f>+'[1]BASE RED COMERCIAL'!$H683</f>
        <v>ALEJANDRO</v>
      </c>
      <c r="C685" s="7" t="s">
        <v>33</v>
      </c>
      <c r="D685" s="9" t="str">
        <f>+'[1]BASE RED COMERCIAL'!$E683</f>
        <v>DR VELEZ SARSFIELD</v>
      </c>
      <c r="E685" s="7">
        <f>+'[1]BASE RED COMERCIAL'!$F683</f>
        <v>110</v>
      </c>
      <c r="F685" s="14" t="str">
        <f>+'[1]BASE RED COMERCIAL'!$I683</f>
        <v>X2686ZAA</v>
      </c>
      <c r="G685" s="7" t="str">
        <f>+'[1]BASE RED COMERCIAL'!$D683</f>
        <v>ALEJANDRO ROCA</v>
      </c>
      <c r="H685" s="7" t="str">
        <f>+'[1]BASE RED COMERCIAL'!$B683</f>
        <v>CORDOBA</v>
      </c>
      <c r="I685" s="8" t="str">
        <f>+'[1]BASE RED COMERCIAL'!$C683</f>
        <v>JUAREZ CELMAN</v>
      </c>
      <c r="J685" s="10"/>
      <c r="K685" s="10"/>
    </row>
    <row r="686" spans="1:11" x14ac:dyDescent="0.25">
      <c r="A686" s="14" t="str">
        <f>+'[1]BASE RED COMERCIAL'!$A684</f>
        <v>X0308</v>
      </c>
      <c r="B686" s="8" t="str">
        <f>+'[1]BASE RED COMERCIAL'!$H684</f>
        <v>ALEJO LEDESMA</v>
      </c>
      <c r="C686" s="7" t="s">
        <v>33</v>
      </c>
      <c r="D686" s="9" t="str">
        <f>+'[1]BASE RED COMERCIAL'!$E684</f>
        <v>AV SARMIENTO</v>
      </c>
      <c r="E686" s="7">
        <f>+'[1]BASE RED COMERCIAL'!$F684</f>
        <v>698</v>
      </c>
      <c r="F686" s="14" t="str">
        <f>+'[1]BASE RED COMERCIAL'!$I684</f>
        <v>X2662ZAA</v>
      </c>
      <c r="G686" s="7" t="str">
        <f>+'[1]BASE RED COMERCIAL'!$D684</f>
        <v>ALEJO LEDESMA</v>
      </c>
      <c r="H686" s="7" t="str">
        <f>+'[1]BASE RED COMERCIAL'!$B684</f>
        <v>CORDOBA</v>
      </c>
      <c r="I686" s="8" t="str">
        <f>+'[1]BASE RED COMERCIAL'!$C684</f>
        <v>MARCOS JUAREZ</v>
      </c>
      <c r="J686" s="10"/>
      <c r="K686" s="10"/>
    </row>
    <row r="687" spans="1:11" x14ac:dyDescent="0.25">
      <c r="A687" s="14" t="str">
        <f>+'[1]BASE RED COMERCIAL'!$A685</f>
        <v>X0310</v>
      </c>
      <c r="B687" s="8" t="str">
        <f>+'[1]BASE RED COMERCIAL'!$H685</f>
        <v>ARIAS</v>
      </c>
      <c r="C687" s="7" t="s">
        <v>33</v>
      </c>
      <c r="D687" s="9" t="str">
        <f>+'[1]BASE RED COMERCIAL'!$E685</f>
        <v>AV GRAL SAN MARTIN</v>
      </c>
      <c r="E687" s="7">
        <f>+'[1]BASE RED COMERCIAL'!$F685</f>
        <v>1053</v>
      </c>
      <c r="F687" s="14" t="str">
        <f>+'[1]BASE RED COMERCIAL'!$I685</f>
        <v>X2624ZAA</v>
      </c>
      <c r="G687" s="7" t="str">
        <f>+'[1]BASE RED COMERCIAL'!$D685</f>
        <v>ARIAS</v>
      </c>
      <c r="H687" s="7" t="str">
        <f>+'[1]BASE RED COMERCIAL'!$B685</f>
        <v>CORDOBA</v>
      </c>
      <c r="I687" s="8" t="str">
        <f>+'[1]BASE RED COMERCIAL'!$C685</f>
        <v>MARCOS JUAREZ</v>
      </c>
      <c r="J687" s="10"/>
      <c r="K687" s="10"/>
    </row>
    <row r="688" spans="1:11" x14ac:dyDescent="0.25">
      <c r="A688" s="14" t="str">
        <f>+'[1]BASE RED COMERCIAL'!$A686</f>
        <v>X0312</v>
      </c>
      <c r="B688" s="8" t="str">
        <f>+'[1]BASE RED COMERCIAL'!$H686</f>
        <v>ARROYO CABRAL</v>
      </c>
      <c r="C688" s="7" t="s">
        <v>33</v>
      </c>
      <c r="D688" s="9" t="str">
        <f>+'[1]BASE RED COMERCIAL'!$E686</f>
        <v>25 DE MAYO</v>
      </c>
      <c r="E688" s="7">
        <f>+'[1]BASE RED COMERCIAL'!$F686</f>
        <v>684</v>
      </c>
      <c r="F688" s="14" t="str">
        <f>+'[1]BASE RED COMERCIAL'!$I686</f>
        <v>X5917ZAA</v>
      </c>
      <c r="G688" s="7" t="str">
        <f>+'[1]BASE RED COMERCIAL'!$D686</f>
        <v>ARROYO CABRAL</v>
      </c>
      <c r="H688" s="7" t="str">
        <f>+'[1]BASE RED COMERCIAL'!$B686</f>
        <v>CORDOBA</v>
      </c>
      <c r="I688" s="8" t="str">
        <f>+'[1]BASE RED COMERCIAL'!$C686</f>
        <v>GENERAL SAN MARTIN</v>
      </c>
      <c r="J688" s="10"/>
      <c r="K688" s="10"/>
    </row>
    <row r="689" spans="1:11" x14ac:dyDescent="0.25">
      <c r="A689" s="14" t="str">
        <f>+'[1]BASE RED COMERCIAL'!$A687</f>
        <v>X0314</v>
      </c>
      <c r="B689" s="8" t="str">
        <f>+'[1]BASE RED COMERCIAL'!$H687</f>
        <v>ALMAFUERTE</v>
      </c>
      <c r="C689" s="7" t="s">
        <v>33</v>
      </c>
      <c r="D689" s="9" t="str">
        <f>+'[1]BASE RED COMERCIAL'!$E687</f>
        <v>PEDRO C MOLINA</v>
      </c>
      <c r="E689" s="7">
        <f>+'[1]BASE RED COMERCIAL'!$F687</f>
        <v>1104</v>
      </c>
      <c r="F689" s="14" t="str">
        <f>+'[1]BASE RED COMERCIAL'!$I687</f>
        <v>X5854ZAA</v>
      </c>
      <c r="G689" s="7" t="str">
        <f>+'[1]BASE RED COMERCIAL'!$D687</f>
        <v>ALMAFUERTE</v>
      </c>
      <c r="H689" s="7" t="str">
        <f>+'[1]BASE RED COMERCIAL'!$B687</f>
        <v>CORDOBA</v>
      </c>
      <c r="I689" s="8" t="str">
        <f>+'[1]BASE RED COMERCIAL'!$C687</f>
        <v>TERCERO ARRIBA</v>
      </c>
      <c r="J689" s="10"/>
      <c r="K689" s="10"/>
    </row>
    <row r="690" spans="1:11" x14ac:dyDescent="0.25">
      <c r="A690" s="14" t="str">
        <f>+'[1]BASE RED COMERCIAL'!$A688</f>
        <v>X0316</v>
      </c>
      <c r="B690" s="8" t="str">
        <f>+'[1]BASE RED COMERCIAL'!$H688</f>
        <v>BALLESTEROS</v>
      </c>
      <c r="C690" s="7" t="s">
        <v>33</v>
      </c>
      <c r="D690" s="9" t="str">
        <f>+'[1]BASE RED COMERCIAL'!$E688</f>
        <v>REP ARGENTINA</v>
      </c>
      <c r="E690" s="7">
        <f>+'[1]BASE RED COMERCIAL'!$F688</f>
        <v>107</v>
      </c>
      <c r="F690" s="14" t="str">
        <f>+'[1]BASE RED COMERCIAL'!$I688</f>
        <v>X2572ZAA</v>
      </c>
      <c r="G690" s="7" t="str">
        <f>+'[1]BASE RED COMERCIAL'!$D688</f>
        <v>BALLESTEROS</v>
      </c>
      <c r="H690" s="7" t="str">
        <f>+'[1]BASE RED COMERCIAL'!$B688</f>
        <v>CORDOBA</v>
      </c>
      <c r="I690" s="8" t="str">
        <f>+'[1]BASE RED COMERCIAL'!$C688</f>
        <v>UNION</v>
      </c>
      <c r="J690" s="10"/>
      <c r="K690" s="10"/>
    </row>
    <row r="691" spans="1:11" x14ac:dyDescent="0.25">
      <c r="A691" s="14" t="str">
        <f>+'[1]BASE RED COMERCIAL'!$A689</f>
        <v>X0318</v>
      </c>
      <c r="B691" s="8" t="str">
        <f>+'[1]BASE RED COMERCIAL'!$H689</f>
        <v>BELL VILLE</v>
      </c>
      <c r="C691" s="7" t="s">
        <v>33</v>
      </c>
      <c r="D691" s="9" t="str">
        <f>+'[1]BASE RED COMERCIAL'!$E689</f>
        <v>CORDOBA</v>
      </c>
      <c r="E691" s="7">
        <f>+'[1]BASE RED COMERCIAL'!$F689</f>
        <v>599</v>
      </c>
      <c r="F691" s="14" t="str">
        <f>+'[1]BASE RED COMERCIAL'!$I689</f>
        <v>X2550ZAA</v>
      </c>
      <c r="G691" s="7" t="str">
        <f>+'[1]BASE RED COMERCIAL'!$D689</f>
        <v>BELL VILLE</v>
      </c>
      <c r="H691" s="7" t="str">
        <f>+'[1]BASE RED COMERCIAL'!$B689</f>
        <v>CORDOBA</v>
      </c>
      <c r="I691" s="8" t="str">
        <f>+'[1]BASE RED COMERCIAL'!$C689</f>
        <v>UNION</v>
      </c>
      <c r="J691" s="10"/>
      <c r="K691" s="10"/>
    </row>
    <row r="692" spans="1:11" x14ac:dyDescent="0.25">
      <c r="A692" s="14" t="str">
        <f>+'[1]BASE RED COMERCIAL'!$A690</f>
        <v>X0324</v>
      </c>
      <c r="B692" s="8" t="str">
        <f>+'[1]BASE RED COMERCIAL'!$H690</f>
        <v>BERROTARAN</v>
      </c>
      <c r="C692" s="7" t="s">
        <v>33</v>
      </c>
      <c r="D692" s="9" t="str">
        <f>+'[1]BASE RED COMERCIAL'!$E690</f>
        <v>FRAY M ESQUIU</v>
      </c>
      <c r="E692" s="7">
        <f>+'[1]BASE RED COMERCIAL'!$F690</f>
        <v>110</v>
      </c>
      <c r="F692" s="14" t="str">
        <f>+'[1]BASE RED COMERCIAL'!$I690</f>
        <v>X5817ZAA</v>
      </c>
      <c r="G692" s="7" t="str">
        <f>+'[1]BASE RED COMERCIAL'!$D690</f>
        <v>BERROTARAN</v>
      </c>
      <c r="H692" s="7" t="str">
        <f>+'[1]BASE RED COMERCIAL'!$B690</f>
        <v>CORDOBA</v>
      </c>
      <c r="I692" s="8" t="str">
        <f>+'[1]BASE RED COMERCIAL'!$C690</f>
        <v>RIO CUARTO</v>
      </c>
      <c r="J692" s="10"/>
      <c r="K692" s="10"/>
    </row>
    <row r="693" spans="1:11" x14ac:dyDescent="0.25">
      <c r="A693" s="14" t="str">
        <f>+'[1]BASE RED COMERCIAL'!$A691</f>
        <v>X0326</v>
      </c>
      <c r="B693" s="8" t="str">
        <f>+'[1]BASE RED COMERCIAL'!$H691</f>
        <v>CAMILO ALDAO</v>
      </c>
      <c r="C693" s="7" t="s">
        <v>33</v>
      </c>
      <c r="D693" s="9" t="str">
        <f>+'[1]BASE RED COMERCIAL'!$E691</f>
        <v>GRAL M BELGRANO</v>
      </c>
      <c r="E693" s="7">
        <f>+'[1]BASE RED COMERCIAL'!$F691</f>
        <v>945</v>
      </c>
      <c r="F693" s="14" t="str">
        <f>+'[1]BASE RED COMERCIAL'!$I691</f>
        <v>X2585ZAA</v>
      </c>
      <c r="G693" s="7" t="str">
        <f>+'[1]BASE RED COMERCIAL'!$D691</f>
        <v>CAMILO ALDAO</v>
      </c>
      <c r="H693" s="7" t="str">
        <f>+'[1]BASE RED COMERCIAL'!$B691</f>
        <v>CORDOBA</v>
      </c>
      <c r="I693" s="8" t="str">
        <f>+'[1]BASE RED COMERCIAL'!$C691</f>
        <v>MARCOS JUAREZ</v>
      </c>
      <c r="J693" s="10"/>
      <c r="K693" s="10"/>
    </row>
    <row r="694" spans="1:11" x14ac:dyDescent="0.25">
      <c r="A694" s="14" t="str">
        <f>+'[1]BASE RED COMERCIAL'!$A692</f>
        <v>X0328</v>
      </c>
      <c r="B694" s="8" t="str">
        <f>+'[1]BASE RED COMERCIAL'!$H692</f>
        <v>CANALS</v>
      </c>
      <c r="C694" s="7" t="s">
        <v>33</v>
      </c>
      <c r="D694" s="9" t="str">
        <f>+'[1]BASE RED COMERCIAL'!$E692</f>
        <v>VELEZ SARSFIELD</v>
      </c>
      <c r="E694" s="7">
        <f>+'[1]BASE RED COMERCIAL'!$F692</f>
        <v>99</v>
      </c>
      <c r="F694" s="14" t="str">
        <f>+'[1]BASE RED COMERCIAL'!$I692</f>
        <v>X2650ZAA</v>
      </c>
      <c r="G694" s="7" t="str">
        <f>+'[1]BASE RED COMERCIAL'!$D692</f>
        <v>CANALS</v>
      </c>
      <c r="H694" s="7" t="str">
        <f>+'[1]BASE RED COMERCIAL'!$B692</f>
        <v>CORDOBA</v>
      </c>
      <c r="I694" s="8" t="str">
        <f>+'[1]BASE RED COMERCIAL'!$C692</f>
        <v>UNION</v>
      </c>
      <c r="J694" s="10"/>
      <c r="K694" s="10"/>
    </row>
    <row r="695" spans="1:11" x14ac:dyDescent="0.25">
      <c r="A695" s="14" t="str">
        <f>+'[1]BASE RED COMERCIAL'!$A693</f>
        <v>X0330</v>
      </c>
      <c r="B695" s="8" t="str">
        <f>+'[1]BASE RED COMERCIAL'!$H693</f>
        <v>CHAZON</v>
      </c>
      <c r="C695" s="7" t="s">
        <v>33</v>
      </c>
      <c r="D695" s="9" t="str">
        <f>+'[1]BASE RED COMERCIAL'!$E693</f>
        <v>CALLE 14</v>
      </c>
      <c r="E695" s="7">
        <f>+'[1]BASE RED COMERCIAL'!$F693</f>
        <v>235</v>
      </c>
      <c r="F695" s="14" t="str">
        <f>+'[1]BASE RED COMERCIAL'!$I693</f>
        <v>X2675ZAA</v>
      </c>
      <c r="G695" s="7" t="str">
        <f>+'[1]BASE RED COMERCIAL'!$D693</f>
        <v>CHAZON</v>
      </c>
      <c r="H695" s="7" t="str">
        <f>+'[1]BASE RED COMERCIAL'!$B693</f>
        <v>CORDOBA</v>
      </c>
      <c r="I695" s="8" t="str">
        <f>+'[1]BASE RED COMERCIAL'!$C693</f>
        <v>GENERAL SAN MARTIN</v>
      </c>
      <c r="J695" s="10"/>
      <c r="K695" s="10"/>
    </row>
    <row r="696" spans="1:11" x14ac:dyDescent="0.25">
      <c r="A696" s="14" t="str">
        <f>+'[1]BASE RED COMERCIAL'!$A694</f>
        <v>X0331</v>
      </c>
      <c r="B696" s="8" t="str">
        <f>+'[1]BASE RED COMERCIAL'!$H694</f>
        <v>CINTRA</v>
      </c>
      <c r="C696" s="7" t="s">
        <v>33</v>
      </c>
      <c r="D696" s="9" t="str">
        <f>+'[1]BASE RED COMERCIAL'!$E694</f>
        <v>GOB JOSE A CEBALLOS</v>
      </c>
      <c r="E696" s="7">
        <f>+'[1]BASE RED COMERCIAL'!$F694</f>
        <v>460</v>
      </c>
      <c r="F696" s="14" t="str">
        <f>+'[1]BASE RED COMERCIAL'!$I694</f>
        <v>X2559ZAA</v>
      </c>
      <c r="G696" s="7" t="str">
        <f>+'[1]BASE RED COMERCIAL'!$D694</f>
        <v>CINTRA</v>
      </c>
      <c r="H696" s="7" t="str">
        <f>+'[1]BASE RED COMERCIAL'!$B694</f>
        <v>CORDOBA</v>
      </c>
      <c r="I696" s="8" t="str">
        <f>+'[1]BASE RED COMERCIAL'!$C694</f>
        <v>UNION</v>
      </c>
      <c r="J696" s="10"/>
      <c r="K696" s="10"/>
    </row>
    <row r="697" spans="1:11" x14ac:dyDescent="0.25">
      <c r="A697" s="14" t="str">
        <f>+'[1]BASE RED COMERCIAL'!$A695</f>
        <v>X0334</v>
      </c>
      <c r="B697" s="8" t="str">
        <f>+'[1]BASE RED COMERCIAL'!$H695</f>
        <v>CORONEL MOLDES</v>
      </c>
      <c r="C697" s="7" t="s">
        <v>33</v>
      </c>
      <c r="D697" s="9" t="str">
        <f>+'[1]BASE RED COMERCIAL'!$E695</f>
        <v>URUGUAY</v>
      </c>
      <c r="E697" s="7">
        <f>+'[1]BASE RED COMERCIAL'!$F695</f>
        <v>198</v>
      </c>
      <c r="F697" s="14" t="str">
        <f>+'[1]BASE RED COMERCIAL'!$I695</f>
        <v>X5847ZAA</v>
      </c>
      <c r="G697" s="7" t="str">
        <f>+'[1]BASE RED COMERCIAL'!$D695</f>
        <v>CORONEL MOLDES</v>
      </c>
      <c r="H697" s="7" t="str">
        <f>+'[1]BASE RED COMERCIAL'!$B695</f>
        <v>CORDOBA</v>
      </c>
      <c r="I697" s="8" t="str">
        <f>+'[1]BASE RED COMERCIAL'!$C695</f>
        <v>RIO CUARTO</v>
      </c>
      <c r="J697" s="10"/>
      <c r="K697" s="10"/>
    </row>
    <row r="698" spans="1:11" x14ac:dyDescent="0.25">
      <c r="A698" s="14" t="str">
        <f>+'[1]BASE RED COMERCIAL'!$A696</f>
        <v>X0336</v>
      </c>
      <c r="B698" s="8" t="str">
        <f>+'[1]BASE RED COMERCIAL'!$H696</f>
        <v>CORRAL DE BUSTOS</v>
      </c>
      <c r="C698" s="7" t="s">
        <v>33</v>
      </c>
      <c r="D698" s="9" t="str">
        <f>+'[1]BASE RED COMERCIAL'!$E696</f>
        <v>CORDOBA</v>
      </c>
      <c r="E698" s="7">
        <f>+'[1]BASE RED COMERCIAL'!$F696</f>
        <v>470</v>
      </c>
      <c r="F698" s="14" t="str">
        <f>+'[1]BASE RED COMERCIAL'!$I696</f>
        <v>X2645ZAA</v>
      </c>
      <c r="G698" s="7" t="str">
        <f>+'[1]BASE RED COMERCIAL'!$D696</f>
        <v>CORRAL DE BUSTOS</v>
      </c>
      <c r="H698" s="7" t="str">
        <f>+'[1]BASE RED COMERCIAL'!$B696</f>
        <v>CORDOBA</v>
      </c>
      <c r="I698" s="8" t="str">
        <f>+'[1]BASE RED COMERCIAL'!$C696</f>
        <v>MARCOS JUAREZ</v>
      </c>
      <c r="J698" s="10"/>
      <c r="K698" s="10"/>
    </row>
    <row r="699" spans="1:11" x14ac:dyDescent="0.25">
      <c r="A699" s="14" t="str">
        <f>+'[1]BASE RED COMERCIAL'!$A697</f>
        <v>X0338</v>
      </c>
      <c r="B699" s="8" t="str">
        <f>+'[1]BASE RED COMERCIAL'!$H697</f>
        <v>CRUZ ALTA</v>
      </c>
      <c r="C699" s="7" t="s">
        <v>33</v>
      </c>
      <c r="D699" s="9" t="str">
        <f>+'[1]BASE RED COMERCIAL'!$E697</f>
        <v>ANGEL COLOCCINI</v>
      </c>
      <c r="E699" s="7">
        <f>+'[1]BASE RED COMERCIAL'!$F697</f>
        <v>840</v>
      </c>
      <c r="F699" s="14" t="str">
        <f>+'[1]BASE RED COMERCIAL'!$I697</f>
        <v>X2189ZAA</v>
      </c>
      <c r="G699" s="7" t="str">
        <f>+'[1]BASE RED COMERCIAL'!$D697</f>
        <v>CRUZ ALTA</v>
      </c>
      <c r="H699" s="7" t="str">
        <f>+'[1]BASE RED COMERCIAL'!$B697</f>
        <v>CORDOBA</v>
      </c>
      <c r="I699" s="8" t="str">
        <f>+'[1]BASE RED COMERCIAL'!$C697</f>
        <v>MARCOS JUAREZ</v>
      </c>
      <c r="J699" s="10"/>
      <c r="K699" s="10"/>
    </row>
    <row r="700" spans="1:11" x14ac:dyDescent="0.25">
      <c r="A700" s="14" t="str">
        <f>+'[1]BASE RED COMERCIAL'!$A698</f>
        <v>X0342</v>
      </c>
      <c r="B700" s="8" t="str">
        <f>+'[1]BASE RED COMERCIAL'!$H698</f>
        <v>DEL CAMPILLO</v>
      </c>
      <c r="C700" s="7" t="s">
        <v>33</v>
      </c>
      <c r="D700" s="9" t="str">
        <f>+'[1]BASE RED COMERCIAL'!$E698</f>
        <v>DR DANIEL MORRA</v>
      </c>
      <c r="E700" s="7">
        <f>+'[1]BASE RED COMERCIAL'!$F698</f>
        <v>137</v>
      </c>
      <c r="F700" s="14" t="str">
        <f>+'[1]BASE RED COMERCIAL'!$I698</f>
        <v>X6271ZAA</v>
      </c>
      <c r="G700" s="7" t="str">
        <f>+'[1]BASE RED COMERCIAL'!$D698</f>
        <v>DEL CAMPILLO</v>
      </c>
      <c r="H700" s="7" t="str">
        <f>+'[1]BASE RED COMERCIAL'!$B698</f>
        <v>CORDOBA</v>
      </c>
      <c r="I700" s="8" t="str">
        <f>+'[1]BASE RED COMERCIAL'!$C698</f>
        <v>GENERAL ROCA</v>
      </c>
      <c r="J700" s="10"/>
      <c r="K700" s="10"/>
    </row>
    <row r="701" spans="1:11" x14ac:dyDescent="0.25">
      <c r="A701" s="14" t="str">
        <f>+'[1]BASE RED COMERCIAL'!$A699</f>
        <v>X0344</v>
      </c>
      <c r="B701" s="8" t="str">
        <f>+'[1]BASE RED COMERCIAL'!$H699</f>
        <v>EMBALSE</v>
      </c>
      <c r="C701" s="7" t="s">
        <v>33</v>
      </c>
      <c r="D701" s="9" t="str">
        <f>+'[1]BASE RED COMERCIAL'!$E699</f>
        <v>LOS AROMILLOS</v>
      </c>
      <c r="E701" s="7">
        <f>+'[1]BASE RED COMERCIAL'!$F699</f>
        <v>163</v>
      </c>
      <c r="F701" s="14" t="str">
        <f>+'[1]BASE RED COMERCIAL'!$I699</f>
        <v>X5856ZAA</v>
      </c>
      <c r="G701" s="7" t="str">
        <f>+'[1]BASE RED COMERCIAL'!$D699</f>
        <v>EMBALSE</v>
      </c>
      <c r="H701" s="7" t="str">
        <f>+'[1]BASE RED COMERCIAL'!$B699</f>
        <v>CORDOBA</v>
      </c>
      <c r="I701" s="8" t="str">
        <f>+'[1]BASE RED COMERCIAL'!$C699</f>
        <v>CALAMUCHITA</v>
      </c>
      <c r="J701" s="10"/>
      <c r="K701" s="10"/>
    </row>
    <row r="702" spans="1:11" x14ac:dyDescent="0.25">
      <c r="A702" s="14" t="str">
        <f>+'[1]BASE RED COMERCIAL'!$A700</f>
        <v>X0346</v>
      </c>
      <c r="B702" s="8" t="str">
        <f>+'[1]BASE RED COMERCIAL'!$H700</f>
        <v>ELENA</v>
      </c>
      <c r="C702" s="7" t="s">
        <v>33</v>
      </c>
      <c r="D702" s="9" t="str">
        <f>+'[1]BASE RED COMERCIAL'!$E700</f>
        <v>CORDOBA</v>
      </c>
      <c r="E702" s="7">
        <f>+'[1]BASE RED COMERCIAL'!$F700</f>
        <v>391</v>
      </c>
      <c r="F702" s="14" t="str">
        <f>+'[1]BASE RED COMERCIAL'!$I700</f>
        <v>X5815ZAA</v>
      </c>
      <c r="G702" s="7" t="str">
        <f>+'[1]BASE RED COMERCIAL'!$D700</f>
        <v>ELENA</v>
      </c>
      <c r="H702" s="7" t="str">
        <f>+'[1]BASE RED COMERCIAL'!$B700</f>
        <v>CORDOBA</v>
      </c>
      <c r="I702" s="8" t="str">
        <f>+'[1]BASE RED COMERCIAL'!$C700</f>
        <v>RIO CUARTO</v>
      </c>
      <c r="J702" s="10"/>
      <c r="K702" s="10"/>
    </row>
    <row r="703" spans="1:11" x14ac:dyDescent="0.25">
      <c r="A703" s="14" t="str">
        <f>+'[1]BASE RED COMERCIAL'!$A701</f>
        <v>X0348</v>
      </c>
      <c r="B703" s="8" t="str">
        <f>+'[1]BASE RED COMERCIAL'!$H701</f>
        <v>ETRURIA</v>
      </c>
      <c r="C703" s="7" t="s">
        <v>33</v>
      </c>
      <c r="D703" s="9" t="str">
        <f>+'[1]BASE RED COMERCIAL'!$E701</f>
        <v>PEDRO PELLESCHI</v>
      </c>
      <c r="E703" s="7">
        <f>+'[1]BASE RED COMERCIAL'!$F701</f>
        <v>470</v>
      </c>
      <c r="F703" s="14" t="str">
        <f>+'[1]BASE RED COMERCIAL'!$I701</f>
        <v>X2681ZAA</v>
      </c>
      <c r="G703" s="7" t="str">
        <f>+'[1]BASE RED COMERCIAL'!$D701</f>
        <v>ETRURIA</v>
      </c>
      <c r="H703" s="7" t="str">
        <f>+'[1]BASE RED COMERCIAL'!$B701</f>
        <v>CORDOBA</v>
      </c>
      <c r="I703" s="8" t="str">
        <f>+'[1]BASE RED COMERCIAL'!$C701</f>
        <v>GENERAL SAN MARTIN</v>
      </c>
      <c r="J703" s="10"/>
      <c r="K703" s="10"/>
    </row>
    <row r="704" spans="1:11" x14ac:dyDescent="0.25">
      <c r="A704" s="14" t="str">
        <f>+'[1]BASE RED COMERCIAL'!$A702</f>
        <v>X0350</v>
      </c>
      <c r="B704" s="8" t="str">
        <f>+'[1]BASE RED COMERCIAL'!$H702</f>
        <v>GENERAL BALDISSERA</v>
      </c>
      <c r="C704" s="7" t="s">
        <v>33</v>
      </c>
      <c r="D704" s="9" t="str">
        <f>+'[1]BASE RED COMERCIAL'!$E702</f>
        <v>GRAL SAN MARTIN</v>
      </c>
      <c r="E704" s="7">
        <f>+'[1]BASE RED COMERCIAL'!$F702</f>
        <v>370</v>
      </c>
      <c r="F704" s="14" t="str">
        <f>+'[1]BASE RED COMERCIAL'!$I702</f>
        <v>X2583ZAA</v>
      </c>
      <c r="G704" s="7" t="str">
        <f>+'[1]BASE RED COMERCIAL'!$D702</f>
        <v>GENERAL BALDISSERA</v>
      </c>
      <c r="H704" s="7" t="str">
        <f>+'[1]BASE RED COMERCIAL'!$B702</f>
        <v>CORDOBA</v>
      </c>
      <c r="I704" s="8" t="str">
        <f>+'[1]BASE RED COMERCIAL'!$C702</f>
        <v>MARCOS JUAREZ</v>
      </c>
      <c r="J704" s="10"/>
      <c r="K704" s="10"/>
    </row>
    <row r="705" spans="1:11" x14ac:dyDescent="0.25">
      <c r="A705" s="14" t="str">
        <f>+'[1]BASE RED COMERCIAL'!$A703</f>
        <v>X0352</v>
      </c>
      <c r="B705" s="8" t="str">
        <f>+'[1]BASE RED COMERCIAL'!$H703</f>
        <v>GENERAL CABRERA</v>
      </c>
      <c r="C705" s="7" t="s">
        <v>33</v>
      </c>
      <c r="D705" s="9" t="str">
        <f>+'[1]BASE RED COMERCIAL'!$E703</f>
        <v>25 DE MAYO</v>
      </c>
      <c r="E705" s="7">
        <f>+'[1]BASE RED COMERCIAL'!$F703</f>
        <v>754</v>
      </c>
      <c r="F705" s="14" t="str">
        <f>+'[1]BASE RED COMERCIAL'!$I703</f>
        <v>X5809ZAA</v>
      </c>
      <c r="G705" s="7" t="str">
        <f>+'[1]BASE RED COMERCIAL'!$D703</f>
        <v>GENERAL CABRERA</v>
      </c>
      <c r="H705" s="7" t="str">
        <f>+'[1]BASE RED COMERCIAL'!$B703</f>
        <v>CORDOBA</v>
      </c>
      <c r="I705" s="8" t="str">
        <f>+'[1]BASE RED COMERCIAL'!$C703</f>
        <v>JUAREZ CELMAN</v>
      </c>
      <c r="J705" s="10"/>
      <c r="K705" s="10"/>
    </row>
    <row r="706" spans="1:11" x14ac:dyDescent="0.25">
      <c r="A706" s="14" t="str">
        <f>+'[1]BASE RED COMERCIAL'!$A704</f>
        <v>X0354</v>
      </c>
      <c r="B706" s="8" t="str">
        <f>+'[1]BASE RED COMERCIAL'!$H704</f>
        <v>GENERAL DEHEZA</v>
      </c>
      <c r="C706" s="7" t="s">
        <v>33</v>
      </c>
      <c r="D706" s="9" t="str">
        <f>+'[1]BASE RED COMERCIAL'!$E704</f>
        <v>GRAL CORNELIO SAAVEDRA</v>
      </c>
      <c r="E706" s="7">
        <f>+'[1]BASE RED COMERCIAL'!$F704</f>
        <v>205</v>
      </c>
      <c r="F706" s="14" t="str">
        <f>+'[1]BASE RED COMERCIAL'!$I704</f>
        <v>X5923ZAA</v>
      </c>
      <c r="G706" s="7" t="str">
        <f>+'[1]BASE RED COMERCIAL'!$D704</f>
        <v>GENERAL DEHEZA</v>
      </c>
      <c r="H706" s="7" t="str">
        <f>+'[1]BASE RED COMERCIAL'!$B704</f>
        <v>CORDOBA</v>
      </c>
      <c r="I706" s="8" t="str">
        <f>+'[1]BASE RED COMERCIAL'!$C704</f>
        <v>JUAREZ CELMAN</v>
      </c>
      <c r="J706" s="10"/>
      <c r="K706" s="10"/>
    </row>
    <row r="707" spans="1:11" x14ac:dyDescent="0.25">
      <c r="A707" s="14" t="str">
        <f>+'[1]BASE RED COMERCIAL'!$A705</f>
        <v>X0356</v>
      </c>
      <c r="B707" s="8" t="str">
        <f>+'[1]BASE RED COMERCIAL'!$H705</f>
        <v>GENERAL LEVALLE</v>
      </c>
      <c r="C707" s="7" t="s">
        <v>33</v>
      </c>
      <c r="D707" s="9" t="str">
        <f>+'[1]BASE RED COMERCIAL'!$E705</f>
        <v>CARLOS PELLEGRINI</v>
      </c>
      <c r="E707" s="7">
        <f>+'[1]BASE RED COMERCIAL'!$F705</f>
        <v>200</v>
      </c>
      <c r="F707" s="14" t="str">
        <f>+'[1]BASE RED COMERCIAL'!$I705</f>
        <v>X6132ZAA</v>
      </c>
      <c r="G707" s="7" t="str">
        <f>+'[1]BASE RED COMERCIAL'!$D705</f>
        <v>GENERAL LEVALLE</v>
      </c>
      <c r="H707" s="7" t="str">
        <f>+'[1]BASE RED COMERCIAL'!$B705</f>
        <v>CORDOBA</v>
      </c>
      <c r="I707" s="8" t="str">
        <f>+'[1]BASE RED COMERCIAL'!$C705</f>
        <v>PRESIDENTE ROQUE SAENZ PEÃ‘A</v>
      </c>
      <c r="J707" s="10"/>
      <c r="K707" s="10"/>
    </row>
    <row r="708" spans="1:11" x14ac:dyDescent="0.25">
      <c r="A708" s="14" t="str">
        <f>+'[1]BASE RED COMERCIAL'!$A706</f>
        <v>X0358</v>
      </c>
      <c r="B708" s="8" t="str">
        <f>+'[1]BASE RED COMERCIAL'!$H706</f>
        <v>GENERAL ROCA</v>
      </c>
      <c r="C708" s="7" t="s">
        <v>33</v>
      </c>
      <c r="D708" s="9" t="str">
        <f>+'[1]BASE RED COMERCIAL'!$E706</f>
        <v>DR NICOLAS AVELLANEDA</v>
      </c>
      <c r="E708" s="7">
        <f>+'[1]BASE RED COMERCIAL'!$F706</f>
        <v>403</v>
      </c>
      <c r="F708" s="14" t="str">
        <f>+'[1]BASE RED COMERCIAL'!$I706</f>
        <v>X2592ZAA</v>
      </c>
      <c r="G708" s="7" t="str">
        <f>+'[1]BASE RED COMERCIAL'!$D706</f>
        <v>GENERAL ROCA</v>
      </c>
      <c r="H708" s="7" t="str">
        <f>+'[1]BASE RED COMERCIAL'!$B706</f>
        <v>CORDOBA</v>
      </c>
      <c r="I708" s="8" t="str">
        <f>+'[1]BASE RED COMERCIAL'!$C706</f>
        <v>MARCOS JUAREZ</v>
      </c>
      <c r="J708" s="10"/>
      <c r="K708" s="10"/>
    </row>
    <row r="709" spans="1:11" x14ac:dyDescent="0.25">
      <c r="A709" s="14" t="str">
        <f>+'[1]BASE RED COMERCIAL'!$A707</f>
        <v>X0362</v>
      </c>
      <c r="B709" s="8" t="str">
        <f>+'[1]BASE RED COMERCIAL'!$H707</f>
        <v>GIGENA</v>
      </c>
      <c r="C709" s="7" t="s">
        <v>33</v>
      </c>
      <c r="D709" s="9" t="str">
        <f>+'[1]BASE RED COMERCIAL'!$E707</f>
        <v>INDEPENDENCIA</v>
      </c>
      <c r="E709" s="7">
        <f>+'[1]BASE RED COMERCIAL'!$F707</f>
        <v>130</v>
      </c>
      <c r="F709" s="14" t="str">
        <f>+'[1]BASE RED COMERCIAL'!$I707</f>
        <v>X5813ZAB</v>
      </c>
      <c r="G709" s="7" t="str">
        <f>+'[1]BASE RED COMERCIAL'!$D707</f>
        <v>ALCIRA ESTACION GIGENA</v>
      </c>
      <c r="H709" s="7" t="str">
        <f>+'[1]BASE RED COMERCIAL'!$B707</f>
        <v>CORDOBA</v>
      </c>
      <c r="I709" s="8" t="str">
        <f>+'[1]BASE RED COMERCIAL'!$C707</f>
        <v>RIO CUARTO</v>
      </c>
      <c r="J709" s="10"/>
      <c r="K709" s="10"/>
    </row>
    <row r="710" spans="1:11" x14ac:dyDescent="0.25">
      <c r="A710" s="14" t="str">
        <f>+'[1]BASE RED COMERCIAL'!$A708</f>
        <v>X0364</v>
      </c>
      <c r="B710" s="8" t="str">
        <f>+'[1]BASE RED COMERCIAL'!$H708</f>
        <v>GUATMOZIN</v>
      </c>
      <c r="C710" s="7" t="s">
        <v>33</v>
      </c>
      <c r="D710" s="9" t="str">
        <f>+'[1]BASE RED COMERCIAL'!$E708</f>
        <v>CORRIENTES</v>
      </c>
      <c r="E710" s="7">
        <f>+'[1]BASE RED COMERCIAL'!$F708</f>
        <v>297</v>
      </c>
      <c r="F710" s="14" t="str">
        <f>+'[1]BASE RED COMERCIAL'!$I708</f>
        <v>X2627ZAA</v>
      </c>
      <c r="G710" s="7" t="str">
        <f>+'[1]BASE RED COMERCIAL'!$D708</f>
        <v>GUATIMOZIN</v>
      </c>
      <c r="H710" s="7" t="str">
        <f>+'[1]BASE RED COMERCIAL'!$B708</f>
        <v>CORDOBA</v>
      </c>
      <c r="I710" s="8" t="str">
        <f>+'[1]BASE RED COMERCIAL'!$C708</f>
        <v>MARCOS JUAREZ</v>
      </c>
      <c r="J710" s="10"/>
      <c r="K710" s="10"/>
    </row>
    <row r="711" spans="1:11" x14ac:dyDescent="0.25">
      <c r="A711" s="14" t="str">
        <f>+'[1]BASE RED COMERCIAL'!$A709</f>
        <v>X0366</v>
      </c>
      <c r="B711" s="8" t="str">
        <f>+'[1]BASE RED COMERCIAL'!$H709</f>
        <v>HERNANDO</v>
      </c>
      <c r="C711" s="7" t="s">
        <v>33</v>
      </c>
      <c r="D711" s="9" t="str">
        <f>+'[1]BASE RED COMERCIAL'!$E709</f>
        <v>DR MANUEL BELGRANO</v>
      </c>
      <c r="E711" s="7">
        <f>+'[1]BASE RED COMERCIAL'!$F709</f>
        <v>316</v>
      </c>
      <c r="F711" s="14" t="str">
        <f>+'[1]BASE RED COMERCIAL'!$I709</f>
        <v>X5968ZAA</v>
      </c>
      <c r="G711" s="7" t="str">
        <f>+'[1]BASE RED COMERCIAL'!$D709</f>
        <v>HERNANDO</v>
      </c>
      <c r="H711" s="7" t="str">
        <f>+'[1]BASE RED COMERCIAL'!$B709</f>
        <v>CORDOBA</v>
      </c>
      <c r="I711" s="8" t="str">
        <f>+'[1]BASE RED COMERCIAL'!$C709</f>
        <v>TERCERO ARRIBA</v>
      </c>
      <c r="J711" s="10"/>
      <c r="K711" s="10"/>
    </row>
    <row r="712" spans="1:11" x14ac:dyDescent="0.25">
      <c r="A712" s="14" t="str">
        <f>+'[1]BASE RED COMERCIAL'!$A710</f>
        <v>X0368</v>
      </c>
      <c r="B712" s="8" t="str">
        <f>+'[1]BASE RED COMERCIAL'!$H710</f>
        <v>HIPOLITO BOUCHARD</v>
      </c>
      <c r="C712" s="7" t="s">
        <v>33</v>
      </c>
      <c r="D712" s="9" t="str">
        <f>+'[1]BASE RED COMERCIAL'!$E710</f>
        <v>AV SAN MARTIN</v>
      </c>
      <c r="E712" s="7">
        <f>+'[1]BASE RED COMERCIAL'!$F710</f>
        <v>0</v>
      </c>
      <c r="F712" s="14" t="str">
        <f>+'[1]BASE RED COMERCIAL'!$I710</f>
        <v>X6225ZAA</v>
      </c>
      <c r="G712" s="7" t="str">
        <f>+'[1]BASE RED COMERCIAL'!$D710</f>
        <v>HIPOLITO BOUCHARD</v>
      </c>
      <c r="H712" s="7" t="str">
        <f>+'[1]BASE RED COMERCIAL'!$B710</f>
        <v>CORDOBA</v>
      </c>
      <c r="I712" s="8" t="str">
        <f>+'[1]BASE RED COMERCIAL'!$C710</f>
        <v>GENERAL ROCA</v>
      </c>
      <c r="J712" s="10"/>
      <c r="K712" s="10"/>
    </row>
    <row r="713" spans="1:11" x14ac:dyDescent="0.25">
      <c r="A713" s="14" t="str">
        <f>+'[1]BASE RED COMERCIAL'!$A711</f>
        <v>X0370</v>
      </c>
      <c r="B713" s="8" t="str">
        <f>+'[1]BASE RED COMERCIAL'!$H711</f>
        <v>HOLMBERG</v>
      </c>
      <c r="C713" s="7" t="s">
        <v>33</v>
      </c>
      <c r="D713" s="9" t="str">
        <f>+'[1]BASE RED COMERCIAL'!$E711</f>
        <v>AV. GRAL PAZ 363</v>
      </c>
      <c r="E713" s="7">
        <f>+'[1]BASE RED COMERCIAL'!$F711</f>
        <v>0</v>
      </c>
      <c r="F713" s="14" t="str">
        <f>+'[1]BASE RED COMERCIAL'!$I711</f>
        <v>X5825ZAA</v>
      </c>
      <c r="G713" s="7" t="str">
        <f>+'[1]BASE RED COMERCIAL'!$D711</f>
        <v>HOLMBERG</v>
      </c>
      <c r="H713" s="7" t="str">
        <f>+'[1]BASE RED COMERCIAL'!$B711</f>
        <v>CORDOBA</v>
      </c>
      <c r="I713" s="8" t="str">
        <f>+'[1]BASE RED COMERCIAL'!$C711</f>
        <v>RIO CUARTO</v>
      </c>
      <c r="J713" s="10"/>
      <c r="K713" s="10"/>
    </row>
    <row r="714" spans="1:11" x14ac:dyDescent="0.25">
      <c r="A714" s="14" t="str">
        <f>+'[1]BASE RED COMERCIAL'!$A712</f>
        <v>X0374</v>
      </c>
      <c r="B714" s="8" t="str">
        <f>+'[1]BASE RED COMERCIAL'!$H712</f>
        <v>HUINCA RENANCO</v>
      </c>
      <c r="C714" s="7" t="s">
        <v>33</v>
      </c>
      <c r="D714" s="9" t="str">
        <f>+'[1]BASE RED COMERCIAL'!$E712</f>
        <v>SAN LUIS</v>
      </c>
      <c r="E714" s="7">
        <f>+'[1]BASE RED COMERCIAL'!$F712</f>
        <v>26</v>
      </c>
      <c r="F714" s="14" t="str">
        <f>+'[1]BASE RED COMERCIAL'!$I712</f>
        <v>X6270ZAA</v>
      </c>
      <c r="G714" s="7" t="str">
        <f>+'[1]BASE RED COMERCIAL'!$D712</f>
        <v>HUINCA RENANCO</v>
      </c>
      <c r="H714" s="7" t="str">
        <f>+'[1]BASE RED COMERCIAL'!$B712</f>
        <v>CORDOBA</v>
      </c>
      <c r="I714" s="8" t="str">
        <f>+'[1]BASE RED COMERCIAL'!$C712</f>
        <v>GENERAL ROCA</v>
      </c>
      <c r="J714" s="10"/>
      <c r="K714" s="10"/>
    </row>
    <row r="715" spans="1:11" x14ac:dyDescent="0.25">
      <c r="A715" s="14" t="str">
        <f>+'[1]BASE RED COMERCIAL'!$A713</f>
        <v>X0376</v>
      </c>
      <c r="B715" s="8" t="str">
        <f>+'[1]BASE RED COMERCIAL'!$H713</f>
        <v>IDIAZABAL</v>
      </c>
      <c r="C715" s="7" t="s">
        <v>33</v>
      </c>
      <c r="D715" s="9" t="str">
        <f>+'[1]BASE RED COMERCIAL'!$E713</f>
        <v>PTE D F SARMIENTO</v>
      </c>
      <c r="E715" s="7">
        <f>+'[1]BASE RED COMERCIAL'!$F713</f>
        <v>485</v>
      </c>
      <c r="F715" s="14" t="str">
        <f>+'[1]BASE RED COMERCIAL'!$I713</f>
        <v>X2557ZAA</v>
      </c>
      <c r="G715" s="7" t="str">
        <f>+'[1]BASE RED COMERCIAL'!$D713</f>
        <v>IDIAZABAL</v>
      </c>
      <c r="H715" s="7" t="str">
        <f>+'[1]BASE RED COMERCIAL'!$B713</f>
        <v>CORDOBA</v>
      </c>
      <c r="I715" s="8" t="str">
        <f>+'[1]BASE RED COMERCIAL'!$C713</f>
        <v>UNION</v>
      </c>
      <c r="J715" s="10"/>
      <c r="K715" s="10"/>
    </row>
    <row r="716" spans="1:11" x14ac:dyDescent="0.25">
      <c r="A716" s="14" t="str">
        <f>+'[1]BASE RED COMERCIAL'!$A714</f>
        <v>X0378</v>
      </c>
      <c r="B716" s="8" t="str">
        <f>+'[1]BASE RED COMERCIAL'!$H714</f>
        <v>INRIVILLE</v>
      </c>
      <c r="C716" s="7" t="s">
        <v>33</v>
      </c>
      <c r="D716" s="9" t="str">
        <f>+'[1]BASE RED COMERCIAL'!$E714</f>
        <v>DR MARIANO MORENO</v>
      </c>
      <c r="E716" s="7">
        <f>+'[1]BASE RED COMERCIAL'!$F714</f>
        <v>102</v>
      </c>
      <c r="F716" s="14" t="str">
        <f>+'[1]BASE RED COMERCIAL'!$I714</f>
        <v>X2587ZAA</v>
      </c>
      <c r="G716" s="7" t="str">
        <f>+'[1]BASE RED COMERCIAL'!$D714</f>
        <v>INRIVILLE</v>
      </c>
      <c r="H716" s="7" t="str">
        <f>+'[1]BASE RED COMERCIAL'!$B714</f>
        <v>CORDOBA</v>
      </c>
      <c r="I716" s="8" t="str">
        <f>+'[1]BASE RED COMERCIAL'!$C714</f>
        <v>MARCOS JUAREZ</v>
      </c>
      <c r="J716" s="10"/>
      <c r="K716" s="10"/>
    </row>
    <row r="717" spans="1:11" x14ac:dyDescent="0.25">
      <c r="A717" s="14" t="str">
        <f>+'[1]BASE RED COMERCIAL'!$A715</f>
        <v>X0380</v>
      </c>
      <c r="B717" s="8" t="str">
        <f>+'[1]BASE RED COMERCIAL'!$H715</f>
        <v>ISLA VERDE</v>
      </c>
      <c r="C717" s="7" t="s">
        <v>33</v>
      </c>
      <c r="D717" s="9" t="str">
        <f>+'[1]BASE RED COMERCIAL'!$E715</f>
        <v>MANUEL BELGRANO</v>
      </c>
      <c r="E717" s="7">
        <f>+'[1]BASE RED COMERCIAL'!$F715</f>
        <v>50</v>
      </c>
      <c r="F717" s="14" t="str">
        <f>+'[1]BASE RED COMERCIAL'!$I715</f>
        <v>X2661ZAA</v>
      </c>
      <c r="G717" s="7" t="str">
        <f>+'[1]BASE RED COMERCIAL'!$D715</f>
        <v>ISLA VERDE</v>
      </c>
      <c r="H717" s="7" t="str">
        <f>+'[1]BASE RED COMERCIAL'!$B715</f>
        <v>CORDOBA</v>
      </c>
      <c r="I717" s="8" t="str">
        <f>+'[1]BASE RED COMERCIAL'!$C715</f>
        <v>MARCOS JUAREZ</v>
      </c>
      <c r="J717" s="10"/>
      <c r="K717" s="10"/>
    </row>
    <row r="718" spans="1:11" x14ac:dyDescent="0.25">
      <c r="A718" s="14" t="str">
        <f>+'[1]BASE RED COMERCIAL'!$A716</f>
        <v>X0382</v>
      </c>
      <c r="B718" s="8" t="str">
        <f>+'[1]BASE RED COMERCIAL'!$H716</f>
        <v>ITALO</v>
      </c>
      <c r="C718" s="7" t="s">
        <v>33</v>
      </c>
      <c r="D718" s="9" t="str">
        <f>+'[1]BASE RED COMERCIAL'!$E716</f>
        <v>MANUEL BELGRANO</v>
      </c>
      <c r="E718" s="7">
        <f>+'[1]BASE RED COMERCIAL'!$F716</f>
        <v>314</v>
      </c>
      <c r="F718" s="14" t="str">
        <f>+'[1]BASE RED COMERCIAL'!$I716</f>
        <v>X6276ZAA</v>
      </c>
      <c r="G718" s="7" t="str">
        <f>+'[1]BASE RED COMERCIAL'!$D716</f>
        <v>ITALO</v>
      </c>
      <c r="H718" s="7" t="str">
        <f>+'[1]BASE RED COMERCIAL'!$B716</f>
        <v>CORDOBA</v>
      </c>
      <c r="I718" s="8" t="str">
        <f>+'[1]BASE RED COMERCIAL'!$C716</f>
        <v>GENERAL ROCA</v>
      </c>
      <c r="J718" s="10"/>
      <c r="K718" s="10"/>
    </row>
    <row r="719" spans="1:11" x14ac:dyDescent="0.25">
      <c r="A719" s="14" t="str">
        <f>+'[1]BASE RED COMERCIAL'!$A717</f>
        <v>X0384</v>
      </c>
      <c r="B719" s="8" t="str">
        <f>+'[1]BASE RED COMERCIAL'!$H717</f>
        <v>JOVITA</v>
      </c>
      <c r="C719" s="7" t="s">
        <v>33</v>
      </c>
      <c r="D719" s="9" t="str">
        <f>+'[1]BASE RED COMERCIAL'!$E717</f>
        <v>L N ALEM</v>
      </c>
      <c r="E719" s="7">
        <f>+'[1]BASE RED COMERCIAL'!$F717</f>
        <v>202</v>
      </c>
      <c r="F719" s="14" t="str">
        <f>+'[1]BASE RED COMERCIAL'!$I717</f>
        <v>X6127ZAA</v>
      </c>
      <c r="G719" s="7" t="str">
        <f>+'[1]BASE RED COMERCIAL'!$D717</f>
        <v>JOVITA</v>
      </c>
      <c r="H719" s="7" t="str">
        <f>+'[1]BASE RED COMERCIAL'!$B717</f>
        <v>CORDOBA</v>
      </c>
      <c r="I719" s="8" t="str">
        <f>+'[1]BASE RED COMERCIAL'!$C717</f>
        <v>GENERAL ROCA</v>
      </c>
      <c r="J719" s="10"/>
      <c r="K719" s="10"/>
    </row>
    <row r="720" spans="1:11" x14ac:dyDescent="0.25">
      <c r="A720" s="14" t="str">
        <f>+'[1]BASE RED COMERCIAL'!$A718</f>
        <v>X0386</v>
      </c>
      <c r="B720" s="8" t="str">
        <f>+'[1]BASE RED COMERCIAL'!$H718</f>
        <v>JUSTINIANO POSSE</v>
      </c>
      <c r="C720" s="7" t="s">
        <v>33</v>
      </c>
      <c r="D720" s="9" t="str">
        <f>+'[1]BASE RED COMERCIAL'!$E718</f>
        <v>AV DE MAYO</v>
      </c>
      <c r="E720" s="7">
        <f>+'[1]BASE RED COMERCIAL'!$F718</f>
        <v>295</v>
      </c>
      <c r="F720" s="14" t="str">
        <f>+'[1]BASE RED COMERCIAL'!$I718</f>
        <v>X2553ZAA</v>
      </c>
      <c r="G720" s="7" t="str">
        <f>+'[1]BASE RED COMERCIAL'!$D718</f>
        <v>JUSTINIANO POSSE</v>
      </c>
      <c r="H720" s="7" t="str">
        <f>+'[1]BASE RED COMERCIAL'!$B718</f>
        <v>CORDOBA</v>
      </c>
      <c r="I720" s="8" t="str">
        <f>+'[1]BASE RED COMERCIAL'!$C718</f>
        <v>UNION</v>
      </c>
      <c r="J720" s="10"/>
      <c r="K720" s="10"/>
    </row>
    <row r="721" spans="1:11" x14ac:dyDescent="0.25">
      <c r="A721" s="14" t="str">
        <f>+'[1]BASE RED COMERCIAL'!$A719</f>
        <v>X0388</v>
      </c>
      <c r="B721" s="8" t="str">
        <f>+'[1]BASE RED COMERCIAL'!$H719</f>
        <v>JAMES CRAIK</v>
      </c>
      <c r="C721" s="7" t="s">
        <v>33</v>
      </c>
      <c r="D721" s="9" t="str">
        <f>+'[1]BASE RED COMERCIAL'!$E719</f>
        <v>GRAL SAN MARTIN</v>
      </c>
      <c r="E721" s="7">
        <f>+'[1]BASE RED COMERCIAL'!$F719</f>
        <v>373</v>
      </c>
      <c r="F721" s="14" t="str">
        <f>+'[1]BASE RED COMERCIAL'!$I719</f>
        <v>X5984ZAA</v>
      </c>
      <c r="G721" s="7" t="str">
        <f>+'[1]BASE RED COMERCIAL'!$D719</f>
        <v>JAMES CRAIK</v>
      </c>
      <c r="H721" s="7" t="str">
        <f>+'[1]BASE RED COMERCIAL'!$B719</f>
        <v>CORDOBA</v>
      </c>
      <c r="I721" s="8" t="str">
        <f>+'[1]BASE RED COMERCIAL'!$C719</f>
        <v>TERCERO ARRIBA</v>
      </c>
      <c r="J721" s="10"/>
      <c r="K721" s="10"/>
    </row>
    <row r="722" spans="1:11" x14ac:dyDescent="0.25">
      <c r="A722" s="14" t="str">
        <f>+'[1]BASE RED COMERCIAL'!$A720</f>
        <v>X0390</v>
      </c>
      <c r="B722" s="8" t="str">
        <f>+'[1]BASE RED COMERCIAL'!$H720</f>
        <v>LA CRUZ</v>
      </c>
      <c r="C722" s="7" t="s">
        <v>33</v>
      </c>
      <c r="D722" s="9" t="str">
        <f>+'[1]BASE RED COMERCIAL'!$E720</f>
        <v>SARMIENTO</v>
      </c>
      <c r="E722" s="7">
        <f>+'[1]BASE RED COMERCIAL'!$F720</f>
        <v>462</v>
      </c>
      <c r="F722" s="14" t="str">
        <f>+'[1]BASE RED COMERCIAL'!$I720</f>
        <v>X5859ZAA</v>
      </c>
      <c r="G722" s="7" t="str">
        <f>+'[1]BASE RED COMERCIAL'!$D720</f>
        <v>LA CRUZ</v>
      </c>
      <c r="H722" s="7" t="str">
        <f>+'[1]BASE RED COMERCIAL'!$B720</f>
        <v>CORDOBA</v>
      </c>
      <c r="I722" s="8" t="str">
        <f>+'[1]BASE RED COMERCIAL'!$C720</f>
        <v>CALAMUCHITA</v>
      </c>
      <c r="J722" s="10"/>
      <c r="K722" s="10"/>
    </row>
    <row r="723" spans="1:11" x14ac:dyDescent="0.25">
      <c r="A723" s="14" t="str">
        <f>+'[1]BASE RED COMERCIAL'!$A721</f>
        <v>X0392</v>
      </c>
      <c r="B723" s="8" t="str">
        <f>+'[1]BASE RED COMERCIAL'!$H721</f>
        <v>LA PLAYOSA</v>
      </c>
      <c r="C723" s="7" t="s">
        <v>33</v>
      </c>
      <c r="D723" s="9" t="str">
        <f>+'[1]BASE RED COMERCIAL'!$E721</f>
        <v>FERNANDEZ</v>
      </c>
      <c r="E723" s="7">
        <f>+'[1]BASE RED COMERCIAL'!$F721</f>
        <v>99</v>
      </c>
      <c r="F723" s="14" t="str">
        <f>+'[1]BASE RED COMERCIAL'!$I721</f>
        <v>X5911ZAA</v>
      </c>
      <c r="G723" s="7" t="str">
        <f>+'[1]BASE RED COMERCIAL'!$D721</f>
        <v>LA PLAYOSA</v>
      </c>
      <c r="H723" s="7" t="str">
        <f>+'[1]BASE RED COMERCIAL'!$B721</f>
        <v>CORDOBA</v>
      </c>
      <c r="I723" s="8" t="str">
        <f>+'[1]BASE RED COMERCIAL'!$C721</f>
        <v>GENERAL SAN MARTIN</v>
      </c>
      <c r="J723" s="10"/>
      <c r="K723" s="10"/>
    </row>
    <row r="724" spans="1:11" x14ac:dyDescent="0.25">
      <c r="A724" s="14" t="str">
        <f>+'[1]BASE RED COMERCIAL'!$A722</f>
        <v>X0394</v>
      </c>
      <c r="B724" s="8" t="str">
        <f>+'[1]BASE RED COMERCIAL'!$H722</f>
        <v>LA CARLOTA</v>
      </c>
      <c r="C724" s="7" t="s">
        <v>33</v>
      </c>
      <c r="D724" s="9" t="str">
        <f>+'[1]BASE RED COMERCIAL'!$E722</f>
        <v>GRAL PAZ</v>
      </c>
      <c r="E724" s="7">
        <f>+'[1]BASE RED COMERCIAL'!$F722</f>
        <v>1</v>
      </c>
      <c r="F724" s="14" t="str">
        <f>+'[1]BASE RED COMERCIAL'!$I722</f>
        <v>X2670ZAA</v>
      </c>
      <c r="G724" s="7" t="str">
        <f>+'[1]BASE RED COMERCIAL'!$D722</f>
        <v>LA CARLOTA</v>
      </c>
      <c r="H724" s="7" t="str">
        <f>+'[1]BASE RED COMERCIAL'!$B722</f>
        <v>CORDOBA</v>
      </c>
      <c r="I724" s="8" t="str">
        <f>+'[1]BASE RED COMERCIAL'!$C722</f>
        <v>JUAREZ CELMAN</v>
      </c>
      <c r="J724" s="10"/>
      <c r="K724" s="10"/>
    </row>
    <row r="725" spans="1:11" x14ac:dyDescent="0.25">
      <c r="A725" s="14" t="str">
        <f>+'[1]BASE RED COMERCIAL'!$A723</f>
        <v>X0398</v>
      </c>
      <c r="B725" s="8" t="str">
        <f>+'[1]BASE RED COMERCIAL'!$H723</f>
        <v>LABORDE</v>
      </c>
      <c r="C725" s="7" t="s">
        <v>33</v>
      </c>
      <c r="D725" s="9" t="str">
        <f>+'[1]BASE RED COMERCIAL'!$E723</f>
        <v>CASTRO BARROS</v>
      </c>
      <c r="E725" s="7">
        <f>+'[1]BASE RED COMERCIAL'!$F723</f>
        <v>494</v>
      </c>
      <c r="F725" s="14" t="str">
        <f>+'[1]BASE RED COMERCIAL'!$I723</f>
        <v>X2657ZAA</v>
      </c>
      <c r="G725" s="7" t="str">
        <f>+'[1]BASE RED COMERCIAL'!$D723</f>
        <v>LABORDE</v>
      </c>
      <c r="H725" s="7" t="str">
        <f>+'[1]BASE RED COMERCIAL'!$B723</f>
        <v>CORDOBA</v>
      </c>
      <c r="I725" s="8" t="str">
        <f>+'[1]BASE RED COMERCIAL'!$C723</f>
        <v>UNION</v>
      </c>
      <c r="J725" s="10"/>
      <c r="K725" s="10"/>
    </row>
    <row r="726" spans="1:11" x14ac:dyDescent="0.25">
      <c r="A726" s="14" t="str">
        <f>+'[1]BASE RED COMERCIAL'!$A724</f>
        <v>X0400</v>
      </c>
      <c r="B726" s="8" t="str">
        <f>+'[1]BASE RED COMERCIAL'!$H724</f>
        <v>LABOULAYE</v>
      </c>
      <c r="C726" s="7" t="s">
        <v>33</v>
      </c>
      <c r="D726" s="9" t="str">
        <f>+'[1]BASE RED COMERCIAL'!$E724</f>
        <v>AV INDEPENDENCIA</v>
      </c>
      <c r="E726" s="7">
        <f>+'[1]BASE RED COMERCIAL'!$F724</f>
        <v>266</v>
      </c>
      <c r="F726" s="14" t="str">
        <f>+'[1]BASE RED COMERCIAL'!$I724</f>
        <v>X6120ZAA</v>
      </c>
      <c r="G726" s="7" t="str">
        <f>+'[1]BASE RED COMERCIAL'!$D724</f>
        <v>LABOULAYE</v>
      </c>
      <c r="H726" s="7" t="str">
        <f>+'[1]BASE RED COMERCIAL'!$B724</f>
        <v>CORDOBA</v>
      </c>
      <c r="I726" s="8" t="str">
        <f>+'[1]BASE RED COMERCIAL'!$C724</f>
        <v>PRESIDENTE ROQUE SAENZ PEÃ‘A</v>
      </c>
      <c r="J726" s="10"/>
      <c r="K726" s="10"/>
    </row>
    <row r="727" spans="1:11" x14ac:dyDescent="0.25">
      <c r="A727" s="14" t="str">
        <f>+'[1]BASE RED COMERCIAL'!$A725</f>
        <v>X0404</v>
      </c>
      <c r="B727" s="8" t="str">
        <f>+'[1]BASE RED COMERCIAL'!$H725</f>
        <v>LAS PERDICES</v>
      </c>
      <c r="C727" s="7" t="s">
        <v>33</v>
      </c>
      <c r="D727" s="9" t="str">
        <f>+'[1]BASE RED COMERCIAL'!$E725</f>
        <v>B RIVADAVIA</v>
      </c>
      <c r="E727" s="7">
        <f>+'[1]BASE RED COMERCIAL'!$F725</f>
        <v>751</v>
      </c>
      <c r="F727" s="14" t="str">
        <f>+'[1]BASE RED COMERCIAL'!$I725</f>
        <v>X5921ZAA</v>
      </c>
      <c r="G727" s="7" t="str">
        <f>+'[1]BASE RED COMERCIAL'!$D725</f>
        <v>LAS PERDICES</v>
      </c>
      <c r="H727" s="7" t="str">
        <f>+'[1]BASE RED COMERCIAL'!$B725</f>
        <v>CORDOBA</v>
      </c>
      <c r="I727" s="8" t="str">
        <f>+'[1]BASE RED COMERCIAL'!$C725</f>
        <v>TERCERO ARRIBA</v>
      </c>
      <c r="J727" s="10"/>
      <c r="K727" s="10"/>
    </row>
    <row r="728" spans="1:11" x14ac:dyDescent="0.25">
      <c r="A728" s="14" t="str">
        <f>+'[1]BASE RED COMERCIAL'!$A726</f>
        <v>X0406</v>
      </c>
      <c r="B728" s="8" t="str">
        <f>+'[1]BASE RED COMERCIAL'!$H726</f>
        <v>LEONES</v>
      </c>
      <c r="C728" s="7" t="s">
        <v>33</v>
      </c>
      <c r="D728" s="9" t="str">
        <f>+'[1]BASE RED COMERCIAL'!$E726</f>
        <v>RAMON INFANTES</v>
      </c>
      <c r="E728" s="7">
        <f>+'[1]BASE RED COMERCIAL'!$F726</f>
        <v>495</v>
      </c>
      <c r="F728" s="14" t="str">
        <f>+'[1]BASE RED COMERCIAL'!$I726</f>
        <v>X2594ZAA</v>
      </c>
      <c r="G728" s="7" t="str">
        <f>+'[1]BASE RED COMERCIAL'!$D726</f>
        <v>LEONES</v>
      </c>
      <c r="H728" s="7" t="str">
        <f>+'[1]BASE RED COMERCIAL'!$B726</f>
        <v>CORDOBA</v>
      </c>
      <c r="I728" s="8" t="str">
        <f>+'[1]BASE RED COMERCIAL'!$C726</f>
        <v>MARCOS JUAREZ</v>
      </c>
      <c r="J728" s="10"/>
      <c r="K728" s="10"/>
    </row>
    <row r="729" spans="1:11" x14ac:dyDescent="0.25">
      <c r="A729" s="14" t="str">
        <f>+'[1]BASE RED COMERCIAL'!$A727</f>
        <v>X0408</v>
      </c>
      <c r="B729" s="8" t="str">
        <f>+'[1]BASE RED COMERCIAL'!$H727</f>
        <v>LOS SURGENTES</v>
      </c>
      <c r="C729" s="7" t="s">
        <v>33</v>
      </c>
      <c r="D729" s="9" t="str">
        <f>+'[1]BASE RED COMERCIAL'!$E727</f>
        <v>GDOR GARZON</v>
      </c>
      <c r="E729" s="7">
        <f>+'[1]BASE RED COMERCIAL'!$F727</f>
        <v>598</v>
      </c>
      <c r="F729" s="14" t="str">
        <f>+'[1]BASE RED COMERCIAL'!$I727</f>
        <v>X2581ZAA</v>
      </c>
      <c r="G729" s="7" t="str">
        <f>+'[1]BASE RED COMERCIAL'!$D727</f>
        <v>LOS SURGENTES</v>
      </c>
      <c r="H729" s="7" t="str">
        <f>+'[1]BASE RED COMERCIAL'!$B727</f>
        <v>CORDOBA</v>
      </c>
      <c r="I729" s="8" t="str">
        <f>+'[1]BASE RED COMERCIAL'!$C727</f>
        <v>MARCOS JUAREZ</v>
      </c>
      <c r="J729" s="10"/>
      <c r="K729" s="10"/>
    </row>
    <row r="730" spans="1:11" x14ac:dyDescent="0.25">
      <c r="A730" s="14" t="str">
        <f>+'[1]BASE RED COMERCIAL'!$A728</f>
        <v>X0410</v>
      </c>
      <c r="B730" s="8" t="str">
        <f>+'[1]BASE RED COMERCIAL'!$H728</f>
        <v>LOS CONDORES</v>
      </c>
      <c r="C730" s="7" t="s">
        <v>33</v>
      </c>
      <c r="D730" s="9" t="str">
        <f>+'[1]BASE RED COMERCIAL'!$E728</f>
        <v>AV DON BOSCO</v>
      </c>
      <c r="E730" s="7">
        <f>+'[1]BASE RED COMERCIAL'!$F728</f>
        <v>330</v>
      </c>
      <c r="F730" s="14" t="str">
        <f>+'[1]BASE RED COMERCIAL'!$I728</f>
        <v>X5823ZAA</v>
      </c>
      <c r="G730" s="7" t="str">
        <f>+'[1]BASE RED COMERCIAL'!$D728</f>
        <v>LOS CONDORES</v>
      </c>
      <c r="H730" s="7" t="str">
        <f>+'[1]BASE RED COMERCIAL'!$B728</f>
        <v>CORDOBA</v>
      </c>
      <c r="I730" s="8" t="str">
        <f>+'[1]BASE RED COMERCIAL'!$C728</f>
        <v>CALAMUCHITA</v>
      </c>
      <c r="J730" s="10"/>
      <c r="K730" s="10"/>
    </row>
    <row r="731" spans="1:11" x14ac:dyDescent="0.25">
      <c r="A731" s="14" t="str">
        <f>+'[1]BASE RED COMERCIAL'!$A729</f>
        <v>X0412</v>
      </c>
      <c r="B731" s="8" t="str">
        <f>+'[1]BASE RED COMERCIAL'!$H729</f>
        <v>LAS HIGUERAS</v>
      </c>
      <c r="C731" s="7" t="s">
        <v>33</v>
      </c>
      <c r="D731" s="9" t="str">
        <f>+'[1]BASE RED COMERCIAL'!$E729</f>
        <v>JORGE NEWBERY</v>
      </c>
      <c r="E731" s="7">
        <f>+'[1]BASE RED COMERCIAL'!$F729</f>
        <v>174</v>
      </c>
      <c r="F731" s="14" t="str">
        <f>+'[1]BASE RED COMERCIAL'!$I729</f>
        <v>X5805ZAA</v>
      </c>
      <c r="G731" s="7" t="str">
        <f>+'[1]BASE RED COMERCIAL'!$D729</f>
        <v>LAS HIGUERAS</v>
      </c>
      <c r="H731" s="7" t="str">
        <f>+'[1]BASE RED COMERCIAL'!$B729</f>
        <v>CORDOBA</v>
      </c>
      <c r="I731" s="8" t="str">
        <f>+'[1]BASE RED COMERCIAL'!$C729</f>
        <v>RIO CUARTO</v>
      </c>
      <c r="J731" s="10"/>
      <c r="K731" s="10"/>
    </row>
    <row r="732" spans="1:11" x14ac:dyDescent="0.25">
      <c r="A732" s="14" t="str">
        <f>+'[1]BASE RED COMERCIAL'!$A730</f>
        <v>X0414</v>
      </c>
      <c r="B732" s="8" t="str">
        <f>+'[1]BASE RED COMERCIAL'!$H730</f>
        <v>MARCOS JUAREZ</v>
      </c>
      <c r="C732" s="7" t="s">
        <v>33</v>
      </c>
      <c r="D732" s="9" t="str">
        <f>+'[1]BASE RED COMERCIAL'!$E730</f>
        <v>AV L N ALEM</v>
      </c>
      <c r="E732" s="7">
        <f>+'[1]BASE RED COMERCIAL'!$F730</f>
        <v>352</v>
      </c>
      <c r="F732" s="14" t="str">
        <f>+'[1]BASE RED COMERCIAL'!$I730</f>
        <v>X2580ZAA</v>
      </c>
      <c r="G732" s="7" t="str">
        <f>+'[1]BASE RED COMERCIAL'!$D730</f>
        <v>MARCOS JUAREZ</v>
      </c>
      <c r="H732" s="7" t="str">
        <f>+'[1]BASE RED COMERCIAL'!$B730</f>
        <v>CORDOBA</v>
      </c>
      <c r="I732" s="8" t="str">
        <f>+'[1]BASE RED COMERCIAL'!$C730</f>
        <v>MARCOS JUAREZ</v>
      </c>
      <c r="J732" s="10"/>
      <c r="K732" s="10"/>
    </row>
    <row r="733" spans="1:11" x14ac:dyDescent="0.25">
      <c r="A733" s="14" t="str">
        <f>+'[1]BASE RED COMERCIAL'!$A731</f>
        <v>X0416</v>
      </c>
      <c r="B733" s="8" t="str">
        <f>+'[1]BASE RED COMERCIAL'!$H731</f>
        <v>MATTALDI</v>
      </c>
      <c r="C733" s="7" t="s">
        <v>33</v>
      </c>
      <c r="D733" s="9" t="str">
        <f>+'[1]BASE RED COMERCIAL'!$E731</f>
        <v>MENDOZA</v>
      </c>
      <c r="E733" s="7">
        <f>+'[1]BASE RED COMERCIAL'!$F731</f>
        <v>301</v>
      </c>
      <c r="F733" s="14" t="str">
        <f>+'[1]BASE RED COMERCIAL'!$I731</f>
        <v>X6272ZAA</v>
      </c>
      <c r="G733" s="7" t="str">
        <f>+'[1]BASE RED COMERCIAL'!$D731</f>
        <v>MATTALDI</v>
      </c>
      <c r="H733" s="7" t="str">
        <f>+'[1]BASE RED COMERCIAL'!$B731</f>
        <v>CORDOBA</v>
      </c>
      <c r="I733" s="8" t="str">
        <f>+'[1]BASE RED COMERCIAL'!$C731</f>
        <v>GENERAL ROCA</v>
      </c>
      <c r="J733" s="10"/>
      <c r="K733" s="10"/>
    </row>
    <row r="734" spans="1:11" x14ac:dyDescent="0.25">
      <c r="A734" s="14" t="str">
        <f>+'[1]BASE RED COMERCIAL'!$A732</f>
        <v>X0418</v>
      </c>
      <c r="B734" s="8" t="str">
        <f>+'[1]BASE RED COMERCIAL'!$H732</f>
        <v>MONTE BUEY</v>
      </c>
      <c r="C734" s="7" t="s">
        <v>33</v>
      </c>
      <c r="D734" s="9" t="str">
        <f>+'[1]BASE RED COMERCIAL'!$E732</f>
        <v>RIVADAVIA</v>
      </c>
      <c r="E734" s="7">
        <f>+'[1]BASE RED COMERCIAL'!$F732</f>
        <v>462</v>
      </c>
      <c r="F734" s="14" t="str">
        <f>+'[1]BASE RED COMERCIAL'!$I732</f>
        <v>X2589ZAA</v>
      </c>
      <c r="G734" s="7" t="str">
        <f>+'[1]BASE RED COMERCIAL'!$D732</f>
        <v>MONTE BUEY</v>
      </c>
      <c r="H734" s="7" t="str">
        <f>+'[1]BASE RED COMERCIAL'!$B732</f>
        <v>CORDOBA</v>
      </c>
      <c r="I734" s="8" t="str">
        <f>+'[1]BASE RED COMERCIAL'!$C732</f>
        <v>MARCOS JUAREZ</v>
      </c>
      <c r="J734" s="10"/>
      <c r="K734" s="10"/>
    </row>
    <row r="735" spans="1:11" x14ac:dyDescent="0.25">
      <c r="A735" s="14" t="str">
        <f>+'[1]BASE RED COMERCIAL'!$A733</f>
        <v>X0420</v>
      </c>
      <c r="B735" s="8" t="str">
        <f>+'[1]BASE RED COMERCIAL'!$H733</f>
        <v>MONTE MAIZ</v>
      </c>
      <c r="C735" s="7" t="s">
        <v>33</v>
      </c>
      <c r="D735" s="9" t="str">
        <f>+'[1]BASE RED COMERCIAL'!$E733</f>
        <v>SAN SALVADOR DE JUJUY</v>
      </c>
      <c r="E735" s="7">
        <f>+'[1]BASE RED COMERCIAL'!$F733</f>
        <v>1441</v>
      </c>
      <c r="F735" s="14" t="str">
        <f>+'[1]BASE RED COMERCIAL'!$I733</f>
        <v>X2659ZAA</v>
      </c>
      <c r="G735" s="7" t="str">
        <f>+'[1]BASE RED COMERCIAL'!$D733</f>
        <v>MONTE MAIZ</v>
      </c>
      <c r="H735" s="7" t="str">
        <f>+'[1]BASE RED COMERCIAL'!$B733</f>
        <v>CORDOBA</v>
      </c>
      <c r="I735" s="8" t="str">
        <f>+'[1]BASE RED COMERCIAL'!$C733</f>
        <v>UNION</v>
      </c>
      <c r="J735" s="10"/>
      <c r="K735" s="10"/>
    </row>
    <row r="736" spans="1:11" x14ac:dyDescent="0.25">
      <c r="A736" s="14" t="str">
        <f>+'[1]BASE RED COMERCIAL'!$A734</f>
        <v>X0422</v>
      </c>
      <c r="B736" s="8" t="str">
        <f>+'[1]BASE RED COMERCIAL'!$H734</f>
        <v>MORRISON</v>
      </c>
      <c r="C736" s="7" t="s">
        <v>33</v>
      </c>
      <c r="D736" s="9" t="str">
        <f>+'[1]BASE RED COMERCIAL'!$E734</f>
        <v>AV GRAL PAZ</v>
      </c>
      <c r="E736" s="7">
        <f>+'[1]BASE RED COMERCIAL'!$F734</f>
        <v>248</v>
      </c>
      <c r="F736" s="14" t="str">
        <f>+'[1]BASE RED COMERCIAL'!$I734</f>
        <v>X2568ZAA</v>
      </c>
      <c r="G736" s="7" t="str">
        <f>+'[1]BASE RED COMERCIAL'!$D734</f>
        <v>MORRISON</v>
      </c>
      <c r="H736" s="7" t="str">
        <f>+'[1]BASE RED COMERCIAL'!$B734</f>
        <v>CORDOBA</v>
      </c>
      <c r="I736" s="8" t="str">
        <f>+'[1]BASE RED COMERCIAL'!$C734</f>
        <v>UNION</v>
      </c>
      <c r="J736" s="10"/>
      <c r="K736" s="10"/>
    </row>
    <row r="737" spans="1:11" x14ac:dyDescent="0.25">
      <c r="A737" s="14" t="str">
        <f>+'[1]BASE RED COMERCIAL'!$A735</f>
        <v>X0424</v>
      </c>
      <c r="B737" s="8" t="str">
        <f>+'[1]BASE RED COMERCIAL'!$H735</f>
        <v>NOETINGER</v>
      </c>
      <c r="C737" s="7" t="s">
        <v>33</v>
      </c>
      <c r="D737" s="9" t="str">
        <f>+'[1]BASE RED COMERCIAL'!$E735</f>
        <v>CALLE 1</v>
      </c>
      <c r="E737" s="7">
        <f>+'[1]BASE RED COMERCIAL'!$F735</f>
        <v>25</v>
      </c>
      <c r="F737" s="14" t="str">
        <f>+'[1]BASE RED COMERCIAL'!$I735</f>
        <v>X2563ZAA</v>
      </c>
      <c r="G737" s="7" t="str">
        <f>+'[1]BASE RED COMERCIAL'!$D735</f>
        <v>NOETINGER</v>
      </c>
      <c r="H737" s="7" t="str">
        <f>+'[1]BASE RED COMERCIAL'!$B735</f>
        <v>CORDOBA</v>
      </c>
      <c r="I737" s="8" t="str">
        <f>+'[1]BASE RED COMERCIAL'!$C735</f>
        <v>UNION</v>
      </c>
      <c r="J737" s="10"/>
      <c r="K737" s="10"/>
    </row>
    <row r="738" spans="1:11" x14ac:dyDescent="0.25">
      <c r="A738" s="14" t="str">
        <f>+'[1]BASE RED COMERCIAL'!$A736</f>
        <v>X0426</v>
      </c>
      <c r="B738" s="8" t="str">
        <f>+'[1]BASE RED COMERCIAL'!$H736</f>
        <v>OLIVA</v>
      </c>
      <c r="C738" s="7" t="s">
        <v>33</v>
      </c>
      <c r="D738" s="9" t="str">
        <f>+'[1]BASE RED COMERCIAL'!$E736</f>
        <v>CASEROS</v>
      </c>
      <c r="E738" s="7">
        <f>+'[1]BASE RED COMERCIAL'!$F736</f>
        <v>297</v>
      </c>
      <c r="F738" s="14" t="str">
        <f>+'[1]BASE RED COMERCIAL'!$I736</f>
        <v>X5980ZAA</v>
      </c>
      <c r="G738" s="7" t="str">
        <f>+'[1]BASE RED COMERCIAL'!$D736</f>
        <v>OLIVA</v>
      </c>
      <c r="H738" s="7" t="str">
        <f>+'[1]BASE RED COMERCIAL'!$B736</f>
        <v>CORDOBA</v>
      </c>
      <c r="I738" s="8" t="str">
        <f>+'[1]BASE RED COMERCIAL'!$C736</f>
        <v>TERCERO ARRIBA</v>
      </c>
      <c r="J738" s="10"/>
      <c r="K738" s="10"/>
    </row>
    <row r="739" spans="1:11" x14ac:dyDescent="0.25">
      <c r="A739" s="14" t="str">
        <f>+'[1]BASE RED COMERCIAL'!$A737</f>
        <v>X0428</v>
      </c>
      <c r="B739" s="8" t="str">
        <f>+'[1]BASE RED COMERCIAL'!$H737</f>
        <v>ORDOÃ‘EZ</v>
      </c>
      <c r="C739" s="7" t="s">
        <v>33</v>
      </c>
      <c r="D739" s="9" t="str">
        <f>+'[1]BASE RED COMERCIAL'!$E737</f>
        <v>CALLE 5</v>
      </c>
      <c r="E739" s="7">
        <f>+'[1]BASE RED COMERCIAL'!$F737</f>
        <v>398</v>
      </c>
      <c r="F739" s="14" t="str">
        <f>+'[1]BASE RED COMERCIAL'!$I737</f>
        <v>X2555ZAA</v>
      </c>
      <c r="G739" s="7" t="str">
        <f>+'[1]BASE RED COMERCIAL'!$D737</f>
        <v>ORDOÃ‘EZ</v>
      </c>
      <c r="H739" s="7" t="str">
        <f>+'[1]BASE RED COMERCIAL'!$B737</f>
        <v>CORDOBA</v>
      </c>
      <c r="I739" s="8" t="str">
        <f>+'[1]BASE RED COMERCIAL'!$C737</f>
        <v>UNION</v>
      </c>
      <c r="J739" s="10"/>
      <c r="K739" s="10"/>
    </row>
    <row r="740" spans="1:11" x14ac:dyDescent="0.25">
      <c r="A740" s="14" t="str">
        <f>+'[1]BASE RED COMERCIAL'!$A738</f>
        <v>X0430</v>
      </c>
      <c r="B740" s="8" t="str">
        <f>+'[1]BASE RED COMERCIAL'!$H738</f>
        <v>PASCANAS</v>
      </c>
      <c r="C740" s="7" t="s">
        <v>33</v>
      </c>
      <c r="D740" s="9" t="str">
        <f>+'[1]BASE RED COMERCIAL'!$E738</f>
        <v>AV ARGENTINA</v>
      </c>
      <c r="E740" s="7">
        <f>+'[1]BASE RED COMERCIAL'!$F738</f>
        <v>433</v>
      </c>
      <c r="F740" s="14" t="str">
        <f>+'[1]BASE RED COMERCIAL'!$I738</f>
        <v>X2679ZAA</v>
      </c>
      <c r="G740" s="7" t="str">
        <f>+'[1]BASE RED COMERCIAL'!$D738</f>
        <v>PASCANAS</v>
      </c>
      <c r="H740" s="7" t="str">
        <f>+'[1]BASE RED COMERCIAL'!$B738</f>
        <v>CORDOBA</v>
      </c>
      <c r="I740" s="8" t="str">
        <f>+'[1]BASE RED COMERCIAL'!$C738</f>
        <v>UNION</v>
      </c>
      <c r="J740" s="10"/>
      <c r="K740" s="10"/>
    </row>
    <row r="741" spans="1:11" x14ac:dyDescent="0.25">
      <c r="A741" s="14" t="str">
        <f>+'[1]BASE RED COMERCIAL'!$A739</f>
        <v>X0446</v>
      </c>
      <c r="B741" s="8" t="str">
        <f>+'[1]BASE RED COMERCIAL'!$H739</f>
        <v>RIO TERCERO</v>
      </c>
      <c r="C741" s="7" t="s">
        <v>33</v>
      </c>
      <c r="D741" s="9" t="str">
        <f>+'[1]BASE RED COMERCIAL'!$E739</f>
        <v>INTE DE BUONO</v>
      </c>
      <c r="E741" s="7">
        <f>+'[1]BASE RED COMERCIAL'!$F739</f>
        <v>81</v>
      </c>
      <c r="F741" s="14" t="str">
        <f>+'[1]BASE RED COMERCIAL'!$I739</f>
        <v>X5850ZAA</v>
      </c>
      <c r="G741" s="7" t="str">
        <f>+'[1]BASE RED COMERCIAL'!$D739</f>
        <v>RIO TERCERO</v>
      </c>
      <c r="H741" s="7" t="str">
        <f>+'[1]BASE RED COMERCIAL'!$B739</f>
        <v>CORDOBA</v>
      </c>
      <c r="I741" s="8" t="str">
        <f>+'[1]BASE RED COMERCIAL'!$C739</f>
        <v>TERCERO ARRIBA</v>
      </c>
      <c r="J741" s="10"/>
      <c r="K741" s="10"/>
    </row>
    <row r="742" spans="1:11" x14ac:dyDescent="0.25">
      <c r="A742" s="14" t="str">
        <f>+'[1]BASE RED COMERCIAL'!$A740</f>
        <v>X0448</v>
      </c>
      <c r="B742" s="8" t="str">
        <f>+'[1]BASE RED COMERCIAL'!$H740</f>
        <v>SAN AGUSTIN (AG. 39)</v>
      </c>
      <c r="C742" s="7" t="s">
        <v>33</v>
      </c>
      <c r="D742" s="9" t="str">
        <f>+'[1]BASE RED COMERCIAL'!$E740</f>
        <v>PTE J D PERON</v>
      </c>
      <c r="E742" s="7">
        <f>+'[1]BASE RED COMERCIAL'!$F740</f>
        <v>201</v>
      </c>
      <c r="F742" s="14" t="str">
        <f>+'[1]BASE RED COMERCIAL'!$I740</f>
        <v>X5191ZAB</v>
      </c>
      <c r="G742" s="7" t="str">
        <f>+'[1]BASE RED COMERCIAL'!$D740</f>
        <v>SAN AGUSTIN</v>
      </c>
      <c r="H742" s="7" t="str">
        <f>+'[1]BASE RED COMERCIAL'!$B740</f>
        <v>CORDOBA</v>
      </c>
      <c r="I742" s="8" t="str">
        <f>+'[1]BASE RED COMERCIAL'!$C740</f>
        <v>CALAMUCHITA</v>
      </c>
      <c r="J742" s="10"/>
      <c r="K742" s="10"/>
    </row>
    <row r="743" spans="1:11" x14ac:dyDescent="0.25">
      <c r="A743" s="14" t="str">
        <f>+'[1]BASE RED COMERCIAL'!$A741</f>
        <v>X0450</v>
      </c>
      <c r="B743" s="8" t="str">
        <f>+'[1]BASE RED COMERCIAL'!$H741</f>
        <v>SAMPACHO</v>
      </c>
      <c r="C743" s="7" t="s">
        <v>33</v>
      </c>
      <c r="D743" s="9" t="str">
        <f>+'[1]BASE RED COMERCIAL'!$E741</f>
        <v>9 DE JULIO</v>
      </c>
      <c r="E743" s="7">
        <f>+'[1]BASE RED COMERCIAL'!$F741</f>
        <v>405</v>
      </c>
      <c r="F743" s="14" t="str">
        <f>+'[1]BASE RED COMERCIAL'!$I741</f>
        <v>X5829ZAA</v>
      </c>
      <c r="G743" s="7" t="str">
        <f>+'[1]BASE RED COMERCIAL'!$D741</f>
        <v>SAMPACHO</v>
      </c>
      <c r="H743" s="7" t="str">
        <f>+'[1]BASE RED COMERCIAL'!$B741</f>
        <v>CORDOBA</v>
      </c>
      <c r="I743" s="8" t="str">
        <f>+'[1]BASE RED COMERCIAL'!$C741</f>
        <v>RIO CUARTO</v>
      </c>
      <c r="J743" s="10"/>
      <c r="K743" s="10"/>
    </row>
    <row r="744" spans="1:11" x14ac:dyDescent="0.25">
      <c r="A744" s="14" t="str">
        <f>+'[1]BASE RED COMERCIAL'!$A742</f>
        <v>X0452</v>
      </c>
      <c r="B744" s="8" t="str">
        <f>+'[1]BASE RED COMERCIAL'!$H742</f>
        <v>SAN BASILIO</v>
      </c>
      <c r="C744" s="7" t="s">
        <v>33</v>
      </c>
      <c r="D744" s="9" t="str">
        <f>+'[1]BASE RED COMERCIAL'!$E742</f>
        <v>CORDOBA</v>
      </c>
      <c r="E744" s="7">
        <f>+'[1]BASE RED COMERCIAL'!$F742</f>
        <v>45</v>
      </c>
      <c r="F744" s="14" t="str">
        <f>+'[1]BASE RED COMERCIAL'!$I742</f>
        <v>X5841ZAA</v>
      </c>
      <c r="G744" s="7" t="str">
        <f>+'[1]BASE RED COMERCIAL'!$D742</f>
        <v>SAN BASILIO</v>
      </c>
      <c r="H744" s="7" t="str">
        <f>+'[1]BASE RED COMERCIAL'!$B742</f>
        <v>CORDOBA</v>
      </c>
      <c r="I744" s="8" t="str">
        <f>+'[1]BASE RED COMERCIAL'!$C742</f>
        <v>RIO CUARTO</v>
      </c>
      <c r="J744" s="10"/>
      <c r="K744" s="10"/>
    </row>
    <row r="745" spans="1:11" x14ac:dyDescent="0.25">
      <c r="A745" s="14" t="str">
        <f>+'[1]BASE RED COMERCIAL'!$A743</f>
        <v>X0454</v>
      </c>
      <c r="B745" s="8" t="str">
        <f>+'[1]BASE RED COMERCIAL'!$H743</f>
        <v>SAN MARCOS SUD</v>
      </c>
      <c r="C745" s="7" t="s">
        <v>33</v>
      </c>
      <c r="D745" s="9" t="str">
        <f>+'[1]BASE RED COMERCIAL'!$E743</f>
        <v>SAN JOSE</v>
      </c>
      <c r="E745" s="7">
        <f>+'[1]BASE RED COMERCIAL'!$F743</f>
        <v>1100</v>
      </c>
      <c r="F745" s="14" t="str">
        <f>+'[1]BASE RED COMERCIAL'!$I743</f>
        <v>X2566ZAA</v>
      </c>
      <c r="G745" s="7" t="str">
        <f>+'[1]BASE RED COMERCIAL'!$D743</f>
        <v>SAN MARCOS SUD</v>
      </c>
      <c r="H745" s="7" t="str">
        <f>+'[1]BASE RED COMERCIAL'!$B743</f>
        <v>CORDOBA</v>
      </c>
      <c r="I745" s="8" t="str">
        <f>+'[1]BASE RED COMERCIAL'!$C743</f>
        <v>UNION</v>
      </c>
      <c r="J745" s="10"/>
      <c r="K745" s="10"/>
    </row>
    <row r="746" spans="1:11" x14ac:dyDescent="0.25">
      <c r="A746" s="14" t="str">
        <f>+'[1]BASE RED COMERCIAL'!$A744</f>
        <v>X0456</v>
      </c>
      <c r="B746" s="8" t="str">
        <f>+'[1]BASE RED COMERCIAL'!$H744</f>
        <v>SANTA EUFEMIA</v>
      </c>
      <c r="C746" s="7" t="s">
        <v>33</v>
      </c>
      <c r="D746" s="9" t="str">
        <f>+'[1]BASE RED COMERCIAL'!$E744</f>
        <v>PEDRO PELLESCHI</v>
      </c>
      <c r="E746" s="7">
        <f>+'[1]BASE RED COMERCIAL'!$F744</f>
        <v>538</v>
      </c>
      <c r="F746" s="14" t="str">
        <f>+'[1]BASE RED COMERCIAL'!$I744</f>
        <v>X2671ZAA</v>
      </c>
      <c r="G746" s="7" t="str">
        <f>+'[1]BASE RED COMERCIAL'!$D744</f>
        <v>SANTA EUFEMIA</v>
      </c>
      <c r="H746" s="7" t="str">
        <f>+'[1]BASE RED COMERCIAL'!$B744</f>
        <v>CORDOBA</v>
      </c>
      <c r="I746" s="8" t="str">
        <f>+'[1]BASE RED COMERCIAL'!$C744</f>
        <v>JUAREZ CELMAN</v>
      </c>
      <c r="J746" s="10"/>
      <c r="K746" s="10"/>
    </row>
    <row r="747" spans="1:11" x14ac:dyDescent="0.25">
      <c r="A747" s="14" t="str">
        <f>+'[1]BASE RED COMERCIAL'!$A745</f>
        <v>X0458</v>
      </c>
      <c r="B747" s="8" t="str">
        <f>+'[1]BASE RED COMERCIAL'!$H745</f>
        <v>SERRANO</v>
      </c>
      <c r="C747" s="7" t="s">
        <v>33</v>
      </c>
      <c r="D747" s="9" t="str">
        <f>+'[1]BASE RED COMERCIAL'!$E745</f>
        <v>JUAN XXIII</v>
      </c>
      <c r="E747" s="7">
        <f>+'[1]BASE RED COMERCIAL'!$F745</f>
        <v>350</v>
      </c>
      <c r="F747" s="14" t="str">
        <f>+'[1]BASE RED COMERCIAL'!$I745</f>
        <v>X6125ZAA</v>
      </c>
      <c r="G747" s="7" t="str">
        <f>+'[1]BASE RED COMERCIAL'!$D745</f>
        <v>SERRANO</v>
      </c>
      <c r="H747" s="7" t="str">
        <f>+'[1]BASE RED COMERCIAL'!$B745</f>
        <v>CORDOBA</v>
      </c>
      <c r="I747" s="8" t="str">
        <f>+'[1]BASE RED COMERCIAL'!$C745</f>
        <v>PRESIDENTE ROQUE SAENZ PEÃ‘A</v>
      </c>
      <c r="J747" s="10"/>
      <c r="K747" s="10"/>
    </row>
    <row r="748" spans="1:11" x14ac:dyDescent="0.25">
      <c r="A748" s="14" t="str">
        <f>+'[1]BASE RED COMERCIAL'!$A746</f>
        <v>X0460</v>
      </c>
      <c r="B748" s="8" t="str">
        <f>+'[1]BASE RED COMERCIAL'!$H746</f>
        <v>STA. R. DE CALAMUCHITA</v>
      </c>
      <c r="C748" s="7" t="s">
        <v>33</v>
      </c>
      <c r="D748" s="9" t="str">
        <f>+'[1]BASE RED COMERCIAL'!$E746</f>
        <v>EL NOGAL</v>
      </c>
      <c r="E748" s="7">
        <f>+'[1]BASE RED COMERCIAL'!$F746</f>
        <v>170</v>
      </c>
      <c r="F748" s="14" t="str">
        <f>+'[1]BASE RED COMERCIAL'!$I746</f>
        <v>X5196ZAA</v>
      </c>
      <c r="G748" s="7" t="str">
        <f>+'[1]BASE RED COMERCIAL'!$D746</f>
        <v>SANTA ROSA DE CALAMUCHITA</v>
      </c>
      <c r="H748" s="7" t="str">
        <f>+'[1]BASE RED COMERCIAL'!$B746</f>
        <v>CORDOBA</v>
      </c>
      <c r="I748" s="8" t="str">
        <f>+'[1]BASE RED COMERCIAL'!$C746</f>
        <v>CALAMUCHITA</v>
      </c>
      <c r="J748" s="10"/>
      <c r="K748" s="10"/>
    </row>
    <row r="749" spans="1:11" x14ac:dyDescent="0.25">
      <c r="A749" s="14" t="str">
        <f>+'[1]BASE RED COMERCIAL'!$A747</f>
        <v>X0462</v>
      </c>
      <c r="B749" s="8" t="str">
        <f>+'[1]BASE RED COMERCIAL'!$H747</f>
        <v>TANCACHA</v>
      </c>
      <c r="C749" s="7" t="s">
        <v>33</v>
      </c>
      <c r="D749" s="9" t="str">
        <f>+'[1]BASE RED COMERCIAL'!$E747</f>
        <v>BME MITRE</v>
      </c>
      <c r="E749" s="7">
        <f>+'[1]BASE RED COMERCIAL'!$F747</f>
        <v>1</v>
      </c>
      <c r="F749" s="14" t="str">
        <f>+'[1]BASE RED COMERCIAL'!$I747</f>
        <v>X5933ZAA</v>
      </c>
      <c r="G749" s="7" t="str">
        <f>+'[1]BASE RED COMERCIAL'!$D747</f>
        <v>TANCACHA</v>
      </c>
      <c r="H749" s="7" t="str">
        <f>+'[1]BASE RED COMERCIAL'!$B747</f>
        <v>CORDOBA</v>
      </c>
      <c r="I749" s="8" t="str">
        <f>+'[1]BASE RED COMERCIAL'!$C747</f>
        <v>TERCERO ARRIBA</v>
      </c>
      <c r="J749" s="10"/>
      <c r="K749" s="10"/>
    </row>
    <row r="750" spans="1:11" x14ac:dyDescent="0.25">
      <c r="A750" s="14" t="str">
        <f>+'[1]BASE RED COMERCIAL'!$A748</f>
        <v>X0466</v>
      </c>
      <c r="B750" s="8" t="str">
        <f>+'[1]BASE RED COMERCIAL'!$H748</f>
        <v>UCACHA</v>
      </c>
      <c r="C750" s="7" t="s">
        <v>33</v>
      </c>
      <c r="D750" s="9" t="str">
        <f>+'[1]BASE RED COMERCIAL'!$E748</f>
        <v>CORRIENTES</v>
      </c>
      <c r="E750" s="7">
        <f>+'[1]BASE RED COMERCIAL'!$F748</f>
        <v>51</v>
      </c>
      <c r="F750" s="14" t="str">
        <f>+'[1]BASE RED COMERCIAL'!$I748</f>
        <v>X2677ZAA</v>
      </c>
      <c r="G750" s="7" t="str">
        <f>+'[1]BASE RED COMERCIAL'!$D748</f>
        <v>UCACHA</v>
      </c>
      <c r="H750" s="7" t="str">
        <f>+'[1]BASE RED COMERCIAL'!$B748</f>
        <v>CORDOBA</v>
      </c>
      <c r="I750" s="8" t="str">
        <f>+'[1]BASE RED COMERCIAL'!$C748</f>
        <v>JUAREZ CELMAN</v>
      </c>
      <c r="J750" s="10"/>
      <c r="K750" s="10"/>
    </row>
    <row r="751" spans="1:11" x14ac:dyDescent="0.25">
      <c r="A751" s="14" t="str">
        <f>+'[1]BASE RED COMERCIAL'!$A749</f>
        <v>X0468</v>
      </c>
      <c r="B751" s="8" t="str">
        <f>+'[1]BASE RED COMERCIAL'!$H749</f>
        <v>VILLA ASCASUBI</v>
      </c>
      <c r="C751" s="7" t="s">
        <v>33</v>
      </c>
      <c r="D751" s="9" t="str">
        <f>+'[1]BASE RED COMERCIAL'!$E749</f>
        <v>DUSSAN ALACEVICH</v>
      </c>
      <c r="E751" s="7">
        <f>+'[1]BASE RED COMERCIAL'!$F749</f>
        <v>262</v>
      </c>
      <c r="F751" s="14" t="str">
        <f>+'[1]BASE RED COMERCIAL'!$I749</f>
        <v>X5935ZAA</v>
      </c>
      <c r="G751" s="7" t="str">
        <f>+'[1]BASE RED COMERCIAL'!$D749</f>
        <v>VILLA ASCASUBI</v>
      </c>
      <c r="H751" s="7" t="str">
        <f>+'[1]BASE RED COMERCIAL'!$B749</f>
        <v>CORDOBA</v>
      </c>
      <c r="I751" s="8" t="str">
        <f>+'[1]BASE RED COMERCIAL'!$C749</f>
        <v>TERCERO ARRIBA</v>
      </c>
      <c r="J751" s="10"/>
      <c r="K751" s="10"/>
    </row>
    <row r="752" spans="1:11" x14ac:dyDescent="0.25">
      <c r="A752" s="14" t="str">
        <f>+'[1]BASE RED COMERCIAL'!$A750</f>
        <v>X0470</v>
      </c>
      <c r="B752" s="8" t="str">
        <f>+'[1]BASE RED COMERCIAL'!$H750</f>
        <v>VICUÃ‘A MACKENNA</v>
      </c>
      <c r="C752" s="7" t="s">
        <v>33</v>
      </c>
      <c r="D752" s="9" t="str">
        <f>+'[1]BASE RED COMERCIAL'!$E750</f>
        <v>AV CARLOS S YDE</v>
      </c>
      <c r="E752" s="7">
        <f>+'[1]BASE RED COMERCIAL'!$F750</f>
        <v>630</v>
      </c>
      <c r="F752" s="14" t="str">
        <f>+'[1]BASE RED COMERCIAL'!$I750</f>
        <v>X6140ZAA</v>
      </c>
      <c r="G752" s="7" t="str">
        <f>+'[1]BASE RED COMERCIAL'!$D750</f>
        <v>VICUÃ‘A MACKENNA</v>
      </c>
      <c r="H752" s="7" t="str">
        <f>+'[1]BASE RED COMERCIAL'!$B750</f>
        <v>CORDOBA</v>
      </c>
      <c r="I752" s="8" t="str">
        <f>+'[1]BASE RED COMERCIAL'!$C750</f>
        <v>RIO CUARTO</v>
      </c>
      <c r="J752" s="10"/>
      <c r="K752" s="10"/>
    </row>
    <row r="753" spans="1:11" x14ac:dyDescent="0.25">
      <c r="A753" s="14" t="str">
        <f>+'[1]BASE RED COMERCIAL'!$A751</f>
        <v>X0472</v>
      </c>
      <c r="B753" s="8" t="str">
        <f>+'[1]BASE RED COMERCIAL'!$H751</f>
        <v>VILLA DEL DIQUE</v>
      </c>
      <c r="C753" s="7" t="s">
        <v>33</v>
      </c>
      <c r="D753" s="9" t="str">
        <f>+'[1]BASE RED COMERCIAL'!$E751</f>
        <v>SANTIAGO DEL ESTERO</v>
      </c>
      <c r="E753" s="7">
        <f>+'[1]BASE RED COMERCIAL'!$F751</f>
        <v>106</v>
      </c>
      <c r="F753" s="14" t="str">
        <f>+'[1]BASE RED COMERCIAL'!$I751</f>
        <v>X5862ZAA</v>
      </c>
      <c r="G753" s="7" t="str">
        <f>+'[1]BASE RED COMERCIAL'!$D751</f>
        <v>VILLA DEL DIQUE</v>
      </c>
      <c r="H753" s="7" t="str">
        <f>+'[1]BASE RED COMERCIAL'!$B751</f>
        <v>CORDOBA</v>
      </c>
      <c r="I753" s="8" t="str">
        <f>+'[1]BASE RED COMERCIAL'!$C751</f>
        <v>CALAMUCHITA</v>
      </c>
      <c r="J753" s="10"/>
      <c r="K753" s="10"/>
    </row>
    <row r="754" spans="1:11" x14ac:dyDescent="0.25">
      <c r="A754" s="14" t="str">
        <f>+'[1]BASE RED COMERCIAL'!$A752</f>
        <v>X0474</v>
      </c>
      <c r="B754" s="8" t="str">
        <f>+'[1]BASE RED COMERCIAL'!$H752</f>
        <v>VILLA HUIDOBRO</v>
      </c>
      <c r="C754" s="7" t="s">
        <v>33</v>
      </c>
      <c r="D754" s="9" t="str">
        <f>+'[1]BASE RED COMERCIAL'!$E752</f>
        <v>AV MANUEL ESPINOSA</v>
      </c>
      <c r="E754" s="7">
        <f>+'[1]BASE RED COMERCIAL'!$F752</f>
        <v>300</v>
      </c>
      <c r="F754" s="14" t="str">
        <f>+'[1]BASE RED COMERCIAL'!$I752</f>
        <v>X6275ZAA</v>
      </c>
      <c r="G754" s="7" t="str">
        <f>+'[1]BASE RED COMERCIAL'!$D752</f>
        <v>VILLA HUIDOBRO</v>
      </c>
      <c r="H754" s="7" t="str">
        <f>+'[1]BASE RED COMERCIAL'!$B752</f>
        <v>CORDOBA</v>
      </c>
      <c r="I754" s="8" t="str">
        <f>+'[1]BASE RED COMERCIAL'!$C752</f>
        <v>GENERAL ROCA</v>
      </c>
      <c r="J754" s="10"/>
      <c r="K754" s="10"/>
    </row>
    <row r="755" spans="1:11" x14ac:dyDescent="0.25">
      <c r="A755" s="14" t="str">
        <f>+'[1]BASE RED COMERCIAL'!$A753</f>
        <v>X0476</v>
      </c>
      <c r="B755" s="8" t="str">
        <f>+'[1]BASE RED COMERCIAL'!$H753</f>
        <v>VILLA MARÃA</v>
      </c>
      <c r="C755" s="7" t="s">
        <v>33</v>
      </c>
      <c r="D755" s="9" t="str">
        <f>+'[1]BASE RED COMERCIAL'!$E753</f>
        <v>CATAMARCA</v>
      </c>
      <c r="E755" s="7">
        <f>+'[1]BASE RED COMERCIAL'!$F753</f>
        <v>1190</v>
      </c>
      <c r="F755" s="14" t="str">
        <f>+'[1]BASE RED COMERCIAL'!$I753</f>
        <v>X5900ZAA</v>
      </c>
      <c r="G755" s="7" t="str">
        <f>+'[1]BASE RED COMERCIAL'!$D753</f>
        <v>VILLA MARIA</v>
      </c>
      <c r="H755" s="7" t="str">
        <f>+'[1]BASE RED COMERCIAL'!$B753</f>
        <v>CORDOBA</v>
      </c>
      <c r="I755" s="8" t="str">
        <f>+'[1]BASE RED COMERCIAL'!$C753</f>
        <v>GENERAL SAN MARTIN</v>
      </c>
      <c r="J755" s="10"/>
      <c r="K755" s="10"/>
    </row>
    <row r="756" spans="1:11" x14ac:dyDescent="0.25">
      <c r="A756" s="14" t="str">
        <f>+'[1]BASE RED COMERCIAL'!$A754</f>
        <v>X0478</v>
      </c>
      <c r="B756" s="8" t="str">
        <f>+'[1]BASE RED COMERCIAL'!$H754</f>
        <v>VILLA NUEVA</v>
      </c>
      <c r="C756" s="7" t="s">
        <v>33</v>
      </c>
      <c r="D756" s="9" t="str">
        <f>+'[1]BASE RED COMERCIAL'!$E754</f>
        <v>MARCOS JUAREZ</v>
      </c>
      <c r="E756" s="7">
        <f>+'[1]BASE RED COMERCIAL'!$F754</f>
        <v>760</v>
      </c>
      <c r="F756" s="14" t="str">
        <f>+'[1]BASE RED COMERCIAL'!$I754</f>
        <v>X5903ZAA</v>
      </c>
      <c r="G756" s="7" t="str">
        <f>+'[1]BASE RED COMERCIAL'!$D754</f>
        <v>VILLA NUEVA</v>
      </c>
      <c r="H756" s="7" t="str">
        <f>+'[1]BASE RED COMERCIAL'!$B754</f>
        <v>CORDOBA</v>
      </c>
      <c r="I756" s="8" t="str">
        <f>+'[1]BASE RED COMERCIAL'!$C754</f>
        <v>GENERAL SAN MARTIN</v>
      </c>
      <c r="J756" s="10"/>
      <c r="K756" s="10"/>
    </row>
    <row r="757" spans="1:11" x14ac:dyDescent="0.25">
      <c r="A757" s="14" t="str">
        <f>+'[1]BASE RED COMERCIAL'!$A755</f>
        <v>X0480</v>
      </c>
      <c r="B757" s="8" t="str">
        <f>+'[1]BASE RED COMERCIAL'!$H755</f>
        <v>VILLA VALERIA</v>
      </c>
      <c r="C757" s="7" t="s">
        <v>33</v>
      </c>
      <c r="D757" s="9" t="str">
        <f>+'[1]BASE RED COMERCIAL'!$E755</f>
        <v>LUCIO V MANSILLA</v>
      </c>
      <c r="E757" s="7">
        <f>+'[1]BASE RED COMERCIAL'!$F755</f>
        <v>995</v>
      </c>
      <c r="F757" s="14" t="str">
        <f>+'[1]BASE RED COMERCIAL'!$I755</f>
        <v>X6273ZAA</v>
      </c>
      <c r="G757" s="7" t="str">
        <f>+'[1]BASE RED COMERCIAL'!$D755</f>
        <v>VILLA VALERIA</v>
      </c>
      <c r="H757" s="7" t="str">
        <f>+'[1]BASE RED COMERCIAL'!$B755</f>
        <v>CORDOBA</v>
      </c>
      <c r="I757" s="8" t="str">
        <f>+'[1]BASE RED COMERCIAL'!$C755</f>
        <v>GENERAL ROCA</v>
      </c>
      <c r="J757" s="10"/>
      <c r="K757" s="10"/>
    </row>
    <row r="758" spans="1:11" x14ac:dyDescent="0.25">
      <c r="A758" s="14" t="str">
        <f>+'[1]BASE RED COMERCIAL'!$A756</f>
        <v>X0482</v>
      </c>
      <c r="B758" s="8" t="str">
        <f>+'[1]BASE RED COMERCIAL'!$H756</f>
        <v>VILLA GRAL. BELGRANO</v>
      </c>
      <c r="C758" s="7" t="s">
        <v>33</v>
      </c>
      <c r="D758" s="9" t="str">
        <f>+'[1]BASE RED COMERCIAL'!$E756</f>
        <v>SAN MARTIN</v>
      </c>
      <c r="E758" s="7">
        <f>+'[1]BASE RED COMERCIAL'!$F756</f>
        <v>164</v>
      </c>
      <c r="F758" s="14" t="str">
        <f>+'[1]BASE RED COMERCIAL'!$I756</f>
        <v>X5194ZAA</v>
      </c>
      <c r="G758" s="7" t="str">
        <f>+'[1]BASE RED COMERCIAL'!$D756</f>
        <v>VILLA GENERAL BELGRANO</v>
      </c>
      <c r="H758" s="7" t="str">
        <f>+'[1]BASE RED COMERCIAL'!$B756</f>
        <v>CORDOBA</v>
      </c>
      <c r="I758" s="8" t="str">
        <f>+'[1]BASE RED COMERCIAL'!$C756</f>
        <v>CALAMUCHITA</v>
      </c>
      <c r="J758" s="10"/>
      <c r="K758" s="10"/>
    </row>
    <row r="759" spans="1:11" x14ac:dyDescent="0.25">
      <c r="A759" s="14" t="str">
        <f>+'[1]BASE RED COMERCIAL'!$A757</f>
        <v>X0484</v>
      </c>
      <c r="B759" s="8" t="str">
        <f>+'[1]BASE RED COMERCIAL'!$H757</f>
        <v>VILLA RUMIPAL</v>
      </c>
      <c r="C759" s="7" t="s">
        <v>33</v>
      </c>
      <c r="D759" s="9" t="str">
        <f>+'[1]BASE RED COMERCIAL'!$E757</f>
        <v>AV RIEMANN</v>
      </c>
      <c r="E759" s="7">
        <f>+'[1]BASE RED COMERCIAL'!$F757</f>
        <v>599</v>
      </c>
      <c r="F759" s="14" t="str">
        <f>+'[1]BASE RED COMERCIAL'!$I757</f>
        <v>X5864ZAA</v>
      </c>
      <c r="G759" s="7" t="str">
        <f>+'[1]BASE RED COMERCIAL'!$D757</f>
        <v>VILLA RUMIPAL</v>
      </c>
      <c r="H759" s="7" t="str">
        <f>+'[1]BASE RED COMERCIAL'!$B757</f>
        <v>CORDOBA</v>
      </c>
      <c r="I759" s="8" t="str">
        <f>+'[1]BASE RED COMERCIAL'!$C757</f>
        <v>CALAMUCHITA</v>
      </c>
      <c r="J759" s="10"/>
      <c r="K759" s="10"/>
    </row>
    <row r="760" spans="1:11" x14ac:dyDescent="0.25">
      <c r="A760" s="14" t="str">
        <f>+'[1]BASE RED COMERCIAL'!$A758</f>
        <v>X0486</v>
      </c>
      <c r="B760" s="8" t="str">
        <f>+'[1]BASE RED COMERCIAL'!$H758</f>
        <v>WENCESLAO ESCALANTE</v>
      </c>
      <c r="C760" s="7" t="s">
        <v>33</v>
      </c>
      <c r="D760" s="9" t="str">
        <f>+'[1]BASE RED COMERCIAL'!$E758</f>
        <v>AV ITALIA</v>
      </c>
      <c r="E760" s="7">
        <f>+'[1]BASE RED COMERCIAL'!$F758</f>
        <v>847</v>
      </c>
      <c r="F760" s="14" t="str">
        <f>+'[1]BASE RED COMERCIAL'!$I758</f>
        <v>X2655ZAA</v>
      </c>
      <c r="G760" s="7" t="str">
        <f>+'[1]BASE RED COMERCIAL'!$D758</f>
        <v>WENCESLAO ESCALANTE</v>
      </c>
      <c r="H760" s="7" t="str">
        <f>+'[1]BASE RED COMERCIAL'!$B758</f>
        <v>CORDOBA</v>
      </c>
      <c r="I760" s="8" t="str">
        <f>+'[1]BASE RED COMERCIAL'!$C758</f>
        <v>UNION</v>
      </c>
      <c r="J760" s="10"/>
      <c r="K760" s="10"/>
    </row>
    <row r="761" spans="1:11" x14ac:dyDescent="0.25">
      <c r="A761" s="14" t="str">
        <f>+'[1]BASE RED COMERCIAL'!$A759</f>
        <v>X1016</v>
      </c>
      <c r="B761" s="8" t="str">
        <f>+'[1]BASE RED COMERCIAL'!$H759</f>
        <v>TRIBUNALES FEDERALES 1 CBA</v>
      </c>
      <c r="C761" s="7" t="s">
        <v>33</v>
      </c>
      <c r="D761" s="9" t="str">
        <f>+'[1]BASE RED COMERCIAL'!$E759</f>
        <v>AV CONCEPCION ARENAL</v>
      </c>
      <c r="E761" s="7">
        <f>+'[1]BASE RED COMERCIAL'!$F759</f>
        <v>690</v>
      </c>
      <c r="F761" s="14" t="str">
        <f>+'[1]BASE RED COMERCIAL'!$I759</f>
        <v>X5021ZAA</v>
      </c>
      <c r="G761" s="7" t="str">
        <f>+'[1]BASE RED COMERCIAL'!$D759</f>
        <v>CORDOBA</v>
      </c>
      <c r="H761" s="7" t="str">
        <f>+'[1]BASE RED COMERCIAL'!$B759</f>
        <v>CORDOBA</v>
      </c>
      <c r="I761" s="8" t="str">
        <f>+'[1]BASE RED COMERCIAL'!$C759</f>
        <v>CAPITAL</v>
      </c>
      <c r="J761" s="10"/>
      <c r="K761" s="10"/>
    </row>
    <row r="762" spans="1:11" x14ac:dyDescent="0.25">
      <c r="A762" s="14" t="str">
        <f>+'[1]BASE RED COMERCIAL'!$A760</f>
        <v>X1048</v>
      </c>
      <c r="B762" s="8" t="str">
        <f>+'[1]BASE RED COMERCIAL'!$H760</f>
        <v>BARRIO LAS VIOLETAS (N 36)</v>
      </c>
      <c r="C762" s="7" t="s">
        <v>33</v>
      </c>
      <c r="D762" s="9" t="str">
        <f>+'[1]BASE RED COMERCIAL'!$E760</f>
        <v>ANTONIO LOCATELLI</v>
      </c>
      <c r="E762" s="7">
        <f>+'[1]BASE RED COMERCIAL'!$F760</f>
        <v>1</v>
      </c>
      <c r="F762" s="14" t="str">
        <f>+'[1]BASE RED COMERCIAL'!$I760</f>
        <v>X5002ZAA</v>
      </c>
      <c r="G762" s="7" t="str">
        <f>+'[1]BASE RED COMERCIAL'!$D760</f>
        <v>CORDOBA</v>
      </c>
      <c r="H762" s="7" t="str">
        <f>+'[1]BASE RED COMERCIAL'!$B760</f>
        <v>CORDOBA</v>
      </c>
      <c r="I762" s="8" t="str">
        <f>+'[1]BASE RED COMERCIAL'!$C760</f>
        <v>CAPITAL</v>
      </c>
      <c r="J762" s="10"/>
      <c r="K762" s="10"/>
    </row>
    <row r="763" spans="1:11" x14ac:dyDescent="0.25">
      <c r="A763" s="14" t="str">
        <f>+'[1]BASE RED COMERCIAL'!$A761</f>
        <v>X1356</v>
      </c>
      <c r="B763" s="8" t="str">
        <f>+'[1]BASE RED COMERCIAL'!$H761</f>
        <v>RIO CUARTO 3 UNIVERCIDAD</v>
      </c>
      <c r="C763" s="7" t="s">
        <v>33</v>
      </c>
      <c r="D763" s="9" t="str">
        <f>+'[1]BASE RED COMERCIAL'!$E761</f>
        <v>R NAC 36</v>
      </c>
      <c r="E763" s="7">
        <f>+'[1]BASE RED COMERCIAL'!$F761</f>
        <v>0</v>
      </c>
      <c r="F763" s="14" t="str">
        <f>+'[1]BASE RED COMERCIAL'!$I761</f>
        <v>X5804ZAB</v>
      </c>
      <c r="G763" s="7" t="str">
        <f>+'[1]BASE RED COMERCIAL'!$D761</f>
        <v>RIO CUARTO</v>
      </c>
      <c r="H763" s="7" t="str">
        <f>+'[1]BASE RED COMERCIAL'!$B761</f>
        <v>CORDOBA</v>
      </c>
      <c r="I763" s="8" t="str">
        <f>+'[1]BASE RED COMERCIAL'!$C761</f>
        <v>RIO CUARTO</v>
      </c>
      <c r="J763" s="10"/>
      <c r="K763" s="10"/>
    </row>
    <row r="764" spans="1:11" x14ac:dyDescent="0.25">
      <c r="A764" s="14" t="str">
        <f>+'[1]BASE RED COMERCIAL'!$A762</f>
        <v>X1562</v>
      </c>
      <c r="B764" s="8" t="str">
        <f>+'[1]BASE RED COMERCIAL'!$H762</f>
        <v>COLAZO</v>
      </c>
      <c r="C764" s="7" t="s">
        <v>33</v>
      </c>
      <c r="D764" s="9" t="str">
        <f>+'[1]BASE RED COMERCIAL'!$E762</f>
        <v>LAS CUATRO HERMANAS</v>
      </c>
      <c r="E764" s="7">
        <f>+'[1]BASE RED COMERCIAL'!$F762</f>
        <v>227</v>
      </c>
      <c r="F764" s="14" t="str">
        <f>+'[1]BASE RED COMERCIAL'!$I762</f>
        <v>X5971ZAA</v>
      </c>
      <c r="G764" s="7" t="str">
        <f>+'[1]BASE RED COMERCIAL'!$D762</f>
        <v>COLAZO</v>
      </c>
      <c r="H764" s="7" t="str">
        <f>+'[1]BASE RED COMERCIAL'!$B762</f>
        <v>CORDOBA</v>
      </c>
      <c r="I764" s="8" t="str">
        <f>+'[1]BASE RED COMERCIAL'!$C762</f>
        <v>RIO SEGUNDO</v>
      </c>
      <c r="J764" s="10"/>
      <c r="K764" s="10"/>
    </row>
    <row r="765" spans="1:11" x14ac:dyDescent="0.25">
      <c r="A765" s="14" t="str">
        <f>+'[1]BASE RED COMERCIAL'!$A763</f>
        <v>X1574</v>
      </c>
      <c r="B765" s="8" t="str">
        <f>+'[1]BASE RED COMERCIAL'!$H763</f>
        <v>COLONIA TIROLESA</v>
      </c>
      <c r="C765" s="7" t="s">
        <v>33</v>
      </c>
      <c r="D765" s="9" t="str">
        <f>+'[1]BASE RED COMERCIAL'!$E763</f>
        <v>ARTURO H ILIA 16</v>
      </c>
      <c r="E765" s="7">
        <f>+'[1]BASE RED COMERCIAL'!$F763</f>
        <v>0</v>
      </c>
      <c r="F765" s="14" t="str">
        <f>+'[1]BASE RED COMERCIAL'!$I763</f>
        <v>X5000ZAI</v>
      </c>
      <c r="G765" s="7" t="str">
        <f>+'[1]BASE RED COMERCIAL'!$D763</f>
        <v>COLONIA TIROLESA</v>
      </c>
      <c r="H765" s="7" t="str">
        <f>+'[1]BASE RED COMERCIAL'!$B763</f>
        <v>CORDOBA</v>
      </c>
      <c r="I765" s="8" t="str">
        <f>+'[1]BASE RED COMERCIAL'!$C763</f>
        <v>COLON</v>
      </c>
      <c r="J765" s="10"/>
      <c r="K765" s="10"/>
    </row>
    <row r="766" spans="1:11" x14ac:dyDescent="0.25">
      <c r="A766" s="14" t="str">
        <f>+'[1]BASE RED COMERCIAL'!$A764</f>
        <v>X1690</v>
      </c>
      <c r="B766" s="8" t="str">
        <f>+'[1]BASE RED COMERCIAL'!$H764</f>
        <v>PASO VIEJO</v>
      </c>
      <c r="C766" s="7" t="s">
        <v>33</v>
      </c>
      <c r="D766" s="9" t="str">
        <f>+'[1]BASE RED COMERCIAL'!$E764</f>
        <v>PUBLICA</v>
      </c>
      <c r="E766" s="7">
        <f>+'[1]BASE RED COMERCIAL'!$F764</f>
        <v>1</v>
      </c>
      <c r="F766" s="14" t="str">
        <f>+'[1]BASE RED COMERCIAL'!$I764</f>
        <v>X4525ZAA</v>
      </c>
      <c r="G766" s="7" t="str">
        <f>+'[1]BASE RED COMERCIAL'!$D764</f>
        <v>PASO VIEJO</v>
      </c>
      <c r="H766" s="7" t="str">
        <f>+'[1]BASE RED COMERCIAL'!$B764</f>
        <v>CORDOBA</v>
      </c>
      <c r="I766" s="8" t="str">
        <f>+'[1]BASE RED COMERCIAL'!$C764</f>
        <v>CRUZ DEL EJE</v>
      </c>
      <c r="J766" s="10"/>
      <c r="K766" s="10"/>
    </row>
    <row r="767" spans="1:11" x14ac:dyDescent="0.25">
      <c r="A767" s="14" t="str">
        <f>+'[1]BASE RED COMERCIAL'!$A765</f>
        <v>X1724</v>
      </c>
      <c r="B767" s="8" t="str">
        <f>+'[1]BASE RED COMERCIAL'!$H765</f>
        <v>SIMBOLAR</v>
      </c>
      <c r="C767" s="7" t="s">
        <v>33</v>
      </c>
      <c r="D767" s="9" t="str">
        <f>+'[1]BASE RED COMERCIAL'!$E765</f>
        <v>PUBLICA S N</v>
      </c>
      <c r="E767" s="7">
        <f>+'[1]BASE RED COMERCIAL'!$F765</f>
        <v>0</v>
      </c>
      <c r="F767" s="14" t="str">
        <f>+'[1]BASE RED COMERCIAL'!$I765</f>
        <v>X5242ZAA</v>
      </c>
      <c r="G767" s="7" t="str">
        <f>+'[1]BASE RED COMERCIAL'!$D765</f>
        <v>SIMBOLAR</v>
      </c>
      <c r="H767" s="7" t="str">
        <f>+'[1]BASE RED COMERCIAL'!$B765</f>
        <v>CORDOBA</v>
      </c>
      <c r="I767" s="8" t="str">
        <f>+'[1]BASE RED COMERCIAL'!$C765</f>
        <v>TOTORAL</v>
      </c>
      <c r="J767" s="10"/>
      <c r="K767" s="10"/>
    </row>
    <row r="768" spans="1:11" x14ac:dyDescent="0.25">
      <c r="A768" s="14" t="str">
        <f>+'[1]BASE RED COMERCIAL'!$A766</f>
        <v>X1752</v>
      </c>
      <c r="B768" s="8" t="str">
        <f>+'[1]BASE RED COMERCIAL'!$H766</f>
        <v>VILLA SAN ISIDRO</v>
      </c>
      <c r="C768" s="7" t="s">
        <v>33</v>
      </c>
      <c r="D768" s="9" t="str">
        <f>+'[1]BASE RED COMERCIAL'!$E766</f>
        <v>BUENOS AIRES S/N</v>
      </c>
      <c r="E768" s="7">
        <f>+'[1]BASE RED COMERCIAL'!$F766</f>
        <v>0</v>
      </c>
      <c r="F768" s="14" t="str">
        <f>+'[1]BASE RED COMERCIAL'!$I766</f>
        <v>X5189ZAA</v>
      </c>
      <c r="G768" s="7" t="str">
        <f>+'[1]BASE RED COMERCIAL'!$D766</f>
        <v>COLONIA SAN ISIDRO</v>
      </c>
      <c r="H768" s="7" t="str">
        <f>+'[1]BASE RED COMERCIAL'!$B766</f>
        <v>CORDOBA</v>
      </c>
      <c r="I768" s="8" t="str">
        <f>+'[1]BASE RED COMERCIAL'!$C766</f>
        <v>SANTA MARIA</v>
      </c>
      <c r="J768" s="10"/>
      <c r="K768" s="10"/>
    </row>
    <row r="769" spans="1:11" x14ac:dyDescent="0.25">
      <c r="A769" s="14" t="str">
        <f>+'[1]BASE RED COMERCIAL'!$A767</f>
        <v>X1784</v>
      </c>
      <c r="B769" s="8" t="str">
        <f>+'[1]BASE RED COMERCIAL'!$H767</f>
        <v>MALVINAS ARGENTINAS</v>
      </c>
      <c r="C769" s="7" t="s">
        <v>33</v>
      </c>
      <c r="D769" s="9" t="str">
        <f>+'[1]BASE RED COMERCIAL'!$E767</f>
        <v>AV GRAL SAN MARTIN</v>
      </c>
      <c r="E769" s="7">
        <f>+'[1]BASE RED COMERCIAL'!$F767</f>
        <v>401</v>
      </c>
      <c r="F769" s="14" t="str">
        <f>+'[1]BASE RED COMERCIAL'!$I767</f>
        <v>X5004ZAA</v>
      </c>
      <c r="G769" s="7" t="str">
        <f>+'[1]BASE RED COMERCIAL'!$D767</f>
        <v>MALVINAS ARGENTINAS</v>
      </c>
      <c r="H769" s="7" t="str">
        <f>+'[1]BASE RED COMERCIAL'!$B767</f>
        <v>CORDOBA</v>
      </c>
      <c r="I769" s="8" t="str">
        <f>+'[1]BASE RED COMERCIAL'!$C767</f>
        <v>COLON</v>
      </c>
      <c r="J769" s="10"/>
      <c r="K769" s="10"/>
    </row>
    <row r="770" spans="1:11" x14ac:dyDescent="0.25">
      <c r="A770" s="14" t="str">
        <f>+'[1]BASE RED COMERCIAL'!$A768</f>
        <v>X5626</v>
      </c>
      <c r="B770" s="8" t="str">
        <f>+'[1]BASE RED COMERCIAL'!$H768</f>
        <v>CORDOBA NÂº 21</v>
      </c>
      <c r="C770" s="7" t="s">
        <v>33</v>
      </c>
      <c r="D770" s="9" t="str">
        <f>+'[1]BASE RED COMERCIAL'!$E768</f>
        <v>AV DR AMADEO SABATTINI</v>
      </c>
      <c r="E770" s="7">
        <f>+'[1]BASE RED COMERCIAL'!$F768</f>
        <v>2680</v>
      </c>
      <c r="F770" s="14" t="str">
        <f>+'[1]BASE RED COMERCIAL'!$I768</f>
        <v>X5014ZAA</v>
      </c>
      <c r="G770" s="7" t="str">
        <f>+'[1]BASE RED COMERCIAL'!$D768</f>
        <v>CORDOBA</v>
      </c>
      <c r="H770" s="7" t="str">
        <f>+'[1]BASE RED COMERCIAL'!$B768</f>
        <v>CORDOBA</v>
      </c>
      <c r="I770" s="8" t="str">
        <f>+'[1]BASE RED COMERCIAL'!$C768</f>
        <v>CAPITAL</v>
      </c>
      <c r="J770" s="10"/>
      <c r="K770" s="10"/>
    </row>
    <row r="771" spans="1:11" x14ac:dyDescent="0.25">
      <c r="A771" s="14" t="str">
        <f>+'[1]BASE RED COMERCIAL'!$A769</f>
        <v>X5987</v>
      </c>
      <c r="B771" s="8" t="str">
        <f>+'[1]BASE RED COMERCIAL'!$H769</f>
        <v>PATIO OLMOS</v>
      </c>
      <c r="C771" s="7" t="s">
        <v>33</v>
      </c>
      <c r="D771" s="9" t="str">
        <f>+'[1]BASE RED COMERCIAL'!$E769</f>
        <v>GRAL M BELGRANO</v>
      </c>
      <c r="E771" s="7">
        <f>+'[1]BASE RED COMERCIAL'!$F769</f>
        <v>381</v>
      </c>
      <c r="F771" s="14" t="str">
        <f>+'[1]BASE RED COMERCIAL'!$I769</f>
        <v>X5000ZAP</v>
      </c>
      <c r="G771" s="7" t="str">
        <f>+'[1]BASE RED COMERCIAL'!$D769</f>
        <v>CORDOBA</v>
      </c>
      <c r="H771" s="7" t="str">
        <f>+'[1]BASE RED COMERCIAL'!$B769</f>
        <v>CORDOBA</v>
      </c>
      <c r="I771" s="8" t="str">
        <f>+'[1]BASE RED COMERCIAL'!$C769</f>
        <v>CAPITAL</v>
      </c>
      <c r="J771" s="10"/>
      <c r="K771" s="10"/>
    </row>
    <row r="772" spans="1:11" x14ac:dyDescent="0.25">
      <c r="A772" s="14" t="str">
        <f>+'[1]BASE RED COMERCIAL'!$A770</f>
        <v>X6361</v>
      </c>
      <c r="B772" s="8" t="str">
        <f>+'[1]BASE RED COMERCIAL'!$H770</f>
        <v>TICINO</v>
      </c>
      <c r="C772" s="7" t="s">
        <v>33</v>
      </c>
      <c r="D772" s="9" t="str">
        <f>+'[1]BASE RED COMERCIAL'!$E770</f>
        <v>INT ROBERTO STOLL</v>
      </c>
      <c r="E772" s="7">
        <f>+'[1]BASE RED COMERCIAL'!$F770</f>
        <v>398</v>
      </c>
      <c r="F772" s="14" t="str">
        <f>+'[1]BASE RED COMERCIAL'!$I770</f>
        <v>X5966ZAB</v>
      </c>
      <c r="G772" s="7" t="str">
        <f>+'[1]BASE RED COMERCIAL'!$D770</f>
        <v>TICINO</v>
      </c>
      <c r="H772" s="7" t="str">
        <f>+'[1]BASE RED COMERCIAL'!$B770</f>
        <v>CORDOBA</v>
      </c>
      <c r="I772" s="8" t="str">
        <f>+'[1]BASE RED COMERCIAL'!$C770</f>
        <v>GENERAL SAN MARTIN</v>
      </c>
      <c r="J772" s="10"/>
      <c r="K772" s="10"/>
    </row>
    <row r="773" spans="1:11" x14ac:dyDescent="0.25">
      <c r="A773" s="14" t="str">
        <f>+'[1]BASE RED COMERCIAL'!$A771</f>
        <v>X6567</v>
      </c>
      <c r="B773" s="8" t="str">
        <f>+'[1]BASE RED COMERCIAL'!$H771</f>
        <v>VILLA MARIA 2</v>
      </c>
      <c r="C773" s="7" t="s">
        <v>33</v>
      </c>
      <c r="D773" s="9" t="str">
        <f>+'[1]BASE RED COMERCIAL'!$E771</f>
        <v>AV PTE J D PERON</v>
      </c>
      <c r="E773" s="7">
        <f>+'[1]BASE RED COMERCIAL'!$F771</f>
        <v>2756</v>
      </c>
      <c r="F773" s="14" t="str">
        <f>+'[1]BASE RED COMERCIAL'!$I771</f>
        <v>X5900ZAJ</v>
      </c>
      <c r="G773" s="7" t="str">
        <f>+'[1]BASE RED COMERCIAL'!$D771</f>
        <v>VILLA MARIA</v>
      </c>
      <c r="H773" s="7" t="str">
        <f>+'[1]BASE RED COMERCIAL'!$B771</f>
        <v>CORDOBA</v>
      </c>
      <c r="I773" s="8" t="str">
        <f>+'[1]BASE RED COMERCIAL'!$C771</f>
        <v>GENERAL SAN MARTIN</v>
      </c>
      <c r="J773" s="10"/>
      <c r="K773" s="10"/>
    </row>
    <row r="774" spans="1:11" x14ac:dyDescent="0.25">
      <c r="A774" s="14" t="str">
        <f>+'[1]BASE RED COMERCIAL'!$A772</f>
        <v>X6568</v>
      </c>
      <c r="B774" s="8" t="str">
        <f>+'[1]BASE RED COMERCIAL'!$H772</f>
        <v>VILLA MARIA 3</v>
      </c>
      <c r="C774" s="7" t="s">
        <v>33</v>
      </c>
      <c r="D774" s="9" t="str">
        <f>+'[1]BASE RED COMERCIAL'!$E772</f>
        <v>CARTAGENA</v>
      </c>
      <c r="E774" s="7">
        <f>+'[1]BASE RED COMERCIAL'!$F772</f>
        <v>690</v>
      </c>
      <c r="F774" s="14" t="str">
        <f>+'[1]BASE RED COMERCIAL'!$I772</f>
        <v>X5900ZAK</v>
      </c>
      <c r="G774" s="7" t="str">
        <f>+'[1]BASE RED COMERCIAL'!$D772</f>
        <v>VILLA MARIA</v>
      </c>
      <c r="H774" s="7" t="str">
        <f>+'[1]BASE RED COMERCIAL'!$B772</f>
        <v>CORDOBA</v>
      </c>
      <c r="I774" s="8" t="str">
        <f>+'[1]BASE RED COMERCIAL'!$C772</f>
        <v>GENERAL SAN MARTIN</v>
      </c>
      <c r="J774" s="10"/>
      <c r="K774" s="10"/>
    </row>
    <row r="775" spans="1:11" x14ac:dyDescent="0.25">
      <c r="A775" s="14" t="str">
        <f>+'[1]BASE RED COMERCIAL'!$A773</f>
        <v>X6569</v>
      </c>
      <c r="B775" s="8" t="str">
        <f>+'[1]BASE RED COMERCIAL'!$H773</f>
        <v>VILLA MARIA 4</v>
      </c>
      <c r="C775" s="7" t="s">
        <v>33</v>
      </c>
      <c r="D775" s="9" t="str">
        <f>+'[1]BASE RED COMERCIAL'!$E773</f>
        <v>VELEZ SARSFIELD</v>
      </c>
      <c r="E775" s="7">
        <f>+'[1]BASE RED COMERCIAL'!$F773</f>
        <v>405</v>
      </c>
      <c r="F775" s="14" t="str">
        <f>+'[1]BASE RED COMERCIAL'!$I773</f>
        <v>X5901ZAD</v>
      </c>
      <c r="G775" s="7" t="str">
        <f>+'[1]BASE RED COMERCIAL'!$D773</f>
        <v>VILLA MARIA</v>
      </c>
      <c r="H775" s="7" t="str">
        <f>+'[1]BASE RED COMERCIAL'!$B773</f>
        <v>CORDOBA</v>
      </c>
      <c r="I775" s="8" t="str">
        <f>+'[1]BASE RED COMERCIAL'!$C773</f>
        <v>GENERAL SAN MARTIN</v>
      </c>
      <c r="J775" s="10"/>
      <c r="K775" s="10"/>
    </row>
    <row r="776" spans="1:11" x14ac:dyDescent="0.25">
      <c r="A776" s="14" t="str">
        <f>+'[1]BASE RED COMERCIAL'!$A774</f>
        <v>X6583</v>
      </c>
      <c r="B776" s="8" t="str">
        <f>+'[1]BASE RED COMERCIAL'!$H774</f>
        <v>ANISACATE</v>
      </c>
      <c r="C776" s="7" t="s">
        <v>33</v>
      </c>
      <c r="D776" s="9" t="str">
        <f>+'[1]BASE RED COMERCIAL'!$E774</f>
        <v>R PROV 5</v>
      </c>
      <c r="E776" s="7">
        <f>+'[1]BASE RED COMERCIAL'!$F774</f>
        <v>0</v>
      </c>
      <c r="F776" s="14" t="str">
        <f>+'[1]BASE RED COMERCIAL'!$I774</f>
        <v>X5189ZAH</v>
      </c>
      <c r="G776" s="7" t="str">
        <f>+'[1]BASE RED COMERCIAL'!$D774</f>
        <v>ANISACATE</v>
      </c>
      <c r="H776" s="7" t="str">
        <f>+'[1]BASE RED COMERCIAL'!$B774</f>
        <v>CORDOBA</v>
      </c>
      <c r="I776" s="8" t="str">
        <f>+'[1]BASE RED COMERCIAL'!$C774</f>
        <v>SANTA MARIA</v>
      </c>
      <c r="J776" s="10"/>
      <c r="K776" s="10"/>
    </row>
    <row r="777" spans="1:11" x14ac:dyDescent="0.25">
      <c r="A777" s="14" t="str">
        <f>+'[1]BASE RED COMERCIAL'!$A775</f>
        <v>X6659</v>
      </c>
      <c r="B777" s="8" t="str">
        <f>+'[1]BASE RED COMERCIAL'!$H775</f>
        <v>SALDAN</v>
      </c>
      <c r="C777" s="7" t="s">
        <v>33</v>
      </c>
      <c r="D777" s="9" t="str">
        <f>+'[1]BASE RED COMERCIAL'!$E775</f>
        <v>AV VELEZ SARSFIELD</v>
      </c>
      <c r="E777" s="7">
        <f>+'[1]BASE RED COMERCIAL'!$F775</f>
        <v>417</v>
      </c>
      <c r="F777" s="14" t="str">
        <f>+'[1]BASE RED COMERCIAL'!$I775</f>
        <v>X5150ZAC</v>
      </c>
      <c r="G777" s="7" t="str">
        <f>+'[1]BASE RED COMERCIAL'!$D775</f>
        <v>SALDAN</v>
      </c>
      <c r="H777" s="7" t="str">
        <f>+'[1]BASE RED COMERCIAL'!$B775</f>
        <v>CORDOBA</v>
      </c>
      <c r="I777" s="8" t="str">
        <f>+'[1]BASE RED COMERCIAL'!$C775</f>
        <v>COLON</v>
      </c>
      <c r="J777" s="10"/>
      <c r="K777" s="10"/>
    </row>
    <row r="778" spans="1:11" x14ac:dyDescent="0.25">
      <c r="A778" s="14" t="str">
        <f>+'[1]BASE RED COMERCIAL'!$A776</f>
        <v>X6674</v>
      </c>
      <c r="B778" s="8" t="str">
        <f>+'[1]BASE RED COMERCIAL'!$H776</f>
        <v>SEBASTIAN ELCANO</v>
      </c>
      <c r="C778" s="7" t="s">
        <v>33</v>
      </c>
      <c r="D778" s="9" t="str">
        <f>+'[1]BASE RED COMERCIAL'!$E776</f>
        <v>AV GRAL SAN MARTIN</v>
      </c>
      <c r="E778" s="7">
        <f>+'[1]BASE RED COMERCIAL'!$F776</f>
        <v>953</v>
      </c>
      <c r="F778" s="14" t="str">
        <f>+'[1]BASE RED COMERCIAL'!$I776</f>
        <v>X5231ZAC</v>
      </c>
      <c r="G778" s="7" t="str">
        <f>+'[1]BASE RED COMERCIAL'!$D776</f>
        <v>SEBASTIAN ELCANO</v>
      </c>
      <c r="H778" s="7" t="str">
        <f>+'[1]BASE RED COMERCIAL'!$B776</f>
        <v>CORDOBA</v>
      </c>
      <c r="I778" s="8" t="str">
        <f>+'[1]BASE RED COMERCIAL'!$C776</f>
        <v>RIO SECO</v>
      </c>
      <c r="J778" s="10"/>
      <c r="K778" s="10"/>
    </row>
    <row r="779" spans="1:11" x14ac:dyDescent="0.25">
      <c r="A779" s="14" t="str">
        <f>+'[1]BASE RED COMERCIAL'!$A777</f>
        <v>X6675</v>
      </c>
      <c r="B779" s="8" t="str">
        <f>+'[1]BASE RED COMERCIAL'!$H777</f>
        <v>CURA BROCHERO</v>
      </c>
      <c r="C779" s="7" t="s">
        <v>33</v>
      </c>
      <c r="D779" s="9" t="str">
        <f>+'[1]BASE RED COMERCIAL'!$E777</f>
        <v>RIVADAVIA</v>
      </c>
      <c r="E779" s="7">
        <f>+'[1]BASE RED COMERCIAL'!$F777</f>
        <v>288</v>
      </c>
      <c r="F779" s="14" t="str">
        <f>+'[1]BASE RED COMERCIAL'!$I777</f>
        <v>X5891ZAB</v>
      </c>
      <c r="G779" s="7" t="str">
        <f>+'[1]BASE RED COMERCIAL'!$D777</f>
        <v>VILLA CURA BROCHERO</v>
      </c>
      <c r="H779" s="7" t="str">
        <f>+'[1]BASE RED COMERCIAL'!$B777</f>
        <v>CORDOBA</v>
      </c>
      <c r="I779" s="8" t="str">
        <f>+'[1]BASE RED COMERCIAL'!$C777</f>
        <v>SAN ALBERTO</v>
      </c>
      <c r="J779" s="10"/>
      <c r="K779" s="10"/>
    </row>
    <row r="780" spans="1:11" x14ac:dyDescent="0.25">
      <c r="A780" s="14" t="str">
        <f>+'[1]BASE RED COMERCIAL'!$A778</f>
        <v>X6676</v>
      </c>
      <c r="B780" s="8" t="str">
        <f>+'[1]BASE RED COMERCIAL'!$H778</f>
        <v>TOLEDO</v>
      </c>
      <c r="C780" s="7" t="s">
        <v>33</v>
      </c>
      <c r="D780" s="9" t="str">
        <f>+'[1]BASE RED COMERCIAL'!$E778</f>
        <v>ITUZAINGO</v>
      </c>
      <c r="E780" s="7">
        <f>+'[1]BASE RED COMERCIAL'!$F778</f>
        <v>1</v>
      </c>
      <c r="F780" s="14" t="str">
        <f>+'[1]BASE RED COMERCIAL'!$I778</f>
        <v>X5123ZAB</v>
      </c>
      <c r="G780" s="7" t="str">
        <f>+'[1]BASE RED COMERCIAL'!$D778</f>
        <v>TOLEDO</v>
      </c>
      <c r="H780" s="7" t="str">
        <f>+'[1]BASE RED COMERCIAL'!$B778</f>
        <v>CORDOBA</v>
      </c>
      <c r="I780" s="8" t="str">
        <f>+'[1]BASE RED COMERCIAL'!$C778</f>
        <v>SANTA MARIA</v>
      </c>
      <c r="J780" s="10"/>
      <c r="K780" s="10"/>
    </row>
    <row r="781" spans="1:11" x14ac:dyDescent="0.25">
      <c r="A781" s="14" t="str">
        <f>+'[1]BASE RED COMERCIAL'!$A779</f>
        <v>X6677</v>
      </c>
      <c r="B781" s="8" t="str">
        <f>+'[1]BASE RED COMERCIAL'!$H779</f>
        <v>MENDIOLAZA</v>
      </c>
      <c r="C781" s="7" t="s">
        <v>33</v>
      </c>
      <c r="D781" s="9" t="str">
        <f>+'[1]BASE RED COMERCIAL'!$E779</f>
        <v>LAS MERCEDES</v>
      </c>
      <c r="E781" s="7">
        <f>+'[1]BASE RED COMERCIAL'!$F779</f>
        <v>6</v>
      </c>
      <c r="F781" s="14" t="str">
        <f>+'[1]BASE RED COMERCIAL'!$I779</f>
        <v>X5108ZAF</v>
      </c>
      <c r="G781" s="7" t="str">
        <f>+'[1]BASE RED COMERCIAL'!$D779</f>
        <v>MENDIOLAZA</v>
      </c>
      <c r="H781" s="7" t="str">
        <f>+'[1]BASE RED COMERCIAL'!$B779</f>
        <v>CORDOBA</v>
      </c>
      <c r="I781" s="8" t="str">
        <f>+'[1]BASE RED COMERCIAL'!$C779</f>
        <v>COLON</v>
      </c>
      <c r="J781" s="10"/>
      <c r="K781" s="10"/>
    </row>
    <row r="782" spans="1:11" x14ac:dyDescent="0.25">
      <c r="A782" s="14" t="str">
        <f>+'[1]BASE RED COMERCIAL'!$A780</f>
        <v>X6678</v>
      </c>
      <c r="B782" s="8" t="str">
        <f>+'[1]BASE RED COMERCIAL'!$H780</f>
        <v>NONO</v>
      </c>
      <c r="C782" s="7" t="s">
        <v>33</v>
      </c>
      <c r="D782" s="9" t="str">
        <f>+'[1]BASE RED COMERCIAL'!$E780</f>
        <v>DOMINGO SARMIENTO</v>
      </c>
      <c r="E782" s="7">
        <f>+'[1]BASE RED COMERCIAL'!$F780</f>
        <v>18</v>
      </c>
      <c r="F782" s="14" t="str">
        <f>+'[1]BASE RED COMERCIAL'!$I780</f>
        <v>X5887ZAB</v>
      </c>
      <c r="G782" s="7" t="str">
        <f>+'[1]BASE RED COMERCIAL'!$D780</f>
        <v>NONO</v>
      </c>
      <c r="H782" s="7" t="str">
        <f>+'[1]BASE RED COMERCIAL'!$B780</f>
        <v>CORDOBA</v>
      </c>
      <c r="I782" s="8" t="str">
        <f>+'[1]BASE RED COMERCIAL'!$C780</f>
        <v>SAN ALBERTO</v>
      </c>
      <c r="J782" s="10"/>
      <c r="K782" s="10"/>
    </row>
    <row r="783" spans="1:11" x14ac:dyDescent="0.25">
      <c r="A783" s="14" t="str">
        <f>+'[1]BASE RED COMERCIAL'!$A781</f>
        <v>X6679</v>
      </c>
      <c r="B783" s="8" t="str">
        <f>+'[1]BASE RED COMERCIAL'!$H781</f>
        <v>SINSACATE</v>
      </c>
      <c r="C783" s="7" t="s">
        <v>33</v>
      </c>
      <c r="D783" s="9" t="str">
        <f>+'[1]BASE RED COMERCIAL'!$E781</f>
        <v>25 DE MAYO</v>
      </c>
      <c r="E783" s="7">
        <f>+'[1]BASE RED COMERCIAL'!$F781</f>
        <v>1</v>
      </c>
      <c r="F783" s="14" t="str">
        <f>+'[1]BASE RED COMERCIAL'!$I781</f>
        <v>X5221ZAH</v>
      </c>
      <c r="G783" s="7" t="str">
        <f>+'[1]BASE RED COMERCIAL'!$D781</f>
        <v>SINSACATE</v>
      </c>
      <c r="H783" s="7" t="str">
        <f>+'[1]BASE RED COMERCIAL'!$B781</f>
        <v>CORDOBA</v>
      </c>
      <c r="I783" s="8" t="str">
        <f>+'[1]BASE RED COMERCIAL'!$C781</f>
        <v>TOTORAL</v>
      </c>
      <c r="J783" s="10"/>
      <c r="K783" s="10"/>
    </row>
    <row r="784" spans="1:11" x14ac:dyDescent="0.25">
      <c r="A784" s="14" t="str">
        <f>+'[1]BASE RED COMERCIAL'!$A782</f>
        <v>X6680</v>
      </c>
      <c r="B784" s="8" t="str">
        <f>+'[1]BASE RED COMERCIAL'!$H782</f>
        <v>VILLA DE LAS ROSAS</v>
      </c>
      <c r="C784" s="7" t="s">
        <v>33</v>
      </c>
      <c r="D784" s="9" t="str">
        <f>+'[1]BASE RED COMERCIAL'!$E782</f>
        <v>AV DR MANUEL BELGRANO</v>
      </c>
      <c r="E784" s="7">
        <f>+'[1]BASE RED COMERCIAL'!$F782</f>
        <v>0</v>
      </c>
      <c r="F784" s="14" t="str">
        <f>+'[1]BASE RED COMERCIAL'!$I782</f>
        <v>X5885ZAD</v>
      </c>
      <c r="G784" s="7" t="str">
        <f>+'[1]BASE RED COMERCIAL'!$D782</f>
        <v>VILLA DE LAS ROSAS</v>
      </c>
      <c r="H784" s="7" t="str">
        <f>+'[1]BASE RED COMERCIAL'!$B782</f>
        <v>CORDOBA</v>
      </c>
      <c r="I784" s="8" t="str">
        <f>+'[1]BASE RED COMERCIAL'!$C782</f>
        <v>SAN JAVIER</v>
      </c>
      <c r="J784" s="10"/>
      <c r="K784" s="10"/>
    </row>
    <row r="785" spans="1:11" x14ac:dyDescent="0.25">
      <c r="A785" s="14" t="str">
        <f>+'[1]BASE RED COMERCIAL'!$A783</f>
        <v>W0000</v>
      </c>
      <c r="B785" s="8" t="str">
        <f>+'[1]BASE RED COMERCIAL'!$H783</f>
        <v>CORRIENTES</v>
      </c>
      <c r="C785" s="7" t="s">
        <v>33</v>
      </c>
      <c r="D785" s="9" t="str">
        <f>+'[1]BASE RED COMERCIAL'!$E783</f>
        <v>SAN JUAN</v>
      </c>
      <c r="E785" s="7">
        <f>+'[1]BASE RED COMERCIAL'!$F783</f>
        <v>1098</v>
      </c>
      <c r="F785" s="14" t="str">
        <f>+'[1]BASE RED COMERCIAL'!$I783</f>
        <v>W3400ZAC</v>
      </c>
      <c r="G785" s="7" t="str">
        <f>+'[1]BASE RED COMERCIAL'!$D783</f>
        <v>CORRIENTES</v>
      </c>
      <c r="H785" s="7" t="str">
        <f>+'[1]BASE RED COMERCIAL'!$B783</f>
        <v>CORRIENTES</v>
      </c>
      <c r="I785" s="8" t="str">
        <f>+'[1]BASE RED COMERCIAL'!$C783</f>
        <v>CAPITAL</v>
      </c>
      <c r="J785" s="10"/>
      <c r="K785" s="10"/>
    </row>
    <row r="786" spans="1:11" x14ac:dyDescent="0.25">
      <c r="A786" s="14" t="str">
        <f>+'[1]BASE RED COMERCIAL'!$A784</f>
        <v>W0001</v>
      </c>
      <c r="B786" s="8" t="str">
        <f>+'[1]BASE RED COMERCIAL'!$H784</f>
        <v>SUCURSAL 1</v>
      </c>
      <c r="C786" s="7" t="s">
        <v>33</v>
      </c>
      <c r="D786" s="9" t="str">
        <f>+'[1]BASE RED COMERCIAL'!$E784</f>
        <v>GRAL M BELGRANO</v>
      </c>
      <c r="E786" s="7">
        <f>+'[1]BASE RED COMERCIAL'!$F784</f>
        <v>2295</v>
      </c>
      <c r="F786" s="14" t="str">
        <f>+'[1]BASE RED COMERCIAL'!$I784</f>
        <v>W3400ZAA</v>
      </c>
      <c r="G786" s="7" t="str">
        <f>+'[1]BASE RED COMERCIAL'!$D784</f>
        <v>CORRIENTES</v>
      </c>
      <c r="H786" s="7" t="str">
        <f>+'[1]BASE RED COMERCIAL'!$B784</f>
        <v>CORRIENTES</v>
      </c>
      <c r="I786" s="8" t="str">
        <f>+'[1]BASE RED COMERCIAL'!$C784</f>
        <v>CAPITAL</v>
      </c>
      <c r="J786" s="10"/>
      <c r="K786" s="10"/>
    </row>
    <row r="787" spans="1:11" x14ac:dyDescent="0.25">
      <c r="A787" s="14" t="str">
        <f>+'[1]BASE RED COMERCIAL'!$A785</f>
        <v>W0003</v>
      </c>
      <c r="B787" s="8" t="str">
        <f>+'[1]BASE RED COMERCIAL'!$H785</f>
        <v>SUCURSAL 3</v>
      </c>
      <c r="C787" s="7" t="s">
        <v>33</v>
      </c>
      <c r="D787" s="9" t="str">
        <f>+'[1]BASE RED COMERCIAL'!$E785</f>
        <v>COSQUIN</v>
      </c>
      <c r="E787" s="7">
        <f>+'[1]BASE RED COMERCIAL'!$F785</f>
        <v>1890</v>
      </c>
      <c r="F787" s="14" t="str">
        <f>+'[1]BASE RED COMERCIAL'!$I785</f>
        <v>W3404ZAA</v>
      </c>
      <c r="G787" s="7" t="str">
        <f>+'[1]BASE RED COMERCIAL'!$D785</f>
        <v>CORRIENTES</v>
      </c>
      <c r="H787" s="7" t="str">
        <f>+'[1]BASE RED COMERCIAL'!$B785</f>
        <v>CORRIENTES</v>
      </c>
      <c r="I787" s="8" t="str">
        <f>+'[1]BASE RED COMERCIAL'!$C785</f>
        <v>CAPITAL</v>
      </c>
      <c r="J787" s="10"/>
      <c r="K787" s="10"/>
    </row>
    <row r="788" spans="1:11" x14ac:dyDescent="0.25">
      <c r="A788" s="14" t="str">
        <f>+'[1]BASE RED COMERCIAL'!$A786</f>
        <v>W0004</v>
      </c>
      <c r="B788" s="8" t="str">
        <f>+'[1]BASE RED COMERCIAL'!$H786</f>
        <v>BELLA VISTA</v>
      </c>
      <c r="C788" s="7" t="s">
        <v>33</v>
      </c>
      <c r="D788" s="9" t="str">
        <f>+'[1]BASE RED COMERCIAL'!$E786</f>
        <v>CORRIENTES</v>
      </c>
      <c r="E788" s="7">
        <f>+'[1]BASE RED COMERCIAL'!$F786</f>
        <v>689</v>
      </c>
      <c r="F788" s="14" t="str">
        <f>+'[1]BASE RED COMERCIAL'!$I786</f>
        <v>W3432ZAA</v>
      </c>
      <c r="G788" s="7" t="str">
        <f>+'[1]BASE RED COMERCIAL'!$D786</f>
        <v>BELLA VISTA</v>
      </c>
      <c r="H788" s="7" t="str">
        <f>+'[1]BASE RED COMERCIAL'!$B786</f>
        <v>CORRIENTES</v>
      </c>
      <c r="I788" s="8" t="str">
        <f>+'[1]BASE RED COMERCIAL'!$C786</f>
        <v>BELLA VISTA</v>
      </c>
      <c r="J788" s="10"/>
      <c r="K788" s="10"/>
    </row>
    <row r="789" spans="1:11" x14ac:dyDescent="0.25">
      <c r="A789" s="14" t="str">
        <f>+'[1]BASE RED COMERCIAL'!$A787</f>
        <v>W0005</v>
      </c>
      <c r="B789" s="8" t="str">
        <f>+'[1]BASE RED COMERCIAL'!$H787</f>
        <v>CHAVARRIA</v>
      </c>
      <c r="C789" s="7" t="s">
        <v>33</v>
      </c>
      <c r="D789" s="9" t="str">
        <f>+'[1]BASE RED COMERCIAL'!$E787</f>
        <v>GDOR JUAN V PAMPIN</v>
      </c>
      <c r="E789" s="7">
        <f>+'[1]BASE RED COMERCIAL'!$F787</f>
        <v>0</v>
      </c>
      <c r="F789" s="14" t="str">
        <f>+'[1]BASE RED COMERCIAL'!$I787</f>
        <v>W3474ZAA</v>
      </c>
      <c r="G789" s="7" t="str">
        <f>+'[1]BASE RED COMERCIAL'!$D787</f>
        <v>CHAVARRIA</v>
      </c>
      <c r="H789" s="7" t="str">
        <f>+'[1]BASE RED COMERCIAL'!$B787</f>
        <v>CORRIENTES</v>
      </c>
      <c r="I789" s="8" t="str">
        <f>+'[1]BASE RED COMERCIAL'!$C787</f>
        <v>SAN ROQUE</v>
      </c>
      <c r="J789" s="10"/>
      <c r="K789" s="10"/>
    </row>
    <row r="790" spans="1:11" x14ac:dyDescent="0.25">
      <c r="A790" s="14" t="str">
        <f>+'[1]BASE RED COMERCIAL'!$A788</f>
        <v>W0006</v>
      </c>
      <c r="B790" s="8" t="str">
        <f>+'[1]BASE RED COMERCIAL'!$H788</f>
        <v>CONCEPCION</v>
      </c>
      <c r="C790" s="7" t="s">
        <v>33</v>
      </c>
      <c r="D790" s="9" t="str">
        <f>+'[1]BASE RED COMERCIAL'!$E788</f>
        <v>SAN MARTIN</v>
      </c>
      <c r="E790" s="7">
        <f>+'[1]BASE RED COMERCIAL'!$F788</f>
        <v>555</v>
      </c>
      <c r="F790" s="14" t="str">
        <f>+'[1]BASE RED COMERCIAL'!$I788</f>
        <v>W3423ZAA</v>
      </c>
      <c r="G790" s="7" t="str">
        <f>+'[1]BASE RED COMERCIAL'!$D788</f>
        <v>CONCEPCION</v>
      </c>
      <c r="H790" s="7" t="str">
        <f>+'[1]BASE RED COMERCIAL'!$B788</f>
        <v>CORRIENTES</v>
      </c>
      <c r="I790" s="8" t="str">
        <f>+'[1]BASE RED COMERCIAL'!$C788</f>
        <v>CONCEPCION</v>
      </c>
      <c r="J790" s="10"/>
      <c r="K790" s="10"/>
    </row>
    <row r="791" spans="1:11" x14ac:dyDescent="0.25">
      <c r="A791" s="14" t="str">
        <f>+'[1]BASE RED COMERCIAL'!$A789</f>
        <v>W0007</v>
      </c>
      <c r="B791" s="8" t="str">
        <f>+'[1]BASE RED COMERCIAL'!$H789</f>
        <v>EMPEDRADO</v>
      </c>
      <c r="C791" s="7" t="s">
        <v>33</v>
      </c>
      <c r="D791" s="9" t="str">
        <f>+'[1]BASE RED COMERCIAL'!$E789</f>
        <v>AV BME MITRE</v>
      </c>
      <c r="E791" s="7">
        <f>+'[1]BASE RED COMERCIAL'!$F789</f>
        <v>1184</v>
      </c>
      <c r="F791" s="14" t="str">
        <f>+'[1]BASE RED COMERCIAL'!$I789</f>
        <v>W3418ZAA</v>
      </c>
      <c r="G791" s="7" t="str">
        <f>+'[1]BASE RED COMERCIAL'!$D789</f>
        <v>EMPEDRADO</v>
      </c>
      <c r="H791" s="7" t="str">
        <f>+'[1]BASE RED COMERCIAL'!$B789</f>
        <v>CORRIENTES</v>
      </c>
      <c r="I791" s="8" t="str">
        <f>+'[1]BASE RED COMERCIAL'!$C789</f>
        <v>EMPEDRADO</v>
      </c>
      <c r="J791" s="10"/>
      <c r="K791" s="10"/>
    </row>
    <row r="792" spans="1:11" x14ac:dyDescent="0.25">
      <c r="A792" s="14" t="str">
        <f>+'[1]BASE RED COMERCIAL'!$A790</f>
        <v>W0008</v>
      </c>
      <c r="B792" s="8" t="str">
        <f>+'[1]BASE RED COMERCIAL'!$H790</f>
        <v>ESQUINA</v>
      </c>
      <c r="C792" s="7" t="s">
        <v>33</v>
      </c>
      <c r="D792" s="9" t="str">
        <f>+'[1]BASE RED COMERCIAL'!$E790</f>
        <v>BME MITRE</v>
      </c>
      <c r="E792" s="7">
        <f>+'[1]BASE RED COMERCIAL'!$F790</f>
        <v>810</v>
      </c>
      <c r="F792" s="14" t="str">
        <f>+'[1]BASE RED COMERCIAL'!$I790</f>
        <v>W3196ZAA</v>
      </c>
      <c r="G792" s="7" t="str">
        <f>+'[1]BASE RED COMERCIAL'!$D790</f>
        <v>ESQUINA</v>
      </c>
      <c r="H792" s="7" t="str">
        <f>+'[1]BASE RED COMERCIAL'!$B790</f>
        <v>CORRIENTES</v>
      </c>
      <c r="I792" s="8" t="str">
        <f>+'[1]BASE RED COMERCIAL'!$C790</f>
        <v>ESQUINA</v>
      </c>
      <c r="J792" s="10"/>
      <c r="K792" s="10"/>
    </row>
    <row r="793" spans="1:11" x14ac:dyDescent="0.25">
      <c r="A793" s="14" t="str">
        <f>+'[1]BASE RED COMERCIAL'!$A791</f>
        <v>W0009</v>
      </c>
      <c r="B793" s="8" t="str">
        <f>+'[1]BASE RED COMERCIAL'!$H791</f>
        <v>NUESTRA SEÃ‘ORA DE CAA CATI</v>
      </c>
      <c r="C793" s="7" t="s">
        <v>33</v>
      </c>
      <c r="D793" s="9" t="str">
        <f>+'[1]BASE RED COMERCIAL'!$E791</f>
        <v>GORDIOLA NIELLA</v>
      </c>
      <c r="E793" s="7">
        <f>+'[1]BASE RED COMERCIAL'!$F791</f>
        <v>115</v>
      </c>
      <c r="F793" s="14" t="str">
        <f>+'[1]BASE RED COMERCIAL'!$I791</f>
        <v>W3407ZAA</v>
      </c>
      <c r="G793" s="7" t="str">
        <f>+'[1]BASE RED COMERCIAL'!$D791</f>
        <v>NTRA SRA DEL ROS DE CAA CATI</v>
      </c>
      <c r="H793" s="7" t="str">
        <f>+'[1]BASE RED COMERCIAL'!$B791</f>
        <v>CORRIENTES</v>
      </c>
      <c r="I793" s="8" t="str">
        <f>+'[1]BASE RED COMERCIAL'!$C791</f>
        <v>GENERAL PAZ</v>
      </c>
      <c r="J793" s="10"/>
      <c r="K793" s="10"/>
    </row>
    <row r="794" spans="1:11" x14ac:dyDescent="0.25">
      <c r="A794" s="14" t="str">
        <f>+'[1]BASE RED COMERCIAL'!$A792</f>
        <v>W0010</v>
      </c>
      <c r="B794" s="8" t="str">
        <f>+'[1]BASE RED COMERCIAL'!$H792</f>
        <v>GOYA</v>
      </c>
      <c r="C794" s="7" t="s">
        <v>33</v>
      </c>
      <c r="D794" s="9" t="str">
        <f>+'[1]BASE RED COMERCIAL'!$E792</f>
        <v>GRAL M BELGRANO</v>
      </c>
      <c r="E794" s="7">
        <f>+'[1]BASE RED COMERCIAL'!$F792</f>
        <v>942</v>
      </c>
      <c r="F794" s="14" t="str">
        <f>+'[1]BASE RED COMERCIAL'!$I792</f>
        <v>W3450ZAA</v>
      </c>
      <c r="G794" s="7" t="str">
        <f>+'[1]BASE RED COMERCIAL'!$D792</f>
        <v>GOYA</v>
      </c>
      <c r="H794" s="7" t="str">
        <f>+'[1]BASE RED COMERCIAL'!$B792</f>
        <v>CORRIENTES</v>
      </c>
      <c r="I794" s="8" t="str">
        <f>+'[1]BASE RED COMERCIAL'!$C792</f>
        <v>GOYA</v>
      </c>
      <c r="J794" s="10"/>
      <c r="K794" s="10"/>
    </row>
    <row r="795" spans="1:11" x14ac:dyDescent="0.25">
      <c r="A795" s="14" t="str">
        <f>+'[1]BASE RED COMERCIAL'!$A793</f>
        <v>W0011</v>
      </c>
      <c r="B795" s="8" t="str">
        <f>+'[1]BASE RED COMERCIAL'!$H793</f>
        <v>ITA IBATE</v>
      </c>
      <c r="C795" s="7" t="s">
        <v>33</v>
      </c>
      <c r="D795" s="9" t="str">
        <f>+'[1]BASE RED COMERCIAL'!$E793</f>
        <v>9 DE JULIO</v>
      </c>
      <c r="E795" s="7">
        <f>+'[1]BASE RED COMERCIAL'!$F793</f>
        <v>100</v>
      </c>
      <c r="F795" s="14" t="str">
        <f>+'[1]BASE RED COMERCIAL'!$I793</f>
        <v>W3480ZAA</v>
      </c>
      <c r="G795" s="7" t="str">
        <f>+'[1]BASE RED COMERCIAL'!$D793</f>
        <v>ITA IBATE</v>
      </c>
      <c r="H795" s="7" t="str">
        <f>+'[1]BASE RED COMERCIAL'!$B793</f>
        <v>CORRIENTES</v>
      </c>
      <c r="I795" s="8" t="str">
        <f>+'[1]BASE RED COMERCIAL'!$C793</f>
        <v>GENERAL PAZ</v>
      </c>
      <c r="J795" s="10"/>
      <c r="K795" s="10"/>
    </row>
    <row r="796" spans="1:11" x14ac:dyDescent="0.25">
      <c r="A796" s="14" t="str">
        <f>+'[1]BASE RED COMERCIAL'!$A794</f>
        <v>W0012</v>
      </c>
      <c r="B796" s="8" t="str">
        <f>+'[1]BASE RED COMERCIAL'!$H794</f>
        <v>ITATI</v>
      </c>
      <c r="C796" s="7" t="s">
        <v>33</v>
      </c>
      <c r="D796" s="9" t="str">
        <f>+'[1]BASE RED COMERCIAL'!$E794</f>
        <v>CASTOR DE LEON</v>
      </c>
      <c r="E796" s="7">
        <f>+'[1]BASE RED COMERCIAL'!$F794</f>
        <v>0</v>
      </c>
      <c r="F796" s="14" t="str">
        <f>+'[1]BASE RED COMERCIAL'!$I794</f>
        <v>W3414ZAA</v>
      </c>
      <c r="G796" s="7" t="str">
        <f>+'[1]BASE RED COMERCIAL'!$D794</f>
        <v>ITATI</v>
      </c>
      <c r="H796" s="7" t="str">
        <f>+'[1]BASE RED COMERCIAL'!$B794</f>
        <v>CORRIENTES</v>
      </c>
      <c r="I796" s="8" t="str">
        <f>+'[1]BASE RED COMERCIAL'!$C794</f>
        <v>ITATI</v>
      </c>
      <c r="J796" s="10"/>
      <c r="K796" s="10"/>
    </row>
    <row r="797" spans="1:11" x14ac:dyDescent="0.25">
      <c r="A797" s="14" t="str">
        <f>+'[1]BASE RED COMERCIAL'!$A795</f>
        <v>W0013</v>
      </c>
      <c r="B797" s="8" t="str">
        <f>+'[1]BASE RED COMERCIAL'!$H795</f>
        <v>ITUZAINGO</v>
      </c>
      <c r="C797" s="7" t="s">
        <v>33</v>
      </c>
      <c r="D797" s="9" t="str">
        <f>+'[1]BASE RED COMERCIAL'!$E795</f>
        <v>BERNARDINO VALLE</v>
      </c>
      <c r="E797" s="7">
        <f>+'[1]BASE RED COMERCIAL'!$F795</f>
        <v>1801</v>
      </c>
      <c r="F797" s="14" t="str">
        <f>+'[1]BASE RED COMERCIAL'!$I795</f>
        <v>W3302ZAA</v>
      </c>
      <c r="G797" s="7" t="str">
        <f>+'[1]BASE RED COMERCIAL'!$D795</f>
        <v>ITUZAINGO</v>
      </c>
      <c r="H797" s="7" t="str">
        <f>+'[1]BASE RED COMERCIAL'!$B795</f>
        <v>CORRIENTES</v>
      </c>
      <c r="I797" s="8" t="str">
        <f>+'[1]BASE RED COMERCIAL'!$C795</f>
        <v>ITUZAINGO</v>
      </c>
      <c r="J797" s="10"/>
      <c r="K797" s="10"/>
    </row>
    <row r="798" spans="1:11" x14ac:dyDescent="0.25">
      <c r="A798" s="14" t="str">
        <f>+'[1]BASE RED COMERCIAL'!$A796</f>
        <v>W0015</v>
      </c>
      <c r="B798" s="8" t="str">
        <f>+'[1]BASE RED COMERCIAL'!$H796</f>
        <v>LORETO</v>
      </c>
      <c r="C798" s="7" t="s">
        <v>33</v>
      </c>
      <c r="D798" s="9" t="str">
        <f>+'[1]BASE RED COMERCIAL'!$E796</f>
        <v>25 DE MAYO</v>
      </c>
      <c r="E798" s="7">
        <f>+'[1]BASE RED COMERCIAL'!$F796</f>
        <v>0</v>
      </c>
      <c r="F798" s="14" t="str">
        <f>+'[1]BASE RED COMERCIAL'!$I796</f>
        <v>W3483ZAA</v>
      </c>
      <c r="G798" s="7" t="str">
        <f>+'[1]BASE RED COMERCIAL'!$D796</f>
        <v>LORETO</v>
      </c>
      <c r="H798" s="7" t="str">
        <f>+'[1]BASE RED COMERCIAL'!$B796</f>
        <v>CORRIENTES</v>
      </c>
      <c r="I798" s="8" t="str">
        <f>+'[1]BASE RED COMERCIAL'!$C796</f>
        <v>SAN MIGUEL</v>
      </c>
      <c r="J798" s="10"/>
      <c r="K798" s="10"/>
    </row>
    <row r="799" spans="1:11" x14ac:dyDescent="0.25">
      <c r="A799" s="14" t="str">
        <f>+'[1]BASE RED COMERCIAL'!$A797</f>
        <v>W0016</v>
      </c>
      <c r="B799" s="8" t="str">
        <f>+'[1]BASE RED COMERCIAL'!$H797</f>
        <v>MANTILLA</v>
      </c>
      <c r="C799" s="7" t="s">
        <v>33</v>
      </c>
      <c r="D799" s="9" t="str">
        <f>+'[1]BASE RED COMERCIAL'!$E797</f>
        <v>URQUIZA</v>
      </c>
      <c r="E799" s="7">
        <f>+'[1]BASE RED COMERCIAL'!$F797</f>
        <v>0</v>
      </c>
      <c r="F799" s="14" t="str">
        <f>+'[1]BASE RED COMERCIAL'!$I797</f>
        <v>W3446ZAA</v>
      </c>
      <c r="G799" s="7" t="str">
        <f>+'[1]BASE RED COMERCIAL'!$D797</f>
        <v>MANUEL FLORENCIO MANTILLA</v>
      </c>
      <c r="H799" s="7" t="str">
        <f>+'[1]BASE RED COMERCIAL'!$B797</f>
        <v>CORRIENTES</v>
      </c>
      <c r="I799" s="8" t="str">
        <f>+'[1]BASE RED COMERCIAL'!$C797</f>
        <v>SAN ROQUE</v>
      </c>
      <c r="J799" s="10"/>
      <c r="K799" s="10"/>
    </row>
    <row r="800" spans="1:11" x14ac:dyDescent="0.25">
      <c r="A800" s="14" t="str">
        <f>+'[1]BASE RED COMERCIAL'!$A798</f>
        <v>W0017</v>
      </c>
      <c r="B800" s="8" t="str">
        <f>+'[1]BASE RED COMERCIAL'!$H798</f>
        <v>MBURUCUYA</v>
      </c>
      <c r="C800" s="7" t="s">
        <v>33</v>
      </c>
      <c r="D800" s="9" t="str">
        <f>+'[1]BASE RED COMERCIAL'!$E798</f>
        <v>MANUEL BELGRANO</v>
      </c>
      <c r="E800" s="7">
        <f>+'[1]BASE RED COMERCIAL'!$F798</f>
        <v>984</v>
      </c>
      <c r="F800" s="14" t="str">
        <f>+'[1]BASE RED COMERCIAL'!$I798</f>
        <v>W3427ZAA</v>
      </c>
      <c r="G800" s="7" t="str">
        <f>+'[1]BASE RED COMERCIAL'!$D798</f>
        <v>MBURUCUYA</v>
      </c>
      <c r="H800" s="7" t="str">
        <f>+'[1]BASE RED COMERCIAL'!$B798</f>
        <v>CORRIENTES</v>
      </c>
      <c r="I800" s="8" t="str">
        <f>+'[1]BASE RED COMERCIAL'!$C798</f>
        <v>MBURUCUYA</v>
      </c>
      <c r="J800" s="10"/>
      <c r="K800" s="10"/>
    </row>
    <row r="801" spans="1:11" x14ac:dyDescent="0.25">
      <c r="A801" s="14" t="str">
        <f>+'[1]BASE RED COMERCIAL'!$A799</f>
        <v>W0018</v>
      </c>
      <c r="B801" s="8" t="str">
        <f>+'[1]BASE RED COMERCIAL'!$H799</f>
        <v>MERCEDES</v>
      </c>
      <c r="C801" s="7" t="s">
        <v>33</v>
      </c>
      <c r="D801" s="9" t="str">
        <f>+'[1]BASE RED COMERCIAL'!$E799</f>
        <v>RIVADAVIA</v>
      </c>
      <c r="E801" s="7">
        <f>+'[1]BASE RED COMERCIAL'!$F799</f>
        <v>599</v>
      </c>
      <c r="F801" s="14" t="str">
        <f>+'[1]BASE RED COMERCIAL'!$I799</f>
        <v>W3470ZAA</v>
      </c>
      <c r="G801" s="7" t="str">
        <f>+'[1]BASE RED COMERCIAL'!$D799</f>
        <v>MERCEDES</v>
      </c>
      <c r="H801" s="7" t="str">
        <f>+'[1]BASE RED COMERCIAL'!$B799</f>
        <v>CORRIENTES</v>
      </c>
      <c r="I801" s="8" t="str">
        <f>+'[1]BASE RED COMERCIAL'!$C799</f>
        <v>MERCEDES</v>
      </c>
      <c r="J801" s="10"/>
      <c r="K801" s="10"/>
    </row>
    <row r="802" spans="1:11" x14ac:dyDescent="0.25">
      <c r="A802" s="14" t="str">
        <f>+'[1]BASE RED COMERCIAL'!$A800</f>
        <v>W0020</v>
      </c>
      <c r="B802" s="8" t="str">
        <f>+'[1]BASE RED COMERCIAL'!$H800</f>
        <v>PASO DE LA PATRIA</v>
      </c>
      <c r="C802" s="7" t="s">
        <v>33</v>
      </c>
      <c r="D802" s="9" t="str">
        <f>+'[1]BASE RED COMERCIAL'!$E800</f>
        <v>25 DE MAYO</v>
      </c>
      <c r="E802" s="7">
        <f>+'[1]BASE RED COMERCIAL'!$F800</f>
        <v>642</v>
      </c>
      <c r="F802" s="14" t="str">
        <f>+'[1]BASE RED COMERCIAL'!$I800</f>
        <v>W3409ZAA</v>
      </c>
      <c r="G802" s="7" t="str">
        <f>+'[1]BASE RED COMERCIAL'!$D800</f>
        <v>PASO DE LA PATRIA</v>
      </c>
      <c r="H802" s="7" t="str">
        <f>+'[1]BASE RED COMERCIAL'!$B800</f>
        <v>CORRIENTES</v>
      </c>
      <c r="I802" s="8" t="str">
        <f>+'[1]BASE RED COMERCIAL'!$C800</f>
        <v>SAN COSME</v>
      </c>
      <c r="J802" s="10"/>
      <c r="K802" s="10"/>
    </row>
    <row r="803" spans="1:11" x14ac:dyDescent="0.25">
      <c r="A803" s="14" t="str">
        <f>+'[1]BASE RED COMERCIAL'!$A801</f>
        <v>W0021</v>
      </c>
      <c r="B803" s="8" t="str">
        <f>+'[1]BASE RED COMERCIAL'!$H801</f>
        <v>PERUGORRIA</v>
      </c>
      <c r="C803" s="7" t="s">
        <v>33</v>
      </c>
      <c r="D803" s="9" t="str">
        <f>+'[1]BASE RED COMERCIAL'!$E801</f>
        <v>COLON</v>
      </c>
      <c r="E803" s="7">
        <f>+'[1]BASE RED COMERCIAL'!$F801</f>
        <v>0</v>
      </c>
      <c r="F803" s="14" t="str">
        <f>+'[1]BASE RED COMERCIAL'!$I801</f>
        <v>W3461ZAA</v>
      </c>
      <c r="G803" s="7" t="str">
        <f>+'[1]BASE RED COMERCIAL'!$D801</f>
        <v>PERUGORRIA</v>
      </c>
      <c r="H803" s="7" t="str">
        <f>+'[1]BASE RED COMERCIAL'!$B801</f>
        <v>CORRIENTES</v>
      </c>
      <c r="I803" s="8" t="str">
        <f>+'[1]BASE RED COMERCIAL'!$C801</f>
        <v>CURUZU CUATIA</v>
      </c>
      <c r="J803" s="10"/>
      <c r="K803" s="10"/>
    </row>
    <row r="804" spans="1:11" x14ac:dyDescent="0.25">
      <c r="A804" s="14" t="str">
        <f>+'[1]BASE RED COMERCIAL'!$A802</f>
        <v>W0022</v>
      </c>
      <c r="B804" s="8" t="str">
        <f>+'[1]BASE RED COMERCIAL'!$H802</f>
        <v>SALADAS</v>
      </c>
      <c r="C804" s="7" t="s">
        <v>33</v>
      </c>
      <c r="D804" s="9" t="str">
        <f>+'[1]BASE RED COMERCIAL'!$E802</f>
        <v>BME MITRE</v>
      </c>
      <c r="E804" s="7">
        <f>+'[1]BASE RED COMERCIAL'!$F802</f>
        <v>605</v>
      </c>
      <c r="F804" s="14" t="str">
        <f>+'[1]BASE RED COMERCIAL'!$I802</f>
        <v>W3420ZAA</v>
      </c>
      <c r="G804" s="7" t="str">
        <f>+'[1]BASE RED COMERCIAL'!$D802</f>
        <v>SALADAS</v>
      </c>
      <c r="H804" s="7" t="str">
        <f>+'[1]BASE RED COMERCIAL'!$B802</f>
        <v>CORRIENTES</v>
      </c>
      <c r="I804" s="8" t="str">
        <f>+'[1]BASE RED COMERCIAL'!$C802</f>
        <v>SALADAS</v>
      </c>
      <c r="J804" s="10"/>
      <c r="K804" s="10"/>
    </row>
    <row r="805" spans="1:11" x14ac:dyDescent="0.25">
      <c r="A805" s="14" t="str">
        <f>+'[1]BASE RED COMERCIAL'!$A803</f>
        <v>W0023</v>
      </c>
      <c r="B805" s="8" t="str">
        <f>+'[1]BASE RED COMERCIAL'!$H803</f>
        <v>SAN COSME</v>
      </c>
      <c r="C805" s="7" t="s">
        <v>33</v>
      </c>
      <c r="D805" s="9" t="str">
        <f>+'[1]BASE RED COMERCIAL'!$E803</f>
        <v>JUAN RAMON VIDAL</v>
      </c>
      <c r="E805" s="7">
        <f>+'[1]BASE RED COMERCIAL'!$F803</f>
        <v>0</v>
      </c>
      <c r="F805" s="14" t="str">
        <f>+'[1]BASE RED COMERCIAL'!$I803</f>
        <v>W3412ZAA</v>
      </c>
      <c r="G805" s="7" t="str">
        <f>+'[1]BASE RED COMERCIAL'!$D803</f>
        <v>SAN COSME</v>
      </c>
      <c r="H805" s="7" t="str">
        <f>+'[1]BASE RED COMERCIAL'!$B803</f>
        <v>CORRIENTES</v>
      </c>
      <c r="I805" s="8" t="str">
        <f>+'[1]BASE RED COMERCIAL'!$C803</f>
        <v>SAN COSME</v>
      </c>
      <c r="J805" s="10"/>
      <c r="K805" s="10"/>
    </row>
    <row r="806" spans="1:11" x14ac:dyDescent="0.25">
      <c r="A806" s="14" t="str">
        <f>+'[1]BASE RED COMERCIAL'!$A804</f>
        <v>W0024</v>
      </c>
      <c r="B806" s="8" t="str">
        <f>+'[1]BASE RED COMERCIAL'!$H804</f>
        <v>SAN LORENZO</v>
      </c>
      <c r="C806" s="7" t="s">
        <v>33</v>
      </c>
      <c r="D806" s="9" t="str">
        <f>+'[1]BASE RED COMERCIAL'!$E804</f>
        <v>SARMIENTO</v>
      </c>
      <c r="E806" s="7">
        <f>+'[1]BASE RED COMERCIAL'!$F804</f>
        <v>0</v>
      </c>
      <c r="F806" s="14" t="str">
        <f>+'[1]BASE RED COMERCIAL'!$I804</f>
        <v>W3416ZAA</v>
      </c>
      <c r="G806" s="7" t="str">
        <f>+'[1]BASE RED COMERCIAL'!$D804</f>
        <v>SAN LORENZO</v>
      </c>
      <c r="H806" s="7" t="str">
        <f>+'[1]BASE RED COMERCIAL'!$B804</f>
        <v>CORRIENTES</v>
      </c>
      <c r="I806" s="8" t="str">
        <f>+'[1]BASE RED COMERCIAL'!$C804</f>
        <v>SALADAS</v>
      </c>
      <c r="J806" s="10"/>
      <c r="K806" s="10"/>
    </row>
    <row r="807" spans="1:11" x14ac:dyDescent="0.25">
      <c r="A807" s="14" t="str">
        <f>+'[1]BASE RED COMERCIAL'!$A805</f>
        <v>W0025</v>
      </c>
      <c r="B807" s="8" t="str">
        <f>+'[1]BASE RED COMERCIAL'!$H805</f>
        <v>SAN LUIS DEL PALMAR</v>
      </c>
      <c r="C807" s="7" t="s">
        <v>33</v>
      </c>
      <c r="D807" s="9" t="str">
        <f>+'[1]BASE RED COMERCIAL'!$E805</f>
        <v>TUCUMAN</v>
      </c>
      <c r="E807" s="7">
        <f>+'[1]BASE RED COMERCIAL'!$F805</f>
        <v>687</v>
      </c>
      <c r="F807" s="14" t="str">
        <f>+'[1]BASE RED COMERCIAL'!$I805</f>
        <v>W3403ZAA</v>
      </c>
      <c r="G807" s="7" t="str">
        <f>+'[1]BASE RED COMERCIAL'!$D805</f>
        <v>SAN LUIS DEL PALMAR</v>
      </c>
      <c r="H807" s="7" t="str">
        <f>+'[1]BASE RED COMERCIAL'!$B805</f>
        <v>CORRIENTES</v>
      </c>
      <c r="I807" s="8" t="str">
        <f>+'[1]BASE RED COMERCIAL'!$C805</f>
        <v>SAN LUIS DEL PALMAR</v>
      </c>
      <c r="J807" s="10"/>
      <c r="K807" s="10"/>
    </row>
    <row r="808" spans="1:11" x14ac:dyDescent="0.25">
      <c r="A808" s="14" t="str">
        <f>+'[1]BASE RED COMERCIAL'!$A806</f>
        <v>W0026</v>
      </c>
      <c r="B808" s="8" t="str">
        <f>+'[1]BASE RED COMERCIAL'!$H806</f>
        <v>SAN MIGUEL</v>
      </c>
      <c r="C808" s="7" t="s">
        <v>33</v>
      </c>
      <c r="D808" s="9" t="str">
        <f>+'[1]BASE RED COMERCIAL'!$E806</f>
        <v>SARMIENTO</v>
      </c>
      <c r="E808" s="7">
        <f>+'[1]BASE RED COMERCIAL'!$F806</f>
        <v>895</v>
      </c>
      <c r="F808" s="14" t="str">
        <f>+'[1]BASE RED COMERCIAL'!$I806</f>
        <v>W3485ZAA</v>
      </c>
      <c r="G808" s="7" t="str">
        <f>+'[1]BASE RED COMERCIAL'!$D806</f>
        <v>SAN MIGUEL</v>
      </c>
      <c r="H808" s="7" t="str">
        <f>+'[1]BASE RED COMERCIAL'!$B806</f>
        <v>CORRIENTES</v>
      </c>
      <c r="I808" s="8" t="str">
        <f>+'[1]BASE RED COMERCIAL'!$C806</f>
        <v>SAN MIGUEL</v>
      </c>
      <c r="J808" s="10"/>
      <c r="K808" s="10"/>
    </row>
    <row r="809" spans="1:11" x14ac:dyDescent="0.25">
      <c r="A809" s="14" t="str">
        <f>+'[1]BASE RED COMERCIAL'!$A807</f>
        <v>W0027</v>
      </c>
      <c r="B809" s="8" t="str">
        <f>+'[1]BASE RED COMERCIAL'!$H807</f>
        <v>SAN ROQUE</v>
      </c>
      <c r="C809" s="7" t="s">
        <v>33</v>
      </c>
      <c r="D809" s="9" t="str">
        <f>+'[1]BASE RED COMERCIAL'!$E807</f>
        <v>RUPERTO MONTENEGRO</v>
      </c>
      <c r="E809" s="7">
        <f>+'[1]BASE RED COMERCIAL'!$F807</f>
        <v>850</v>
      </c>
      <c r="F809" s="14" t="str">
        <f>+'[1]BASE RED COMERCIAL'!$I807</f>
        <v>W3448ZAA</v>
      </c>
      <c r="G809" s="7" t="str">
        <f>+'[1]BASE RED COMERCIAL'!$D807</f>
        <v>SAN ROQUE</v>
      </c>
      <c r="H809" s="7" t="str">
        <f>+'[1]BASE RED COMERCIAL'!$B807</f>
        <v>CORRIENTES</v>
      </c>
      <c r="I809" s="8" t="str">
        <f>+'[1]BASE RED COMERCIAL'!$C807</f>
        <v>SAN ROQUE</v>
      </c>
      <c r="J809" s="10"/>
      <c r="K809" s="10"/>
    </row>
    <row r="810" spans="1:11" x14ac:dyDescent="0.25">
      <c r="A810" s="14" t="str">
        <f>+'[1]BASE RED COMERCIAL'!$A808</f>
        <v>W0028</v>
      </c>
      <c r="B810" s="8" t="str">
        <f>+'[1]BASE RED COMERCIAL'!$H808</f>
        <v>SANTA LUCIA</v>
      </c>
      <c r="C810" s="7" t="s">
        <v>33</v>
      </c>
      <c r="D810" s="9" t="str">
        <f>+'[1]BASE RED COMERCIAL'!$E808</f>
        <v>CRISTOBAL COLON</v>
      </c>
      <c r="E810" s="7">
        <f>+'[1]BASE RED COMERCIAL'!$F808</f>
        <v>204</v>
      </c>
      <c r="F810" s="14" t="str">
        <f>+'[1]BASE RED COMERCIAL'!$I808</f>
        <v>W3440ZAA</v>
      </c>
      <c r="G810" s="7" t="str">
        <f>+'[1]BASE RED COMERCIAL'!$D808</f>
        <v>SANTA LUCIA</v>
      </c>
      <c r="H810" s="7" t="str">
        <f>+'[1]BASE RED COMERCIAL'!$B808</f>
        <v>CORRIENTES</v>
      </c>
      <c r="I810" s="8" t="str">
        <f>+'[1]BASE RED COMERCIAL'!$C808</f>
        <v>LAVALLE</v>
      </c>
      <c r="J810" s="10"/>
      <c r="K810" s="10"/>
    </row>
    <row r="811" spans="1:11" x14ac:dyDescent="0.25">
      <c r="A811" s="14" t="str">
        <f>+'[1]BASE RED COMERCIAL'!$A809</f>
        <v>W0029</v>
      </c>
      <c r="B811" s="8" t="str">
        <f>+'[1]BASE RED COMERCIAL'!$H809</f>
        <v>SOLARI</v>
      </c>
      <c r="C811" s="7" t="s">
        <v>33</v>
      </c>
      <c r="D811" s="9" t="str">
        <f>+'[1]BASE RED COMERCIAL'!$E809</f>
        <v>BAIGORRIA S/N</v>
      </c>
      <c r="E811" s="7">
        <f>+'[1]BASE RED COMERCIAL'!$F809</f>
        <v>0</v>
      </c>
      <c r="F811" s="14" t="str">
        <f>+'[1]BASE RED COMERCIAL'!$I809</f>
        <v>W3476ZAA</v>
      </c>
      <c r="G811" s="7" t="str">
        <f>+'[1]BASE RED COMERCIAL'!$D809</f>
        <v>EST SOLARI</v>
      </c>
      <c r="H811" s="7" t="str">
        <f>+'[1]BASE RED COMERCIAL'!$B809</f>
        <v>CORRIENTES</v>
      </c>
      <c r="I811" s="8" t="str">
        <f>+'[1]BASE RED COMERCIAL'!$C809</f>
        <v>MERCEDES</v>
      </c>
      <c r="J811" s="10"/>
      <c r="K811" s="10"/>
    </row>
    <row r="812" spans="1:11" x14ac:dyDescent="0.25">
      <c r="A812" s="14" t="str">
        <f>+'[1]BASE RED COMERCIAL'!$A810</f>
        <v>W0030</v>
      </c>
      <c r="B812" s="8" t="str">
        <f>+'[1]BASE RED COMERCIAL'!$H810</f>
        <v>ALVEAR</v>
      </c>
      <c r="C812" s="7" t="s">
        <v>33</v>
      </c>
      <c r="D812" s="9" t="str">
        <f>+'[1]BASE RED COMERCIAL'!$E810</f>
        <v>FRANCISCO SUSSINI</v>
      </c>
      <c r="E812" s="7">
        <f>+'[1]BASE RED COMERCIAL'!$F810</f>
        <v>595</v>
      </c>
      <c r="F812" s="14" t="str">
        <f>+'[1]BASE RED COMERCIAL'!$I810</f>
        <v>W3344ZAA</v>
      </c>
      <c r="G812" s="7" t="str">
        <f>+'[1]BASE RED COMERCIAL'!$D810</f>
        <v>ALVEAR</v>
      </c>
      <c r="H812" s="7" t="str">
        <f>+'[1]BASE RED COMERCIAL'!$B810</f>
        <v>CORRIENTES</v>
      </c>
      <c r="I812" s="8" t="str">
        <f>+'[1]BASE RED COMERCIAL'!$C810</f>
        <v>GENERAL ALVEAR</v>
      </c>
      <c r="J812" s="10"/>
      <c r="K812" s="10"/>
    </row>
    <row r="813" spans="1:11" x14ac:dyDescent="0.25">
      <c r="A813" s="14" t="str">
        <f>+'[1]BASE RED COMERCIAL'!$A811</f>
        <v>W0031</v>
      </c>
      <c r="B813" s="8" t="str">
        <f>+'[1]BASE RED COMERCIAL'!$H811</f>
        <v>COLONIA LIEBIGS</v>
      </c>
      <c r="C813" s="7" t="s">
        <v>33</v>
      </c>
      <c r="D813" s="9" t="str">
        <f>+'[1]BASE RED COMERCIAL'!$E811</f>
        <v>BME MITRE</v>
      </c>
      <c r="E813" s="7">
        <f>+'[1]BASE RED COMERCIAL'!$F811</f>
        <v>1</v>
      </c>
      <c r="F813" s="14" t="str">
        <f>+'[1]BASE RED COMERCIAL'!$I811</f>
        <v>W3358ZAA</v>
      </c>
      <c r="G813" s="7" t="str">
        <f>+'[1]BASE RED COMERCIAL'!$D811</f>
        <v>COLONIA LIEBIGS</v>
      </c>
      <c r="H813" s="7" t="str">
        <f>+'[1]BASE RED COMERCIAL'!$B811</f>
        <v>CORRIENTES</v>
      </c>
      <c r="I813" s="8" t="str">
        <f>+'[1]BASE RED COMERCIAL'!$C811</f>
        <v>ITUZAINGO</v>
      </c>
      <c r="J813" s="10"/>
      <c r="K813" s="10"/>
    </row>
    <row r="814" spans="1:11" x14ac:dyDescent="0.25">
      <c r="A814" s="14" t="str">
        <f>+'[1]BASE RED COMERCIAL'!$A812</f>
        <v>W0032</v>
      </c>
      <c r="B814" s="8" t="str">
        <f>+'[1]BASE RED COMERCIAL'!$H812</f>
        <v>GARRUCHOS</v>
      </c>
      <c r="C814" s="7" t="s">
        <v>33</v>
      </c>
      <c r="D814" s="9" t="str">
        <f>+'[1]BASE RED COMERCIAL'!$E812</f>
        <v>SAN MARTIN</v>
      </c>
      <c r="E814" s="7">
        <f>+'[1]BASE RED COMERCIAL'!$F812</f>
        <v>0</v>
      </c>
      <c r="F814" s="14" t="str">
        <f>+'[1]BASE RED COMERCIAL'!$I812</f>
        <v>W3349ZAA</v>
      </c>
      <c r="G814" s="7" t="str">
        <f>+'[1]BASE RED COMERCIAL'!$D812</f>
        <v>GARRUCHOS</v>
      </c>
      <c r="H814" s="7" t="str">
        <f>+'[1]BASE RED COMERCIAL'!$B812</f>
        <v>CORRIENTES</v>
      </c>
      <c r="I814" s="8" t="str">
        <f>+'[1]BASE RED COMERCIAL'!$C812</f>
        <v>SANTO TOME</v>
      </c>
      <c r="J814" s="10"/>
      <c r="K814" s="10"/>
    </row>
    <row r="815" spans="1:11" x14ac:dyDescent="0.25">
      <c r="A815" s="14" t="str">
        <f>+'[1]BASE RED COMERCIAL'!$A813</f>
        <v>W0033</v>
      </c>
      <c r="B815" s="8" t="str">
        <f>+'[1]BASE RED COMERCIAL'!$H813</f>
        <v>GOB. VIRASORO</v>
      </c>
      <c r="C815" s="7" t="s">
        <v>33</v>
      </c>
      <c r="D815" s="9" t="str">
        <f>+'[1]BASE RED COMERCIAL'!$E813</f>
        <v>AV GRAL JUAN LAVALLE</v>
      </c>
      <c r="E815" s="7">
        <f>+'[1]BASE RED COMERCIAL'!$F813</f>
        <v>2113</v>
      </c>
      <c r="F815" s="14" t="str">
        <f>+'[1]BASE RED COMERCIAL'!$I813</f>
        <v>W3342ZAA</v>
      </c>
      <c r="G815" s="7" t="str">
        <f>+'[1]BASE RED COMERCIAL'!$D813</f>
        <v>GOBERNADOR VIRASORO</v>
      </c>
      <c r="H815" s="7" t="str">
        <f>+'[1]BASE RED COMERCIAL'!$B813</f>
        <v>CORRIENTES</v>
      </c>
      <c r="I815" s="8" t="str">
        <f>+'[1]BASE RED COMERCIAL'!$C813</f>
        <v>SANTO TOME</v>
      </c>
      <c r="J815" s="10"/>
      <c r="K815" s="10"/>
    </row>
    <row r="816" spans="1:11" x14ac:dyDescent="0.25">
      <c r="A816" s="14" t="str">
        <f>+'[1]BASE RED COMERCIAL'!$A814</f>
        <v>W0034</v>
      </c>
      <c r="B816" s="8" t="str">
        <f>+'[1]BASE RED COMERCIAL'!$H814</f>
        <v>LA CRUZ</v>
      </c>
      <c r="C816" s="7" t="s">
        <v>33</v>
      </c>
      <c r="D816" s="9" t="str">
        <f>+'[1]BASE RED COMERCIAL'!$E814</f>
        <v>COLON</v>
      </c>
      <c r="E816" s="7">
        <f>+'[1]BASE RED COMERCIAL'!$F814</f>
        <v>798</v>
      </c>
      <c r="F816" s="14" t="str">
        <f>+'[1]BASE RED COMERCIAL'!$I814</f>
        <v>W3346ZAA</v>
      </c>
      <c r="G816" s="7" t="str">
        <f>+'[1]BASE RED COMERCIAL'!$D814</f>
        <v>LA CRUZ</v>
      </c>
      <c r="H816" s="7" t="str">
        <f>+'[1]BASE RED COMERCIAL'!$B814</f>
        <v>CORRIENTES</v>
      </c>
      <c r="I816" s="8" t="str">
        <f>+'[1]BASE RED COMERCIAL'!$C814</f>
        <v>SAN MARTIN</v>
      </c>
      <c r="J816" s="10"/>
      <c r="K816" s="10"/>
    </row>
    <row r="817" spans="1:11" x14ac:dyDescent="0.25">
      <c r="A817" s="14" t="str">
        <f>+'[1]BASE RED COMERCIAL'!$A815</f>
        <v>W0035</v>
      </c>
      <c r="B817" s="8" t="str">
        <f>+'[1]BASE RED COMERCIAL'!$H815</f>
        <v>SAN CARLOS</v>
      </c>
      <c r="C817" s="7" t="s">
        <v>33</v>
      </c>
      <c r="D817" s="9" t="str">
        <f>+'[1]BASE RED COMERCIAL'!$E815</f>
        <v>AV GRAL SAN MARTIN</v>
      </c>
      <c r="E817" s="7">
        <f>+'[1]BASE RED COMERCIAL'!$F815</f>
        <v>0</v>
      </c>
      <c r="F817" s="14" t="str">
        <f>+'[1]BASE RED COMERCIAL'!$I815</f>
        <v>W3306ZAA</v>
      </c>
      <c r="G817" s="7" t="str">
        <f>+'[1]BASE RED COMERCIAL'!$D815</f>
        <v>SAN CARLOS</v>
      </c>
      <c r="H817" s="7" t="str">
        <f>+'[1]BASE RED COMERCIAL'!$B815</f>
        <v>CORRIENTES</v>
      </c>
      <c r="I817" s="8" t="str">
        <f>+'[1]BASE RED COMERCIAL'!$C815</f>
        <v>ITUZAINGO</v>
      </c>
      <c r="J817" s="10"/>
      <c r="K817" s="10"/>
    </row>
    <row r="818" spans="1:11" x14ac:dyDescent="0.25">
      <c r="A818" s="14" t="str">
        <f>+'[1]BASE RED COMERCIAL'!$A816</f>
        <v>W0036</v>
      </c>
      <c r="B818" s="8" t="str">
        <f>+'[1]BASE RED COMERCIAL'!$H816</f>
        <v>SANTO TOME</v>
      </c>
      <c r="C818" s="7" t="s">
        <v>33</v>
      </c>
      <c r="D818" s="9" t="str">
        <f>+'[1]BASE RED COMERCIAL'!$E816</f>
        <v>AV BRASIL</v>
      </c>
      <c r="E818" s="7">
        <f>+'[1]BASE RED COMERCIAL'!$F816</f>
        <v>805</v>
      </c>
      <c r="F818" s="14" t="str">
        <f>+'[1]BASE RED COMERCIAL'!$I816</f>
        <v>W3341ZAA</v>
      </c>
      <c r="G818" s="7" t="str">
        <f>+'[1]BASE RED COMERCIAL'!$D816</f>
        <v>SANTO TOME</v>
      </c>
      <c r="H818" s="7" t="str">
        <f>+'[1]BASE RED COMERCIAL'!$B816</f>
        <v>CORRIENTES</v>
      </c>
      <c r="I818" s="8" t="str">
        <f>+'[1]BASE RED COMERCIAL'!$C816</f>
        <v>SANTO TOME</v>
      </c>
      <c r="J818" s="10"/>
      <c r="K818" s="10"/>
    </row>
    <row r="819" spans="1:11" x14ac:dyDescent="0.25">
      <c r="A819" s="14" t="str">
        <f>+'[1]BASE RED COMERCIAL'!$A817</f>
        <v>W0037</v>
      </c>
      <c r="B819" s="8" t="str">
        <f>+'[1]BASE RED COMERCIAL'!$H817</f>
        <v>YAPEYU</v>
      </c>
      <c r="C819" s="7" t="s">
        <v>33</v>
      </c>
      <c r="D819" s="9" t="str">
        <f>+'[1]BASE RED COMERCIAL'!$E817</f>
        <v>OBISPO ROMERO</v>
      </c>
      <c r="E819" s="7">
        <f>+'[1]BASE RED COMERCIAL'!$F817</f>
        <v>302</v>
      </c>
      <c r="F819" s="14" t="str">
        <f>+'[1]BASE RED COMERCIAL'!$I817</f>
        <v>W3231ZAA</v>
      </c>
      <c r="G819" s="7" t="str">
        <f>+'[1]BASE RED COMERCIAL'!$D817</f>
        <v>YAPEYU</v>
      </c>
      <c r="H819" s="7" t="str">
        <f>+'[1]BASE RED COMERCIAL'!$B817</f>
        <v>CORRIENTES</v>
      </c>
      <c r="I819" s="8" t="str">
        <f>+'[1]BASE RED COMERCIAL'!$C817</f>
        <v>SAN MARTIN</v>
      </c>
      <c r="J819" s="10"/>
      <c r="K819" s="10"/>
    </row>
    <row r="820" spans="1:11" x14ac:dyDescent="0.25">
      <c r="A820" s="14" t="str">
        <f>+'[1]BASE RED COMERCIAL'!$A818</f>
        <v>W0038</v>
      </c>
      <c r="B820" s="8" t="str">
        <f>+'[1]BASE RED COMERCIAL'!$H818</f>
        <v>BONPLAND</v>
      </c>
      <c r="C820" s="7" t="s">
        <v>33</v>
      </c>
      <c r="D820" s="9" t="str">
        <f>+'[1]BASE RED COMERCIAL'!$E818</f>
        <v>AV SAN MARTIN</v>
      </c>
      <c r="E820" s="7">
        <f>+'[1]BASE RED COMERCIAL'!$F818</f>
        <v>0</v>
      </c>
      <c r="F820" s="14" t="str">
        <f>+'[1]BASE RED COMERCIAL'!$I818</f>
        <v>W3234ZAA</v>
      </c>
      <c r="G820" s="7" t="str">
        <f>+'[1]BASE RED COMERCIAL'!$D818</f>
        <v>BONPLAND</v>
      </c>
      <c r="H820" s="7" t="str">
        <f>+'[1]BASE RED COMERCIAL'!$B818</f>
        <v>CORRIENTES</v>
      </c>
      <c r="I820" s="8" t="str">
        <f>+'[1]BASE RED COMERCIAL'!$C818</f>
        <v>PASO DE LOS LIBRES</v>
      </c>
      <c r="J820" s="10"/>
      <c r="K820" s="10"/>
    </row>
    <row r="821" spans="1:11" x14ac:dyDescent="0.25">
      <c r="A821" s="14" t="str">
        <f>+'[1]BASE RED COMERCIAL'!$A819</f>
        <v>W0039</v>
      </c>
      <c r="B821" s="8" t="str">
        <f>+'[1]BASE RED COMERCIAL'!$H819</f>
        <v>CURUZU CUATIA</v>
      </c>
      <c r="C821" s="7" t="s">
        <v>33</v>
      </c>
      <c r="D821" s="9" t="str">
        <f>+'[1]BASE RED COMERCIAL'!$E819</f>
        <v>BERON DE ASTRADA</v>
      </c>
      <c r="E821" s="7">
        <f>+'[1]BASE RED COMERCIAL'!$F819</f>
        <v>999</v>
      </c>
      <c r="F821" s="14" t="str">
        <f>+'[1]BASE RED COMERCIAL'!$I819</f>
        <v>W3460ZAA</v>
      </c>
      <c r="G821" s="7" t="str">
        <f>+'[1]BASE RED COMERCIAL'!$D819</f>
        <v>CURUZU CUATIA</v>
      </c>
      <c r="H821" s="7" t="str">
        <f>+'[1]BASE RED COMERCIAL'!$B819</f>
        <v>CORRIENTES</v>
      </c>
      <c r="I821" s="8" t="str">
        <f>+'[1]BASE RED COMERCIAL'!$C819</f>
        <v>CURUZU CUATIA</v>
      </c>
      <c r="J821" s="10"/>
      <c r="K821" s="10"/>
    </row>
    <row r="822" spans="1:11" x14ac:dyDescent="0.25">
      <c r="A822" s="14" t="str">
        <f>+'[1]BASE RED COMERCIAL'!$A820</f>
        <v>W0040</v>
      </c>
      <c r="B822" s="8" t="str">
        <f>+'[1]BASE RED COMERCIAL'!$H820</f>
        <v>MOCORETA</v>
      </c>
      <c r="C822" s="7" t="s">
        <v>33</v>
      </c>
      <c r="D822" s="9" t="str">
        <f>+'[1]BASE RED COMERCIAL'!$E820</f>
        <v>GRAL SAN MARTIN</v>
      </c>
      <c r="E822" s="7">
        <f>+'[1]BASE RED COMERCIAL'!$F820</f>
        <v>501</v>
      </c>
      <c r="F822" s="14" t="str">
        <f>+'[1]BASE RED COMERCIAL'!$I820</f>
        <v>W3226ZAA</v>
      </c>
      <c r="G822" s="7" t="str">
        <f>+'[1]BASE RED COMERCIAL'!$D820</f>
        <v>MOCORETA</v>
      </c>
      <c r="H822" s="7" t="str">
        <f>+'[1]BASE RED COMERCIAL'!$B820</f>
        <v>CORRIENTES</v>
      </c>
      <c r="I822" s="8" t="str">
        <f>+'[1]BASE RED COMERCIAL'!$C820</f>
        <v>MONTE CASEROS</v>
      </c>
      <c r="J822" s="10"/>
      <c r="K822" s="10"/>
    </row>
    <row r="823" spans="1:11" x14ac:dyDescent="0.25">
      <c r="A823" s="14" t="str">
        <f>+'[1]BASE RED COMERCIAL'!$A821</f>
        <v>W0041</v>
      </c>
      <c r="B823" s="8" t="str">
        <f>+'[1]BASE RED COMERCIAL'!$H821</f>
        <v>MONTE CASEROS</v>
      </c>
      <c r="C823" s="7" t="s">
        <v>33</v>
      </c>
      <c r="D823" s="9" t="str">
        <f>+'[1]BASE RED COMERCIAL'!$E821</f>
        <v>AV ALVEAR</v>
      </c>
      <c r="E823" s="7">
        <f>+'[1]BASE RED COMERCIAL'!$F821</f>
        <v>1199</v>
      </c>
      <c r="F823" s="14" t="str">
        <f>+'[1]BASE RED COMERCIAL'!$I821</f>
        <v>W3220ZAA</v>
      </c>
      <c r="G823" s="7" t="str">
        <f>+'[1]BASE RED COMERCIAL'!$D821</f>
        <v>MONTE CASEROS</v>
      </c>
      <c r="H823" s="7" t="str">
        <f>+'[1]BASE RED COMERCIAL'!$B821</f>
        <v>CORRIENTES</v>
      </c>
      <c r="I823" s="8" t="str">
        <f>+'[1]BASE RED COMERCIAL'!$C821</f>
        <v>MONTE CASEROS</v>
      </c>
      <c r="J823" s="10"/>
      <c r="K823" s="10"/>
    </row>
    <row r="824" spans="1:11" x14ac:dyDescent="0.25">
      <c r="A824" s="14" t="str">
        <f>+'[1]BASE RED COMERCIAL'!$A822</f>
        <v>W0042</v>
      </c>
      <c r="B824" s="8" t="str">
        <f>+'[1]BASE RED COMERCIAL'!$H822</f>
        <v>PASO DE LOS LIBRES</v>
      </c>
      <c r="C824" s="7" t="s">
        <v>33</v>
      </c>
      <c r="D824" s="9" t="str">
        <f>+'[1]BASE RED COMERCIAL'!$E822</f>
        <v>JUAN SITJANIN</v>
      </c>
      <c r="E824" s="7">
        <f>+'[1]BASE RED COMERCIAL'!$F822</f>
        <v>998</v>
      </c>
      <c r="F824" s="14" t="str">
        <f>+'[1]BASE RED COMERCIAL'!$I822</f>
        <v>W3230ZAA</v>
      </c>
      <c r="G824" s="7" t="str">
        <f>+'[1]BASE RED COMERCIAL'!$D822</f>
        <v>PASO DE LOS LIBRES</v>
      </c>
      <c r="H824" s="7" t="str">
        <f>+'[1]BASE RED COMERCIAL'!$B822</f>
        <v>CORRIENTES</v>
      </c>
      <c r="I824" s="8" t="str">
        <f>+'[1]BASE RED COMERCIAL'!$C822</f>
        <v>PASO DE LOS LIBRES</v>
      </c>
      <c r="J824" s="10"/>
      <c r="K824" s="10"/>
    </row>
    <row r="825" spans="1:11" x14ac:dyDescent="0.25">
      <c r="A825" s="14" t="str">
        <f>+'[1]BASE RED COMERCIAL'!$A823</f>
        <v>W0044</v>
      </c>
      <c r="B825" s="8" t="str">
        <f>+'[1]BASE RED COMERCIAL'!$H823</f>
        <v>SAUCE</v>
      </c>
      <c r="C825" s="7" t="s">
        <v>33</v>
      </c>
      <c r="D825" s="9" t="str">
        <f>+'[1]BASE RED COMERCIAL'!$E823</f>
        <v>MANUEL BELGRANO</v>
      </c>
      <c r="E825" s="7">
        <f>+'[1]BASE RED COMERCIAL'!$F823</f>
        <v>1251</v>
      </c>
      <c r="F825" s="14" t="str">
        <f>+'[1]BASE RED COMERCIAL'!$I823</f>
        <v>W3463ZAA</v>
      </c>
      <c r="G825" s="7" t="str">
        <f>+'[1]BASE RED COMERCIAL'!$D823</f>
        <v>SAUCE</v>
      </c>
      <c r="H825" s="7" t="str">
        <f>+'[1]BASE RED COMERCIAL'!$B823</f>
        <v>CORRIENTES</v>
      </c>
      <c r="I825" s="8" t="str">
        <f>+'[1]BASE RED COMERCIAL'!$C823</f>
        <v>SAUCE</v>
      </c>
      <c r="J825" s="10"/>
      <c r="K825" s="10"/>
    </row>
    <row r="826" spans="1:11" x14ac:dyDescent="0.25">
      <c r="A826" s="14" t="str">
        <f>+'[1]BASE RED COMERCIAL'!$A824</f>
        <v>W1126</v>
      </c>
      <c r="B826" s="8" t="str">
        <f>+'[1]BASE RED COMERCIAL'!$H824</f>
        <v>AGENCIA 12</v>
      </c>
      <c r="C826" s="7" t="s">
        <v>33</v>
      </c>
      <c r="D826" s="9" t="str">
        <f>+'[1]BASE RED COMERCIAL'!$E824</f>
        <v>SAN JUAN</v>
      </c>
      <c r="E826" s="7">
        <f>+'[1]BASE RED COMERCIAL'!$F824</f>
        <v>798</v>
      </c>
      <c r="F826" s="14" t="str">
        <f>+'[1]BASE RED COMERCIAL'!$I824</f>
        <v>W3400ZAB</v>
      </c>
      <c r="G826" s="7" t="str">
        <f>+'[1]BASE RED COMERCIAL'!$D824</f>
        <v>CORRIENTES</v>
      </c>
      <c r="H826" s="7" t="str">
        <f>+'[1]BASE RED COMERCIAL'!$B824</f>
        <v>CORRIENTES</v>
      </c>
      <c r="I826" s="8" t="str">
        <f>+'[1]BASE RED COMERCIAL'!$C824</f>
        <v>CAPITAL</v>
      </c>
      <c r="J826" s="10"/>
      <c r="K826" s="10"/>
    </row>
    <row r="827" spans="1:11" x14ac:dyDescent="0.25">
      <c r="A827" s="14" t="str">
        <f>+'[1]BASE RED COMERCIAL'!$A825</f>
        <v>E0000</v>
      </c>
      <c r="B827" s="8" t="str">
        <f>+'[1]BASE RED COMERCIAL'!$H825</f>
        <v>PARANA</v>
      </c>
      <c r="C827" s="7" t="s">
        <v>33</v>
      </c>
      <c r="D827" s="9" t="str">
        <f>+'[1]BASE RED COMERCIAL'!$E825</f>
        <v>25 DE MAYO</v>
      </c>
      <c r="E827" s="7">
        <f>+'[1]BASE RED COMERCIAL'!$F825</f>
        <v>102</v>
      </c>
      <c r="F827" s="14" t="str">
        <f>+'[1]BASE RED COMERCIAL'!$I825</f>
        <v>E3100ZAA</v>
      </c>
      <c r="G827" s="7" t="str">
        <f>+'[1]BASE RED COMERCIAL'!$D825</f>
        <v>PARANA</v>
      </c>
      <c r="H827" s="7" t="str">
        <f>+'[1]BASE RED COMERCIAL'!$B825</f>
        <v>ENTRE RIOS</v>
      </c>
      <c r="I827" s="8" t="str">
        <f>+'[1]BASE RED COMERCIAL'!$C825</f>
        <v>PARANA</v>
      </c>
      <c r="J827" s="10"/>
      <c r="K827" s="10"/>
    </row>
    <row r="828" spans="1:11" x14ac:dyDescent="0.25">
      <c r="A828" s="14" t="str">
        <f>+'[1]BASE RED COMERCIAL'!$A826</f>
        <v>E0001</v>
      </c>
      <c r="B828" s="8" t="str">
        <f>+'[1]BASE RED COMERCIAL'!$H826</f>
        <v>SUCURSAL 1</v>
      </c>
      <c r="C828" s="7" t="s">
        <v>33</v>
      </c>
      <c r="D828" s="9" t="str">
        <f>+'[1]BASE RED COMERCIAL'!$E826</f>
        <v>CORDOBA</v>
      </c>
      <c r="E828" s="7">
        <f>+'[1]BASE RED COMERCIAL'!$F826</f>
        <v>360</v>
      </c>
      <c r="F828" s="14" t="str">
        <f>+'[1]BASE RED COMERCIAL'!$I826</f>
        <v>E3104ZAA</v>
      </c>
      <c r="G828" s="7" t="str">
        <f>+'[1]BASE RED COMERCIAL'!$D826</f>
        <v>PARANA</v>
      </c>
      <c r="H828" s="7" t="str">
        <f>+'[1]BASE RED COMERCIAL'!$B826</f>
        <v>ENTRE RIOS</v>
      </c>
      <c r="I828" s="8" t="str">
        <f>+'[1]BASE RED COMERCIAL'!$C826</f>
        <v>PARANA</v>
      </c>
      <c r="J828" s="10"/>
      <c r="K828" s="10"/>
    </row>
    <row r="829" spans="1:11" x14ac:dyDescent="0.25">
      <c r="A829" s="14" t="str">
        <f>+'[1]BASE RED COMERCIAL'!$A827</f>
        <v>E0002</v>
      </c>
      <c r="B829" s="8" t="str">
        <f>+'[1]BASE RED COMERCIAL'!$H827</f>
        <v>SUCURSAL 2</v>
      </c>
      <c r="C829" s="7" t="s">
        <v>33</v>
      </c>
      <c r="D829" s="9" t="str">
        <f>+'[1]BASE RED COMERCIAL'!$E827</f>
        <v>GRAL JOSE MARIA GALAN</v>
      </c>
      <c r="E829" s="7">
        <f>+'[1]BASE RED COMERCIAL'!$F827</f>
        <v>1620</v>
      </c>
      <c r="F829" s="14" t="str">
        <f>+'[1]BASE RED COMERCIAL'!$I827</f>
        <v>E3104ZAB</v>
      </c>
      <c r="G829" s="7" t="str">
        <f>+'[1]BASE RED COMERCIAL'!$D827</f>
        <v>PARANA</v>
      </c>
      <c r="H829" s="7" t="str">
        <f>+'[1]BASE RED COMERCIAL'!$B827</f>
        <v>ENTRE RIOS</v>
      </c>
      <c r="I829" s="8" t="str">
        <f>+'[1]BASE RED COMERCIAL'!$C827</f>
        <v>PARANA</v>
      </c>
      <c r="J829" s="10"/>
      <c r="K829" s="10"/>
    </row>
    <row r="830" spans="1:11" x14ac:dyDescent="0.25">
      <c r="A830" s="14" t="str">
        <f>+'[1]BASE RED COMERCIAL'!$A828</f>
        <v>E0003</v>
      </c>
      <c r="B830" s="8" t="str">
        <f>+'[1]BASE RED COMERCIAL'!$H828</f>
        <v>SUCURSAL 3</v>
      </c>
      <c r="C830" s="7" t="s">
        <v>33</v>
      </c>
      <c r="D830" s="9" t="str">
        <f>+'[1]BASE RED COMERCIAL'!$E828</f>
        <v>AV GRAL FRANCISCO RAMIREZ</v>
      </c>
      <c r="E830" s="7">
        <f>+'[1]BASE RED COMERCIAL'!$F828</f>
        <v>2664</v>
      </c>
      <c r="F830" s="14" t="str">
        <f>+'[1]BASE RED COMERCIAL'!$I828</f>
        <v>E3100ZAC</v>
      </c>
      <c r="G830" s="7" t="str">
        <f>+'[1]BASE RED COMERCIAL'!$D828</f>
        <v>PARANA</v>
      </c>
      <c r="H830" s="7" t="str">
        <f>+'[1]BASE RED COMERCIAL'!$B828</f>
        <v>ENTRE RIOS</v>
      </c>
      <c r="I830" s="8" t="str">
        <f>+'[1]BASE RED COMERCIAL'!$C828</f>
        <v>PARANA</v>
      </c>
      <c r="J830" s="10"/>
      <c r="K830" s="10"/>
    </row>
    <row r="831" spans="1:11" x14ac:dyDescent="0.25">
      <c r="A831" s="14" t="str">
        <f>+'[1]BASE RED COMERCIAL'!$A829</f>
        <v>E0004</v>
      </c>
      <c r="B831" s="8" t="str">
        <f>+'[1]BASE RED COMERCIAL'!$H829</f>
        <v>SUCURSAL 4</v>
      </c>
      <c r="C831" s="7" t="s">
        <v>33</v>
      </c>
      <c r="D831" s="9" t="str">
        <f>+'[1]BASE RED COMERCIAL'!$E829</f>
        <v>AV ALMAFUERTE</v>
      </c>
      <c r="E831" s="7">
        <f>+'[1]BASE RED COMERCIAL'!$F829</f>
        <v>1737</v>
      </c>
      <c r="F831" s="14" t="str">
        <f>+'[1]BASE RED COMERCIAL'!$I829</f>
        <v>E3102ZAA</v>
      </c>
      <c r="G831" s="7" t="str">
        <f>+'[1]BASE RED COMERCIAL'!$D829</f>
        <v>PARANA</v>
      </c>
      <c r="H831" s="7" t="str">
        <f>+'[1]BASE RED COMERCIAL'!$B829</f>
        <v>ENTRE RIOS</v>
      </c>
      <c r="I831" s="8" t="str">
        <f>+'[1]BASE RED COMERCIAL'!$C829</f>
        <v>PARANA</v>
      </c>
      <c r="J831" s="10"/>
      <c r="K831" s="10"/>
    </row>
    <row r="832" spans="1:11" x14ac:dyDescent="0.25">
      <c r="A832" s="14" t="str">
        <f>+'[1]BASE RED COMERCIAL'!$A830</f>
        <v>E0012</v>
      </c>
      <c r="B832" s="8" t="str">
        <f>+'[1]BASE RED COMERCIAL'!$H830</f>
        <v>ALCARAZ</v>
      </c>
      <c r="C832" s="7" t="s">
        <v>33</v>
      </c>
      <c r="D832" s="9" t="str">
        <f>+'[1]BASE RED COMERCIAL'!$E830</f>
        <v>COLON</v>
      </c>
      <c r="E832" s="7">
        <f>+'[1]BASE RED COMERCIAL'!$F830</f>
        <v>0</v>
      </c>
      <c r="F832" s="14" t="str">
        <f>+'[1]BASE RED COMERCIAL'!$I830</f>
        <v>E3138ZAA</v>
      </c>
      <c r="G832" s="7" t="str">
        <f>+'[1]BASE RED COMERCIAL'!$D830</f>
        <v>PUEBLO ARRUA EST ALCARAZ</v>
      </c>
      <c r="H832" s="7" t="str">
        <f>+'[1]BASE RED COMERCIAL'!$B830</f>
        <v>ENTRE RIOS</v>
      </c>
      <c r="I832" s="8" t="str">
        <f>+'[1]BASE RED COMERCIAL'!$C830</f>
        <v>LA PAZ</v>
      </c>
      <c r="J832" s="10"/>
      <c r="K832" s="10"/>
    </row>
    <row r="833" spans="1:11" x14ac:dyDescent="0.25">
      <c r="A833" s="14" t="str">
        <f>+'[1]BASE RED COMERCIAL'!$A831</f>
        <v>E0014</v>
      </c>
      <c r="B833" s="8" t="str">
        <f>+'[1]BASE RED COMERCIAL'!$H831</f>
        <v>BASAVILBASO</v>
      </c>
      <c r="C833" s="7" t="s">
        <v>33</v>
      </c>
      <c r="D833" s="9" t="str">
        <f>+'[1]BASE RED COMERCIAL'!$E831</f>
        <v>PTE H YRIGOYEN</v>
      </c>
      <c r="E833" s="7">
        <f>+'[1]BASE RED COMERCIAL'!$F831</f>
        <v>265</v>
      </c>
      <c r="F833" s="14" t="str">
        <f>+'[1]BASE RED COMERCIAL'!$I831</f>
        <v>E3170ZAA</v>
      </c>
      <c r="G833" s="7" t="str">
        <f>+'[1]BASE RED COMERCIAL'!$D831</f>
        <v>BASAVILBASO</v>
      </c>
      <c r="H833" s="7" t="str">
        <f>+'[1]BASE RED COMERCIAL'!$B831</f>
        <v>ENTRE RIOS</v>
      </c>
      <c r="I833" s="8" t="str">
        <f>+'[1]BASE RED COMERCIAL'!$C831</f>
        <v>URUGUAY</v>
      </c>
      <c r="J833" s="10"/>
      <c r="K833" s="10"/>
    </row>
    <row r="834" spans="1:11" x14ac:dyDescent="0.25">
      <c r="A834" s="14" t="str">
        <f>+'[1]BASE RED COMERCIAL'!$A832</f>
        <v>E0016</v>
      </c>
      <c r="B834" s="8" t="str">
        <f>+'[1]BASE RED COMERCIAL'!$H832</f>
        <v>BOVRIL</v>
      </c>
      <c r="C834" s="7" t="s">
        <v>33</v>
      </c>
      <c r="D834" s="9" t="str">
        <f>+'[1]BASE RED COMERCIAL'!$E832</f>
        <v>ALTE G BROWN</v>
      </c>
      <c r="E834" s="7">
        <f>+'[1]BASE RED COMERCIAL'!$F832</f>
        <v>161</v>
      </c>
      <c r="F834" s="14" t="str">
        <f>+'[1]BASE RED COMERCIAL'!$I832</f>
        <v>E3142ZAA</v>
      </c>
      <c r="G834" s="7" t="str">
        <f>+'[1]BASE RED COMERCIAL'!$D832</f>
        <v>BOVRIL</v>
      </c>
      <c r="H834" s="7" t="str">
        <f>+'[1]BASE RED COMERCIAL'!$B832</f>
        <v>ENTRE RIOS</v>
      </c>
      <c r="I834" s="8" t="str">
        <f>+'[1]BASE RED COMERCIAL'!$C832</f>
        <v>LA PAZ</v>
      </c>
      <c r="J834" s="10"/>
      <c r="K834" s="10"/>
    </row>
    <row r="835" spans="1:11" x14ac:dyDescent="0.25">
      <c r="A835" s="14" t="str">
        <f>+'[1]BASE RED COMERCIAL'!$A833</f>
        <v>E0018</v>
      </c>
      <c r="B835" s="8" t="str">
        <f>+'[1]BASE RED COMERCIAL'!$H833</f>
        <v>CASEROS</v>
      </c>
      <c r="C835" s="7" t="s">
        <v>33</v>
      </c>
      <c r="D835" s="9" t="str">
        <f>+'[1]BASE RED COMERCIAL'!$E833</f>
        <v>CALLE 6</v>
      </c>
      <c r="E835" s="7">
        <f>+'[1]BASE RED COMERCIAL'!$F833</f>
        <v>684</v>
      </c>
      <c r="F835" s="14" t="str">
        <f>+'[1]BASE RED COMERCIAL'!$I833</f>
        <v>E3262ZAA</v>
      </c>
      <c r="G835" s="7" t="str">
        <f>+'[1]BASE RED COMERCIAL'!$D833</f>
        <v>CASEROS</v>
      </c>
      <c r="H835" s="7" t="str">
        <f>+'[1]BASE RED COMERCIAL'!$B833</f>
        <v>ENTRE RIOS</v>
      </c>
      <c r="I835" s="8" t="str">
        <f>+'[1]BASE RED COMERCIAL'!$C833</f>
        <v>URUGUAY</v>
      </c>
      <c r="J835" s="10"/>
      <c r="K835" s="10"/>
    </row>
    <row r="836" spans="1:11" x14ac:dyDescent="0.25">
      <c r="A836" s="14" t="str">
        <f>+'[1]BASE RED COMERCIAL'!$A834</f>
        <v>E0020</v>
      </c>
      <c r="B836" s="8" t="str">
        <f>+'[1]BASE RED COMERCIAL'!$H834</f>
        <v>CERRITO</v>
      </c>
      <c r="C836" s="7" t="s">
        <v>33</v>
      </c>
      <c r="D836" s="9" t="str">
        <f>+'[1]BASE RED COMERCIAL'!$E834</f>
        <v>INDUSTRIA</v>
      </c>
      <c r="E836" s="7">
        <f>+'[1]BASE RED COMERCIAL'!$F834</f>
        <v>274</v>
      </c>
      <c r="F836" s="14" t="str">
        <f>+'[1]BASE RED COMERCIAL'!$I834</f>
        <v>E3122ZAA</v>
      </c>
      <c r="G836" s="7" t="str">
        <f>+'[1]BASE RED COMERCIAL'!$D834</f>
        <v>CERRITO</v>
      </c>
      <c r="H836" s="7" t="str">
        <f>+'[1]BASE RED COMERCIAL'!$B834</f>
        <v>ENTRE RIOS</v>
      </c>
      <c r="I836" s="8" t="str">
        <f>+'[1]BASE RED COMERCIAL'!$C834</f>
        <v>PARANA</v>
      </c>
      <c r="J836" s="10"/>
      <c r="K836" s="10"/>
    </row>
    <row r="837" spans="1:11" x14ac:dyDescent="0.25">
      <c r="A837" s="14" t="str">
        <f>+'[1]BASE RED COMERCIAL'!$A835</f>
        <v>E0022</v>
      </c>
      <c r="B837" s="8" t="str">
        <f>+'[1]BASE RED COMERCIAL'!$H835</f>
        <v>CONCEPCION DEL URUGUAY</v>
      </c>
      <c r="C837" s="7" t="s">
        <v>33</v>
      </c>
      <c r="D837" s="9" t="str">
        <f>+'[1]BASE RED COMERCIAL'!$E835</f>
        <v>GALARZA</v>
      </c>
      <c r="E837" s="7">
        <f>+'[1]BASE RED COMERCIAL'!$F835</f>
        <v>712</v>
      </c>
      <c r="F837" s="14" t="str">
        <f>+'[1]BASE RED COMERCIAL'!$I835</f>
        <v>E3260ZAA</v>
      </c>
      <c r="G837" s="7" t="str">
        <f>+'[1]BASE RED COMERCIAL'!$D835</f>
        <v>CONCEPCION DEL URUGUAY</v>
      </c>
      <c r="H837" s="7" t="str">
        <f>+'[1]BASE RED COMERCIAL'!$B835</f>
        <v>ENTRE RIOS</v>
      </c>
      <c r="I837" s="8" t="str">
        <f>+'[1]BASE RED COMERCIAL'!$C835</f>
        <v>URUGUAY</v>
      </c>
      <c r="J837" s="10"/>
      <c r="K837" s="10"/>
    </row>
    <row r="838" spans="1:11" x14ac:dyDescent="0.25">
      <c r="A838" s="14" t="str">
        <f>+'[1]BASE RED COMERCIAL'!$A836</f>
        <v>E0026</v>
      </c>
      <c r="B838" s="8" t="str">
        <f>+'[1]BASE RED COMERCIAL'!$H836</f>
        <v>CRESPO</v>
      </c>
      <c r="C838" s="7" t="s">
        <v>33</v>
      </c>
      <c r="D838" s="9" t="str">
        <f>+'[1]BASE RED COMERCIAL'!$E836</f>
        <v>25 DE MAYO</v>
      </c>
      <c r="E838" s="7">
        <f>+'[1]BASE RED COMERCIAL'!$F836</f>
        <v>907</v>
      </c>
      <c r="F838" s="14" t="str">
        <f>+'[1]BASE RED COMERCIAL'!$I836</f>
        <v>E3116ZAA</v>
      </c>
      <c r="G838" s="7" t="str">
        <f>+'[1]BASE RED COMERCIAL'!$D836</f>
        <v>CRESPO</v>
      </c>
      <c r="H838" s="7" t="str">
        <f>+'[1]BASE RED COMERCIAL'!$B836</f>
        <v>ENTRE RIOS</v>
      </c>
      <c r="I838" s="8" t="str">
        <f>+'[1]BASE RED COMERCIAL'!$C836</f>
        <v>PARANA</v>
      </c>
      <c r="J838" s="10"/>
      <c r="K838" s="10"/>
    </row>
    <row r="839" spans="1:11" x14ac:dyDescent="0.25">
      <c r="A839" s="14" t="str">
        <f>+'[1]BASE RED COMERCIAL'!$A837</f>
        <v>E0028</v>
      </c>
      <c r="B839" s="8" t="str">
        <f>+'[1]BASE RED COMERCIAL'!$H837</f>
        <v>DIAMANTE</v>
      </c>
      <c r="C839" s="7" t="s">
        <v>33</v>
      </c>
      <c r="D839" s="9" t="str">
        <f>+'[1]BASE RED COMERCIAL'!$E837</f>
        <v>ALBERDI</v>
      </c>
      <c r="E839" s="7">
        <f>+'[1]BASE RED COMERCIAL'!$F837</f>
        <v>400</v>
      </c>
      <c r="F839" s="14" t="str">
        <f>+'[1]BASE RED COMERCIAL'!$I837</f>
        <v>E3105ZAA</v>
      </c>
      <c r="G839" s="7" t="str">
        <f>+'[1]BASE RED COMERCIAL'!$D837</f>
        <v>DIAMANTE</v>
      </c>
      <c r="H839" s="7" t="str">
        <f>+'[1]BASE RED COMERCIAL'!$B837</f>
        <v>ENTRE RIOS</v>
      </c>
      <c r="I839" s="8" t="str">
        <f>+'[1]BASE RED COMERCIAL'!$C837</f>
        <v>DIAMANTE</v>
      </c>
      <c r="J839" s="10"/>
      <c r="K839" s="10"/>
    </row>
    <row r="840" spans="1:11" x14ac:dyDescent="0.25">
      <c r="A840" s="14" t="str">
        <f>+'[1]BASE RED COMERCIAL'!$A838</f>
        <v>E0030</v>
      </c>
      <c r="B840" s="8" t="str">
        <f>+'[1]BASE RED COMERCIAL'!$H838</f>
        <v>GRAL. GALARZA</v>
      </c>
      <c r="C840" s="7" t="s">
        <v>33</v>
      </c>
      <c r="D840" s="9" t="str">
        <f>+'[1]BASE RED COMERCIAL'!$E838</f>
        <v>CNEL T DE ROCAMORA</v>
      </c>
      <c r="E840" s="7">
        <f>+'[1]BASE RED COMERCIAL'!$F838</f>
        <v>641</v>
      </c>
      <c r="F840" s="14" t="str">
        <f>+'[1]BASE RED COMERCIAL'!$I838</f>
        <v>E2843ZAA</v>
      </c>
      <c r="G840" s="7" t="str">
        <f>+'[1]BASE RED COMERCIAL'!$D838</f>
        <v>GENERAL GALARZA</v>
      </c>
      <c r="H840" s="7" t="str">
        <f>+'[1]BASE RED COMERCIAL'!$B838</f>
        <v>ENTRE RIOS</v>
      </c>
      <c r="I840" s="8" t="str">
        <f>+'[1]BASE RED COMERCIAL'!$C838</f>
        <v>GUALEGUAY</v>
      </c>
      <c r="J840" s="10"/>
      <c r="K840" s="10"/>
    </row>
    <row r="841" spans="1:11" x14ac:dyDescent="0.25">
      <c r="A841" s="14" t="str">
        <f>+'[1]BASE RED COMERCIAL'!$A839</f>
        <v>E0032</v>
      </c>
      <c r="B841" s="8" t="str">
        <f>+'[1]BASE RED COMERCIAL'!$H839</f>
        <v>GRAL. RAMIREZ</v>
      </c>
      <c r="C841" s="7" t="s">
        <v>33</v>
      </c>
      <c r="D841" s="9" t="str">
        <f>+'[1]BASE RED COMERCIAL'!$E839</f>
        <v>SGTO CABRAL</v>
      </c>
      <c r="E841" s="7">
        <f>+'[1]BASE RED COMERCIAL'!$F839</f>
        <v>30</v>
      </c>
      <c r="F841" s="14" t="str">
        <f>+'[1]BASE RED COMERCIAL'!$I839</f>
        <v>E3164ZAA</v>
      </c>
      <c r="G841" s="7" t="str">
        <f>+'[1]BASE RED COMERCIAL'!$D839</f>
        <v>GENERAL RAMIREZ</v>
      </c>
      <c r="H841" s="7" t="str">
        <f>+'[1]BASE RED COMERCIAL'!$B839</f>
        <v>ENTRE RIOS</v>
      </c>
      <c r="I841" s="8" t="str">
        <f>+'[1]BASE RED COMERCIAL'!$C839</f>
        <v>DIAMANTE</v>
      </c>
      <c r="J841" s="10"/>
      <c r="K841" s="10"/>
    </row>
    <row r="842" spans="1:11" x14ac:dyDescent="0.25">
      <c r="A842" s="14" t="str">
        <f>+'[1]BASE RED COMERCIAL'!$A840</f>
        <v>E0036</v>
      </c>
      <c r="B842" s="8" t="str">
        <f>+'[1]BASE RED COMERCIAL'!$H840</f>
        <v>GDOR. MANSILLA</v>
      </c>
      <c r="C842" s="7" t="s">
        <v>33</v>
      </c>
      <c r="D842" s="9" t="str">
        <f>+'[1]BASE RED COMERCIAL'!$E840</f>
        <v>AV SAN MARTIN</v>
      </c>
      <c r="E842" s="7">
        <f>+'[1]BASE RED COMERCIAL'!$F840</f>
        <v>485</v>
      </c>
      <c r="F842" s="14" t="str">
        <f>+'[1]BASE RED COMERCIAL'!$I840</f>
        <v>E2845ZAA</v>
      </c>
      <c r="G842" s="7" t="str">
        <f>+'[1]BASE RED COMERCIAL'!$D840</f>
        <v>GOBERNADOR MANSILLA</v>
      </c>
      <c r="H842" s="7" t="str">
        <f>+'[1]BASE RED COMERCIAL'!$B840</f>
        <v>ENTRE RIOS</v>
      </c>
      <c r="I842" s="8" t="str">
        <f>+'[1]BASE RED COMERCIAL'!$C840</f>
        <v>TALA</v>
      </c>
      <c r="J842" s="10"/>
      <c r="K842" s="10"/>
    </row>
    <row r="843" spans="1:11" x14ac:dyDescent="0.25">
      <c r="A843" s="14" t="str">
        <f>+'[1]BASE RED COMERCIAL'!$A841</f>
        <v>E0038</v>
      </c>
      <c r="B843" s="8" t="str">
        <f>+'[1]BASE RED COMERCIAL'!$H841</f>
        <v>GUALEGUAY</v>
      </c>
      <c r="C843" s="7" t="s">
        <v>33</v>
      </c>
      <c r="D843" s="9" t="str">
        <f>+'[1]BASE RED COMERCIAL'!$E841</f>
        <v>GRAL J J DE URQUIZA</v>
      </c>
      <c r="E843" s="7">
        <f>+'[1]BASE RED COMERCIAL'!$F841</f>
        <v>128</v>
      </c>
      <c r="F843" s="14" t="str">
        <f>+'[1]BASE RED COMERCIAL'!$I841</f>
        <v>E2840ZAA</v>
      </c>
      <c r="G843" s="7" t="str">
        <f>+'[1]BASE RED COMERCIAL'!$D841</f>
        <v>GUALEGUAY</v>
      </c>
      <c r="H843" s="7" t="str">
        <f>+'[1]BASE RED COMERCIAL'!$B841</f>
        <v>ENTRE RIOS</v>
      </c>
      <c r="I843" s="8" t="str">
        <f>+'[1]BASE RED COMERCIAL'!$C841</f>
        <v>GUALEGUAY</v>
      </c>
      <c r="J843" s="10"/>
      <c r="K843" s="10"/>
    </row>
    <row r="844" spans="1:11" x14ac:dyDescent="0.25">
      <c r="A844" s="14" t="str">
        <f>+'[1]BASE RED COMERCIAL'!$A842</f>
        <v>E0040</v>
      </c>
      <c r="B844" s="8" t="str">
        <f>+'[1]BASE RED COMERCIAL'!$H842</f>
        <v>GUALEGUAYCHU</v>
      </c>
      <c r="C844" s="7" t="s">
        <v>33</v>
      </c>
      <c r="D844" s="9" t="str">
        <f>+'[1]BASE RED COMERCIAL'!$E842</f>
        <v>URQUIZA</v>
      </c>
      <c r="E844" s="7">
        <f>+'[1]BASE RED COMERCIAL'!$F842</f>
        <v>1036</v>
      </c>
      <c r="F844" s="14" t="str">
        <f>+'[1]BASE RED COMERCIAL'!$I842</f>
        <v>E2820ZAA</v>
      </c>
      <c r="G844" s="7" t="str">
        <f>+'[1]BASE RED COMERCIAL'!$D842</f>
        <v>GUALEGUAYCHU</v>
      </c>
      <c r="H844" s="7" t="str">
        <f>+'[1]BASE RED COMERCIAL'!$B842</f>
        <v>ENTRE RIOS</v>
      </c>
      <c r="I844" s="8" t="str">
        <f>+'[1]BASE RED COMERCIAL'!$C842</f>
        <v>GUALEGUAYCHU</v>
      </c>
      <c r="J844" s="10"/>
      <c r="K844" s="10"/>
    </row>
    <row r="845" spans="1:11" x14ac:dyDescent="0.25">
      <c r="A845" s="14" t="str">
        <f>+'[1]BASE RED COMERCIAL'!$A843</f>
        <v>E0044</v>
      </c>
      <c r="B845" s="8" t="str">
        <f>+'[1]BASE RED COMERCIAL'!$H843</f>
        <v>HASENKAMP</v>
      </c>
      <c r="C845" s="7" t="s">
        <v>33</v>
      </c>
      <c r="D845" s="9" t="str">
        <f>+'[1]BASE RED COMERCIAL'!$E843</f>
        <v>LIBERTAD</v>
      </c>
      <c r="E845" s="7">
        <f>+'[1]BASE RED COMERCIAL'!$F843</f>
        <v>255</v>
      </c>
      <c r="F845" s="14" t="str">
        <f>+'[1]BASE RED COMERCIAL'!$I843</f>
        <v>E3134ZAA</v>
      </c>
      <c r="G845" s="7" t="str">
        <f>+'[1]BASE RED COMERCIAL'!$D843</f>
        <v>HASENKAMP</v>
      </c>
      <c r="H845" s="7" t="str">
        <f>+'[1]BASE RED COMERCIAL'!$B843</f>
        <v>ENTRE RIOS</v>
      </c>
      <c r="I845" s="8" t="str">
        <f>+'[1]BASE RED COMERCIAL'!$C843</f>
        <v>PARANA</v>
      </c>
      <c r="J845" s="10"/>
      <c r="K845" s="10"/>
    </row>
    <row r="846" spans="1:11" x14ac:dyDescent="0.25">
      <c r="A846" s="14" t="str">
        <f>+'[1]BASE RED COMERCIAL'!$A844</f>
        <v>E0046</v>
      </c>
      <c r="B846" s="8" t="str">
        <f>+'[1]BASE RED COMERCIAL'!$H844</f>
        <v>HERNANDARIAS</v>
      </c>
      <c r="C846" s="7" t="s">
        <v>33</v>
      </c>
      <c r="D846" s="9" t="str">
        <f>+'[1]BASE RED COMERCIAL'!$E844</f>
        <v>PTE J D PERON</v>
      </c>
      <c r="E846" s="7">
        <f>+'[1]BASE RED COMERCIAL'!$F844</f>
        <v>378</v>
      </c>
      <c r="F846" s="14" t="str">
        <f>+'[1]BASE RED COMERCIAL'!$I844</f>
        <v>E3127ZAA</v>
      </c>
      <c r="G846" s="7" t="str">
        <f>+'[1]BASE RED COMERCIAL'!$D844</f>
        <v>HERNANDARIAS</v>
      </c>
      <c r="H846" s="7" t="str">
        <f>+'[1]BASE RED COMERCIAL'!$B844</f>
        <v>ENTRE RIOS</v>
      </c>
      <c r="I846" s="8" t="str">
        <f>+'[1]BASE RED COMERCIAL'!$C844</f>
        <v>PARANA</v>
      </c>
      <c r="J846" s="10"/>
      <c r="K846" s="10"/>
    </row>
    <row r="847" spans="1:11" x14ac:dyDescent="0.25">
      <c r="A847" s="14" t="str">
        <f>+'[1]BASE RED COMERCIAL'!$A845</f>
        <v>E0048</v>
      </c>
      <c r="B847" s="8" t="str">
        <f>+'[1]BASE RED COMERCIAL'!$H845</f>
        <v>HERNANDEZ</v>
      </c>
      <c r="C847" s="7" t="s">
        <v>33</v>
      </c>
      <c r="D847" s="9" t="str">
        <f>+'[1]BASE RED COMERCIAL'!$E845</f>
        <v>DR FILOMENO ALFARO</v>
      </c>
      <c r="E847" s="7">
        <f>+'[1]BASE RED COMERCIAL'!$F845</f>
        <v>201</v>
      </c>
      <c r="F847" s="14" t="str">
        <f>+'[1]BASE RED COMERCIAL'!$I845</f>
        <v>E3156ZAA</v>
      </c>
      <c r="G847" s="7" t="str">
        <f>+'[1]BASE RED COMERCIAL'!$D845</f>
        <v>HERNANDEZ</v>
      </c>
      <c r="H847" s="7" t="str">
        <f>+'[1]BASE RED COMERCIAL'!$B845</f>
        <v>ENTRE RIOS</v>
      </c>
      <c r="I847" s="8" t="str">
        <f>+'[1]BASE RED COMERCIAL'!$C845</f>
        <v>NOGOYA</v>
      </c>
      <c r="J847" s="10"/>
      <c r="K847" s="10"/>
    </row>
    <row r="848" spans="1:11" x14ac:dyDescent="0.25">
      <c r="A848" s="14" t="str">
        <f>+'[1]BASE RED COMERCIAL'!$A846</f>
        <v>E0050</v>
      </c>
      <c r="B848" s="8" t="str">
        <f>+'[1]BASE RED COMERCIAL'!$H846</f>
        <v>IBICUY</v>
      </c>
      <c r="C848" s="7" t="s">
        <v>33</v>
      </c>
      <c r="D848" s="9" t="str">
        <f>+'[1]BASE RED COMERCIAL'!$E846</f>
        <v>AV PTE J D PERON</v>
      </c>
      <c r="E848" s="7">
        <f>+'[1]BASE RED COMERCIAL'!$F846</f>
        <v>0</v>
      </c>
      <c r="F848" s="14" t="str">
        <f>+'[1]BASE RED COMERCIAL'!$I846</f>
        <v>E2846ZAA</v>
      </c>
      <c r="G848" s="7" t="str">
        <f>+'[1]BASE RED COMERCIAL'!$D846</f>
        <v>IBICUY</v>
      </c>
      <c r="H848" s="7" t="str">
        <f>+'[1]BASE RED COMERCIAL'!$B846</f>
        <v>ENTRE RIOS</v>
      </c>
      <c r="I848" s="8" t="str">
        <f>+'[1]BASE RED COMERCIAL'!$C846</f>
        <v>ISLAS DEL IBICUY</v>
      </c>
      <c r="J848" s="10"/>
      <c r="K848" s="10"/>
    </row>
    <row r="849" spans="1:11" x14ac:dyDescent="0.25">
      <c r="A849" s="14" t="str">
        <f>+'[1]BASE RED COMERCIAL'!$A847</f>
        <v>E0052</v>
      </c>
      <c r="B849" s="8" t="str">
        <f>+'[1]BASE RED COMERCIAL'!$H847</f>
        <v>VILLA PARANACITO</v>
      </c>
      <c r="C849" s="7" t="s">
        <v>33</v>
      </c>
      <c r="D849" s="9" t="str">
        <f>+'[1]BASE RED COMERCIAL'!$E847</f>
        <v>SAN MARTIN S N</v>
      </c>
      <c r="E849" s="7">
        <f>+'[1]BASE RED COMERCIAL'!$F847</f>
        <v>0</v>
      </c>
      <c r="F849" s="14" t="str">
        <f>+'[1]BASE RED COMERCIAL'!$I847</f>
        <v>E2823ZAA</v>
      </c>
      <c r="G849" s="7" t="str">
        <f>+'[1]BASE RED COMERCIAL'!$D847</f>
        <v>VILLA PARANACITO</v>
      </c>
      <c r="H849" s="7" t="str">
        <f>+'[1]BASE RED COMERCIAL'!$B847</f>
        <v>ENTRE RIOS</v>
      </c>
      <c r="I849" s="8" t="str">
        <f>+'[1]BASE RED COMERCIAL'!$C847</f>
        <v>ISLAS DEL IBICUY</v>
      </c>
      <c r="J849" s="10"/>
      <c r="K849" s="10"/>
    </row>
    <row r="850" spans="1:11" x14ac:dyDescent="0.25">
      <c r="A850" s="14" t="str">
        <f>+'[1]BASE RED COMERCIAL'!$A848</f>
        <v>E0054</v>
      </c>
      <c r="B850" s="8" t="str">
        <f>+'[1]BASE RED COMERCIAL'!$H848</f>
        <v>LA PAZ</v>
      </c>
      <c r="C850" s="7" t="s">
        <v>33</v>
      </c>
      <c r="D850" s="9" t="str">
        <f>+'[1]BASE RED COMERCIAL'!$E848</f>
        <v>9 DE JULIO</v>
      </c>
      <c r="E850" s="7">
        <f>+'[1]BASE RED COMERCIAL'!$F848</f>
        <v>1117</v>
      </c>
      <c r="F850" s="14" t="str">
        <f>+'[1]BASE RED COMERCIAL'!$I848</f>
        <v>E3190ZAA</v>
      </c>
      <c r="G850" s="7" t="str">
        <f>+'[1]BASE RED COMERCIAL'!$D848</f>
        <v>LA PAZ</v>
      </c>
      <c r="H850" s="7" t="str">
        <f>+'[1]BASE RED COMERCIAL'!$B848</f>
        <v>ENTRE RIOS</v>
      </c>
      <c r="I850" s="8" t="str">
        <f>+'[1]BASE RED COMERCIAL'!$C848</f>
        <v>LA PAZ</v>
      </c>
      <c r="J850" s="10"/>
      <c r="K850" s="10"/>
    </row>
    <row r="851" spans="1:11" x14ac:dyDescent="0.25">
      <c r="A851" s="14" t="str">
        <f>+'[1]BASE RED COMERCIAL'!$A849</f>
        <v>E0056</v>
      </c>
      <c r="B851" s="8" t="str">
        <f>+'[1]BASE RED COMERCIAL'!$H849</f>
        <v>LARROQUE</v>
      </c>
      <c r="C851" s="7" t="s">
        <v>33</v>
      </c>
      <c r="D851" s="9" t="str">
        <f>+'[1]BASE RED COMERCIAL'!$E849</f>
        <v>LAS HERAS</v>
      </c>
      <c r="E851" s="7">
        <f>+'[1]BASE RED COMERCIAL'!$F849</f>
        <v>99</v>
      </c>
      <c r="F851" s="14" t="str">
        <f>+'[1]BASE RED COMERCIAL'!$I849</f>
        <v>E2854ZAA</v>
      </c>
      <c r="G851" s="7" t="str">
        <f>+'[1]BASE RED COMERCIAL'!$D849</f>
        <v>LARROQUE</v>
      </c>
      <c r="H851" s="7" t="str">
        <f>+'[1]BASE RED COMERCIAL'!$B849</f>
        <v>ENTRE RIOS</v>
      </c>
      <c r="I851" s="8" t="str">
        <f>+'[1]BASE RED COMERCIAL'!$C849</f>
        <v>GUALEGUAYCHU</v>
      </c>
      <c r="J851" s="10"/>
      <c r="K851" s="10"/>
    </row>
    <row r="852" spans="1:11" x14ac:dyDescent="0.25">
      <c r="A852" s="14" t="str">
        <f>+'[1]BASE RED COMERCIAL'!$A850</f>
        <v>E0058</v>
      </c>
      <c r="B852" s="8" t="str">
        <f>+'[1]BASE RED COMERCIAL'!$H850</f>
        <v>LUCAS GONZALEZ</v>
      </c>
      <c r="C852" s="7" t="s">
        <v>33</v>
      </c>
      <c r="D852" s="9" t="str">
        <f>+'[1]BASE RED COMERCIAL'!$E850</f>
        <v>AV SOBERANIA</v>
      </c>
      <c r="E852" s="7">
        <f>+'[1]BASE RED COMERCIAL'!$F850</f>
        <v>142</v>
      </c>
      <c r="F852" s="14" t="str">
        <f>+'[1]BASE RED COMERCIAL'!$I850</f>
        <v>E3158ZAA</v>
      </c>
      <c r="G852" s="7" t="str">
        <f>+'[1]BASE RED COMERCIAL'!$D850</f>
        <v>LUCAS GONZALEZ</v>
      </c>
      <c r="H852" s="7" t="str">
        <f>+'[1]BASE RED COMERCIAL'!$B850</f>
        <v>ENTRE RIOS</v>
      </c>
      <c r="I852" s="8" t="str">
        <f>+'[1]BASE RED COMERCIAL'!$C850</f>
        <v>NOGOYA</v>
      </c>
      <c r="J852" s="10"/>
      <c r="K852" s="10"/>
    </row>
    <row r="853" spans="1:11" x14ac:dyDescent="0.25">
      <c r="A853" s="14" t="str">
        <f>+'[1]BASE RED COMERCIAL'!$A851</f>
        <v>E0060</v>
      </c>
      <c r="B853" s="8" t="str">
        <f>+'[1]BASE RED COMERCIAL'!$H851</f>
        <v>MACIA</v>
      </c>
      <c r="C853" s="7" t="s">
        <v>33</v>
      </c>
      <c r="D853" s="9" t="str">
        <f>+'[1]BASE RED COMERCIAL'!$E851</f>
        <v>PTE GRAL JULIO A ROCA</v>
      </c>
      <c r="E853" s="7">
        <f>+'[1]BASE RED COMERCIAL'!$F851</f>
        <v>289</v>
      </c>
      <c r="F853" s="14" t="str">
        <f>+'[1]BASE RED COMERCIAL'!$I851</f>
        <v>E3177ZAA</v>
      </c>
      <c r="G853" s="7" t="str">
        <f>+'[1]BASE RED COMERCIAL'!$D851</f>
        <v>GOBERNADOR MACIA</v>
      </c>
      <c r="H853" s="7" t="str">
        <f>+'[1]BASE RED COMERCIAL'!$B851</f>
        <v>ENTRE RIOS</v>
      </c>
      <c r="I853" s="8" t="str">
        <f>+'[1]BASE RED COMERCIAL'!$C851</f>
        <v>TALA</v>
      </c>
      <c r="J853" s="10"/>
      <c r="K853" s="10"/>
    </row>
    <row r="854" spans="1:11" x14ac:dyDescent="0.25">
      <c r="A854" s="14" t="str">
        <f>+'[1]BASE RED COMERCIAL'!$A852</f>
        <v>E0062</v>
      </c>
      <c r="B854" s="8" t="str">
        <f>+'[1]BASE RED COMERCIAL'!$H852</f>
        <v>MARIA GRANDE</v>
      </c>
      <c r="C854" s="7" t="s">
        <v>33</v>
      </c>
      <c r="D854" s="9" t="str">
        <f>+'[1]BASE RED COMERCIAL'!$E852</f>
        <v>25 DE MAYO</v>
      </c>
      <c r="E854" s="7">
        <f>+'[1]BASE RED COMERCIAL'!$F852</f>
        <v>133</v>
      </c>
      <c r="F854" s="14" t="str">
        <f>+'[1]BASE RED COMERCIAL'!$I852</f>
        <v>E3133ZAA</v>
      </c>
      <c r="G854" s="7" t="str">
        <f>+'[1]BASE RED COMERCIAL'!$D852</f>
        <v>MARIA GRANDE</v>
      </c>
      <c r="H854" s="7" t="str">
        <f>+'[1]BASE RED COMERCIAL'!$B852</f>
        <v>ENTRE RIOS</v>
      </c>
      <c r="I854" s="8" t="str">
        <f>+'[1]BASE RED COMERCIAL'!$C852</f>
        <v>PARANA</v>
      </c>
      <c r="J854" s="10"/>
      <c r="K854" s="10"/>
    </row>
    <row r="855" spans="1:11" x14ac:dyDescent="0.25">
      <c r="A855" s="14" t="str">
        <f>+'[1]BASE RED COMERCIAL'!$A853</f>
        <v>E0064</v>
      </c>
      <c r="B855" s="8" t="str">
        <f>+'[1]BASE RED COMERCIAL'!$H853</f>
        <v>NOGOYA</v>
      </c>
      <c r="C855" s="7" t="s">
        <v>33</v>
      </c>
      <c r="D855" s="9" t="str">
        <f>+'[1]BASE RED COMERCIAL'!$E853</f>
        <v>9 DE JULIO</v>
      </c>
      <c r="E855" s="7">
        <f>+'[1]BASE RED COMERCIAL'!$F853</f>
        <v>701</v>
      </c>
      <c r="F855" s="14" t="str">
        <f>+'[1]BASE RED COMERCIAL'!$I853</f>
        <v>E3150ZAA</v>
      </c>
      <c r="G855" s="7" t="str">
        <f>+'[1]BASE RED COMERCIAL'!$D853</f>
        <v>NOGOYA</v>
      </c>
      <c r="H855" s="7" t="str">
        <f>+'[1]BASE RED COMERCIAL'!$B853</f>
        <v>ENTRE RIOS</v>
      </c>
      <c r="I855" s="8" t="str">
        <f>+'[1]BASE RED COMERCIAL'!$C853</f>
        <v>NOGOYA</v>
      </c>
      <c r="J855" s="10"/>
      <c r="K855" s="10"/>
    </row>
    <row r="856" spans="1:11" x14ac:dyDescent="0.25">
      <c r="A856" s="14" t="str">
        <f>+'[1]BASE RED COMERCIAL'!$A854</f>
        <v>E0066</v>
      </c>
      <c r="B856" s="8" t="str">
        <f>+'[1]BASE RED COMERCIAL'!$H854</f>
        <v>ROSARIO DEL TALA</v>
      </c>
      <c r="C856" s="7" t="s">
        <v>33</v>
      </c>
      <c r="D856" s="9" t="str">
        <f>+'[1]BASE RED COMERCIAL'!$E854</f>
        <v>PTE H YRIGOYEN</v>
      </c>
      <c r="E856" s="7">
        <f>+'[1]BASE RED COMERCIAL'!$F854</f>
        <v>88</v>
      </c>
      <c r="F856" s="14" t="str">
        <f>+'[1]BASE RED COMERCIAL'!$I854</f>
        <v>E3174ZAA</v>
      </c>
      <c r="G856" s="7" t="str">
        <f>+'[1]BASE RED COMERCIAL'!$D854</f>
        <v>ROSARIO DEL TALA</v>
      </c>
      <c r="H856" s="7" t="str">
        <f>+'[1]BASE RED COMERCIAL'!$B854</f>
        <v>ENTRE RIOS</v>
      </c>
      <c r="I856" s="8" t="str">
        <f>+'[1]BASE RED COMERCIAL'!$C854</f>
        <v>TALA</v>
      </c>
      <c r="J856" s="10"/>
      <c r="K856" s="10"/>
    </row>
    <row r="857" spans="1:11" x14ac:dyDescent="0.25">
      <c r="A857" s="14" t="str">
        <f>+'[1]BASE RED COMERCIAL'!$A855</f>
        <v>E0068</v>
      </c>
      <c r="B857" s="8" t="str">
        <f>+'[1]BASE RED COMERCIAL'!$H855</f>
        <v>SANTA ELENA</v>
      </c>
      <c r="C857" s="7" t="s">
        <v>33</v>
      </c>
      <c r="D857" s="9" t="str">
        <f>+'[1]BASE RED COMERCIAL'!$E855</f>
        <v>AV PTE J D PERON</v>
      </c>
      <c r="E857" s="7">
        <f>+'[1]BASE RED COMERCIAL'!$F855</f>
        <v>736</v>
      </c>
      <c r="F857" s="14" t="str">
        <f>+'[1]BASE RED COMERCIAL'!$I855</f>
        <v>E3192ZAA</v>
      </c>
      <c r="G857" s="7" t="str">
        <f>+'[1]BASE RED COMERCIAL'!$D855</f>
        <v>SANTA ELENA</v>
      </c>
      <c r="H857" s="7" t="str">
        <f>+'[1]BASE RED COMERCIAL'!$B855</f>
        <v>ENTRE RIOS</v>
      </c>
      <c r="I857" s="8" t="str">
        <f>+'[1]BASE RED COMERCIAL'!$C855</f>
        <v>LA PAZ</v>
      </c>
      <c r="J857" s="10"/>
      <c r="K857" s="10"/>
    </row>
    <row r="858" spans="1:11" x14ac:dyDescent="0.25">
      <c r="A858" s="14" t="str">
        <f>+'[1]BASE RED COMERCIAL'!$A856</f>
        <v>E0072</v>
      </c>
      <c r="B858" s="8" t="str">
        <f>+'[1]BASE RED COMERCIAL'!$H856</f>
        <v>SEGUI</v>
      </c>
      <c r="C858" s="7" t="s">
        <v>33</v>
      </c>
      <c r="D858" s="9" t="str">
        <f>+'[1]BASE RED COMERCIAL'!$E856</f>
        <v>LIBERTAD</v>
      </c>
      <c r="E858" s="7">
        <f>+'[1]BASE RED COMERCIAL'!$F856</f>
        <v>345</v>
      </c>
      <c r="F858" s="14" t="str">
        <f>+'[1]BASE RED COMERCIAL'!$I856</f>
        <v>E3117ZAA</v>
      </c>
      <c r="G858" s="7" t="str">
        <f>+'[1]BASE RED COMERCIAL'!$D856</f>
        <v>SEGUI</v>
      </c>
      <c r="H858" s="7" t="str">
        <f>+'[1]BASE RED COMERCIAL'!$B856</f>
        <v>ENTRE RIOS</v>
      </c>
      <c r="I858" s="8" t="str">
        <f>+'[1]BASE RED COMERCIAL'!$C856</f>
        <v>PARANA</v>
      </c>
      <c r="J858" s="10"/>
      <c r="K858" s="10"/>
    </row>
    <row r="859" spans="1:11" x14ac:dyDescent="0.25">
      <c r="A859" s="14" t="str">
        <f>+'[1]BASE RED COMERCIAL'!$A857</f>
        <v>E0074</v>
      </c>
      <c r="B859" s="8" t="str">
        <f>+'[1]BASE RED COMERCIAL'!$H857</f>
        <v>URDINARRAIN</v>
      </c>
      <c r="C859" s="7" t="s">
        <v>33</v>
      </c>
      <c r="D859" s="9" t="str">
        <f>+'[1]BASE RED COMERCIAL'!$E857</f>
        <v>CNEL T DE ROCAMORA</v>
      </c>
      <c r="E859" s="7">
        <f>+'[1]BASE RED COMERCIAL'!$F857</f>
        <v>98</v>
      </c>
      <c r="F859" s="14" t="str">
        <f>+'[1]BASE RED COMERCIAL'!$I857</f>
        <v>E2826ZAA</v>
      </c>
      <c r="G859" s="7" t="str">
        <f>+'[1]BASE RED COMERCIAL'!$D857</f>
        <v>URDINARRAIN</v>
      </c>
      <c r="H859" s="7" t="str">
        <f>+'[1]BASE RED COMERCIAL'!$B857</f>
        <v>ENTRE RIOS</v>
      </c>
      <c r="I859" s="8" t="str">
        <f>+'[1]BASE RED COMERCIAL'!$C857</f>
        <v>GUALEGUAYCHU</v>
      </c>
      <c r="J859" s="10"/>
      <c r="K859" s="10"/>
    </row>
    <row r="860" spans="1:11" x14ac:dyDescent="0.25">
      <c r="A860" s="14" t="str">
        <f>+'[1]BASE RED COMERCIAL'!$A858</f>
        <v>E0076</v>
      </c>
      <c r="B860" s="8" t="str">
        <f>+'[1]BASE RED COMERCIAL'!$H858</f>
        <v>VALLE MARIA</v>
      </c>
      <c r="C860" s="7" t="s">
        <v>33</v>
      </c>
      <c r="D860" s="9" t="str">
        <f>+'[1]BASE RED COMERCIAL'!$E858</f>
        <v>1 DE MAYO</v>
      </c>
      <c r="E860" s="7">
        <f>+'[1]BASE RED COMERCIAL'!$F858</f>
        <v>0</v>
      </c>
      <c r="F860" s="14" t="str">
        <f>+'[1]BASE RED COMERCIAL'!$I858</f>
        <v>E3101ZAA</v>
      </c>
      <c r="G860" s="7" t="str">
        <f>+'[1]BASE RED COMERCIAL'!$D858</f>
        <v>ALDEA VALLE MARIA</v>
      </c>
      <c r="H860" s="7" t="str">
        <f>+'[1]BASE RED COMERCIAL'!$B858</f>
        <v>ENTRE RIOS</v>
      </c>
      <c r="I860" s="8" t="str">
        <f>+'[1]BASE RED COMERCIAL'!$C858</f>
        <v>DIAMANTE</v>
      </c>
      <c r="J860" s="10"/>
      <c r="K860" s="10"/>
    </row>
    <row r="861" spans="1:11" x14ac:dyDescent="0.25">
      <c r="A861" s="14" t="str">
        <f>+'[1]BASE RED COMERCIAL'!$A859</f>
        <v>E0078</v>
      </c>
      <c r="B861" s="8" t="str">
        <f>+'[1]BASE RED COMERCIAL'!$H859</f>
        <v>VIALE</v>
      </c>
      <c r="C861" s="7" t="s">
        <v>33</v>
      </c>
      <c r="D861" s="9" t="str">
        <f>+'[1]BASE RED COMERCIAL'!$E859</f>
        <v>25 DE MAYO</v>
      </c>
      <c r="E861" s="7">
        <f>+'[1]BASE RED COMERCIAL'!$F859</f>
        <v>337</v>
      </c>
      <c r="F861" s="14" t="str">
        <f>+'[1]BASE RED COMERCIAL'!$I859</f>
        <v>E3109ZAA</v>
      </c>
      <c r="G861" s="7" t="str">
        <f>+'[1]BASE RED COMERCIAL'!$D859</f>
        <v>VIALE</v>
      </c>
      <c r="H861" s="7" t="str">
        <f>+'[1]BASE RED COMERCIAL'!$B859</f>
        <v>ENTRE RIOS</v>
      </c>
      <c r="I861" s="8" t="str">
        <f>+'[1]BASE RED COMERCIAL'!$C859</f>
        <v>PARANA</v>
      </c>
      <c r="J861" s="10"/>
      <c r="K861" s="10"/>
    </row>
    <row r="862" spans="1:11" x14ac:dyDescent="0.25">
      <c r="A862" s="14" t="str">
        <f>+'[1]BASE RED COMERCIAL'!$A860</f>
        <v>E0080</v>
      </c>
      <c r="B862" s="8" t="str">
        <f>+'[1]BASE RED COMERCIAL'!$H860</f>
        <v>VICTORIA</v>
      </c>
      <c r="C862" s="7" t="s">
        <v>33</v>
      </c>
      <c r="D862" s="9" t="str">
        <f>+'[1]BASE RED COMERCIAL'!$E860</f>
        <v>BME MITRE</v>
      </c>
      <c r="E862" s="7">
        <f>+'[1]BASE RED COMERCIAL'!$F860</f>
        <v>473</v>
      </c>
      <c r="F862" s="14" t="str">
        <f>+'[1]BASE RED COMERCIAL'!$I860</f>
        <v>E3153ZAA</v>
      </c>
      <c r="G862" s="7" t="str">
        <f>+'[1]BASE RED COMERCIAL'!$D860</f>
        <v>VICTORIA</v>
      </c>
      <c r="H862" s="7" t="str">
        <f>+'[1]BASE RED COMERCIAL'!$B860</f>
        <v>ENTRE RIOS</v>
      </c>
      <c r="I862" s="8" t="str">
        <f>+'[1]BASE RED COMERCIAL'!$C860</f>
        <v>VICTORIA</v>
      </c>
      <c r="J862" s="10"/>
      <c r="K862" s="10"/>
    </row>
    <row r="863" spans="1:11" x14ac:dyDescent="0.25">
      <c r="A863" s="14" t="str">
        <f>+'[1]BASE RED COMERCIAL'!$A861</f>
        <v>E0082</v>
      </c>
      <c r="B863" s="8" t="str">
        <f>+'[1]BASE RED COMERCIAL'!$H861</f>
        <v>VILLA LIB. SAN MARTIN</v>
      </c>
      <c r="C863" s="7" t="s">
        <v>33</v>
      </c>
      <c r="D863" s="9" t="str">
        <f>+'[1]BASE RED COMERCIAL'!$E861</f>
        <v>BUENOS AIRES</v>
      </c>
      <c r="E863" s="7">
        <f>+'[1]BASE RED COMERCIAL'!$F861</f>
        <v>171</v>
      </c>
      <c r="F863" s="14" t="str">
        <f>+'[1]BASE RED COMERCIAL'!$I861</f>
        <v>E3103ZAA</v>
      </c>
      <c r="G863" s="7" t="str">
        <f>+'[1]BASE RED COMERCIAL'!$D861</f>
        <v>VILLA LIBERTADOR SAN MARTIN</v>
      </c>
      <c r="H863" s="7" t="str">
        <f>+'[1]BASE RED COMERCIAL'!$B861</f>
        <v>ENTRE RIOS</v>
      </c>
      <c r="I863" s="8" t="str">
        <f>+'[1]BASE RED COMERCIAL'!$C861</f>
        <v>DIAMANTE</v>
      </c>
      <c r="J863" s="10"/>
      <c r="K863" s="10"/>
    </row>
    <row r="864" spans="1:11" x14ac:dyDescent="0.25">
      <c r="A864" s="14" t="str">
        <f>+'[1]BASE RED COMERCIAL'!$A862</f>
        <v>E0100</v>
      </c>
      <c r="B864" s="8" t="str">
        <f>+'[1]BASE RED COMERCIAL'!$H862</f>
        <v>CONCORDIA</v>
      </c>
      <c r="C864" s="7" t="s">
        <v>33</v>
      </c>
      <c r="D864" s="9" t="str">
        <f>+'[1]BASE RED COMERCIAL'!$E862</f>
        <v>PTE H YRIGOYEN</v>
      </c>
      <c r="E864" s="7">
        <f>+'[1]BASE RED COMERCIAL'!$F862</f>
        <v>575</v>
      </c>
      <c r="F864" s="14" t="str">
        <f>+'[1]BASE RED COMERCIAL'!$I862</f>
        <v>E3200ZAA</v>
      </c>
      <c r="G864" s="7" t="str">
        <f>+'[1]BASE RED COMERCIAL'!$D862</f>
        <v>CONCORDIA</v>
      </c>
      <c r="H864" s="7" t="str">
        <f>+'[1]BASE RED COMERCIAL'!$B862</f>
        <v>ENTRE RIOS</v>
      </c>
      <c r="I864" s="8" t="str">
        <f>+'[1]BASE RED COMERCIAL'!$C862</f>
        <v>CONCORDIA</v>
      </c>
      <c r="J864" s="10"/>
      <c r="K864" s="10"/>
    </row>
    <row r="865" spans="1:11" x14ac:dyDescent="0.25">
      <c r="A865" s="14" t="str">
        <f>+'[1]BASE RED COMERCIAL'!$A863</f>
        <v>E0102</v>
      </c>
      <c r="B865" s="8" t="str">
        <f>+'[1]BASE RED COMERCIAL'!$H863</f>
        <v>SUCURSAL 2 CONCORDIA</v>
      </c>
      <c r="C865" s="7" t="s">
        <v>33</v>
      </c>
      <c r="D865" s="9" t="str">
        <f>+'[1]BASE RED COMERCIAL'!$E863</f>
        <v>AV LAS HERAS</v>
      </c>
      <c r="E865" s="7">
        <f>+'[1]BASE RED COMERCIAL'!$F863</f>
        <v>396</v>
      </c>
      <c r="F865" s="14" t="str">
        <f>+'[1]BASE RED COMERCIAL'!$I863</f>
        <v>E3202ZAA</v>
      </c>
      <c r="G865" s="7" t="str">
        <f>+'[1]BASE RED COMERCIAL'!$D863</f>
        <v>CONCORDIA</v>
      </c>
      <c r="H865" s="7" t="str">
        <f>+'[1]BASE RED COMERCIAL'!$B863</f>
        <v>ENTRE RIOS</v>
      </c>
      <c r="I865" s="8" t="str">
        <f>+'[1]BASE RED COMERCIAL'!$C863</f>
        <v>CONCORDIA</v>
      </c>
      <c r="J865" s="10"/>
      <c r="K865" s="10"/>
    </row>
    <row r="866" spans="1:11" x14ac:dyDescent="0.25">
      <c r="A866" s="14" t="str">
        <f>+'[1]BASE RED COMERCIAL'!$A864</f>
        <v>E0105</v>
      </c>
      <c r="B866" s="8" t="str">
        <f>+'[1]BASE RED COMERCIAL'!$H864</f>
        <v>CHAJARI</v>
      </c>
      <c r="C866" s="7" t="s">
        <v>33</v>
      </c>
      <c r="D866" s="9" t="str">
        <f>+'[1]BASE RED COMERCIAL'!$E864</f>
        <v>JAIME TABENI</v>
      </c>
      <c r="E866" s="7">
        <f>+'[1]BASE RED COMERCIAL'!$F864</f>
        <v>1320</v>
      </c>
      <c r="F866" s="14" t="str">
        <f>+'[1]BASE RED COMERCIAL'!$I864</f>
        <v>E3228ZAA</v>
      </c>
      <c r="G866" s="7" t="str">
        <f>+'[1]BASE RED COMERCIAL'!$D864</f>
        <v>CHAJARI</v>
      </c>
      <c r="H866" s="7" t="str">
        <f>+'[1]BASE RED COMERCIAL'!$B864</f>
        <v>ENTRE RIOS</v>
      </c>
      <c r="I866" s="8" t="str">
        <f>+'[1]BASE RED COMERCIAL'!$C864</f>
        <v>FEDERACION</v>
      </c>
      <c r="J866" s="10"/>
      <c r="K866" s="10"/>
    </row>
    <row r="867" spans="1:11" x14ac:dyDescent="0.25">
      <c r="A867" s="14" t="str">
        <f>+'[1]BASE RED COMERCIAL'!$A865</f>
        <v>E0107</v>
      </c>
      <c r="B867" s="8" t="str">
        <f>+'[1]BASE RED COMERCIAL'!$H865</f>
        <v>COLON</v>
      </c>
      <c r="C867" s="7" t="s">
        <v>33</v>
      </c>
      <c r="D867" s="9" t="str">
        <f>+'[1]BASE RED COMERCIAL'!$E865</f>
        <v>12 DE ABRIL</v>
      </c>
      <c r="E867" s="7">
        <f>+'[1]BASE RED COMERCIAL'!$F865</f>
        <v>431</v>
      </c>
      <c r="F867" s="14" t="str">
        <f>+'[1]BASE RED COMERCIAL'!$I865</f>
        <v>E3280ZAA</v>
      </c>
      <c r="G867" s="7" t="str">
        <f>+'[1]BASE RED COMERCIAL'!$D865</f>
        <v>COLON</v>
      </c>
      <c r="H867" s="7" t="str">
        <f>+'[1]BASE RED COMERCIAL'!$B865</f>
        <v>ENTRE RIOS</v>
      </c>
      <c r="I867" s="8" t="str">
        <f>+'[1]BASE RED COMERCIAL'!$C865</f>
        <v>COLON</v>
      </c>
      <c r="J867" s="10"/>
      <c r="K867" s="10"/>
    </row>
    <row r="868" spans="1:11" x14ac:dyDescent="0.25">
      <c r="A868" s="14" t="str">
        <f>+'[1]BASE RED COMERCIAL'!$A866</f>
        <v>E0112</v>
      </c>
      <c r="B868" s="8" t="str">
        <f>+'[1]BASE RED COMERCIAL'!$H866</f>
        <v>FEDERACION</v>
      </c>
      <c r="C868" s="7" t="s">
        <v>33</v>
      </c>
      <c r="D868" s="9" t="str">
        <f>+'[1]BASE RED COMERCIAL'!$E866</f>
        <v>LAS CAMELIAS</v>
      </c>
      <c r="E868" s="7">
        <f>+'[1]BASE RED COMERCIAL'!$F866</f>
        <v>1272</v>
      </c>
      <c r="F868" s="14" t="str">
        <f>+'[1]BASE RED COMERCIAL'!$I866</f>
        <v>E3206ZAA</v>
      </c>
      <c r="G868" s="7" t="str">
        <f>+'[1]BASE RED COMERCIAL'!$D866</f>
        <v>FEDERACION</v>
      </c>
      <c r="H868" s="7" t="str">
        <f>+'[1]BASE RED COMERCIAL'!$B866</f>
        <v>ENTRE RIOS</v>
      </c>
      <c r="I868" s="8" t="str">
        <f>+'[1]BASE RED COMERCIAL'!$C866</f>
        <v>FEDERACION</v>
      </c>
      <c r="J868" s="10"/>
      <c r="K868" s="10"/>
    </row>
    <row r="869" spans="1:11" x14ac:dyDescent="0.25">
      <c r="A869" s="14" t="str">
        <f>+'[1]BASE RED COMERCIAL'!$A867</f>
        <v>E0114</v>
      </c>
      <c r="B869" s="8" t="str">
        <f>+'[1]BASE RED COMERCIAL'!$H867</f>
        <v>FEDERAL</v>
      </c>
      <c r="C869" s="7" t="s">
        <v>33</v>
      </c>
      <c r="D869" s="9" t="str">
        <f>+'[1]BASE RED COMERCIAL'!$E867</f>
        <v>DONOVAN</v>
      </c>
      <c r="E869" s="7">
        <f>+'[1]BASE RED COMERCIAL'!$F867</f>
        <v>430</v>
      </c>
      <c r="F869" s="14" t="str">
        <f>+'[1]BASE RED COMERCIAL'!$I867</f>
        <v>E3180ZAA</v>
      </c>
      <c r="G869" s="7" t="str">
        <f>+'[1]BASE RED COMERCIAL'!$D867</f>
        <v>FEDERAL</v>
      </c>
      <c r="H869" s="7" t="str">
        <f>+'[1]BASE RED COMERCIAL'!$B867</f>
        <v>ENTRE RIOS</v>
      </c>
      <c r="I869" s="8" t="str">
        <f>+'[1]BASE RED COMERCIAL'!$C867</f>
        <v>FEDERAL</v>
      </c>
      <c r="J869" s="10"/>
      <c r="K869" s="10"/>
    </row>
    <row r="870" spans="1:11" x14ac:dyDescent="0.25">
      <c r="A870" s="14" t="str">
        <f>+'[1]BASE RED COMERCIAL'!$A868</f>
        <v>E0116</v>
      </c>
      <c r="B870" s="8" t="str">
        <f>+'[1]BASE RED COMERCIAL'!$H868</f>
        <v>GRAL. CAMPOS</v>
      </c>
      <c r="C870" s="7" t="s">
        <v>33</v>
      </c>
      <c r="D870" s="9" t="str">
        <f>+'[1]BASE RED COMERCIAL'!$E868</f>
        <v>GRAL J J DE URQUIZA</v>
      </c>
      <c r="E870" s="7">
        <f>+'[1]BASE RED COMERCIAL'!$F868</f>
        <v>502</v>
      </c>
      <c r="F870" s="14" t="str">
        <f>+'[1]BASE RED COMERCIAL'!$I868</f>
        <v>E3216ZAA</v>
      </c>
      <c r="G870" s="7" t="str">
        <f>+'[1]BASE RED COMERCIAL'!$D868</f>
        <v>GENERAL CAMPOS</v>
      </c>
      <c r="H870" s="7" t="str">
        <f>+'[1]BASE RED COMERCIAL'!$B868</f>
        <v>ENTRE RIOS</v>
      </c>
      <c r="I870" s="8" t="str">
        <f>+'[1]BASE RED COMERCIAL'!$C868</f>
        <v>SAN SALVADOR</v>
      </c>
      <c r="J870" s="10"/>
      <c r="K870" s="10"/>
    </row>
    <row r="871" spans="1:11" x14ac:dyDescent="0.25">
      <c r="A871" s="14" t="str">
        <f>+'[1]BASE RED COMERCIAL'!$A869</f>
        <v>E0118</v>
      </c>
      <c r="B871" s="8" t="str">
        <f>+'[1]BASE RED COMERCIAL'!$H869</f>
        <v>1Âº DE MAYO</v>
      </c>
      <c r="C871" s="7" t="s">
        <v>33</v>
      </c>
      <c r="D871" s="9" t="str">
        <f>+'[1]BASE RED COMERCIAL'!$E869</f>
        <v>PASCUAL VELZI 1940</v>
      </c>
      <c r="E871" s="7">
        <f>+'[1]BASE RED COMERCIAL'!$F869</f>
        <v>0</v>
      </c>
      <c r="F871" s="14" t="str">
        <f>+'[1]BASE RED COMERCIAL'!$I869</f>
        <v>E3263ZAA</v>
      </c>
      <c r="G871" s="7" t="str">
        <f>+'[1]BASE RED COMERCIAL'!$D869</f>
        <v>1 DE MAYO</v>
      </c>
      <c r="H871" s="7" t="str">
        <f>+'[1]BASE RED COMERCIAL'!$B869</f>
        <v>ENTRE RIOS</v>
      </c>
      <c r="I871" s="8" t="str">
        <f>+'[1]BASE RED COMERCIAL'!$C869</f>
        <v>URUGUAY</v>
      </c>
      <c r="J871" s="10"/>
      <c r="K871" s="10"/>
    </row>
    <row r="872" spans="1:11" x14ac:dyDescent="0.25">
      <c r="A872" s="14" t="str">
        <f>+'[1]BASE RED COMERCIAL'!$A870</f>
        <v>E0120</v>
      </c>
      <c r="B872" s="8" t="str">
        <f>+'[1]BASE RED COMERCIAL'!$H870</f>
        <v>PUEBLO DOMINGUEZ</v>
      </c>
      <c r="C872" s="7" t="s">
        <v>33</v>
      </c>
      <c r="D872" s="9" t="str">
        <f>+'[1]BASE RED COMERCIAL'!$E870</f>
        <v>CHACO Y BARON HIRCH</v>
      </c>
      <c r="E872" s="7">
        <f>+'[1]BASE RED COMERCIAL'!$F870</f>
        <v>0</v>
      </c>
      <c r="F872" s="14" t="str">
        <f>+'[1]BASE RED COMERCIAL'!$I870</f>
        <v>E3246ZAA</v>
      </c>
      <c r="G872" s="7" t="str">
        <f>+'[1]BASE RED COMERCIAL'!$D870</f>
        <v>PUEBLO DOMINGUEZ</v>
      </c>
      <c r="H872" s="7" t="str">
        <f>+'[1]BASE RED COMERCIAL'!$B870</f>
        <v>ENTRE RIOS</v>
      </c>
      <c r="I872" s="8" t="str">
        <f>+'[1]BASE RED COMERCIAL'!$C870</f>
        <v>VILLAGUAY</v>
      </c>
      <c r="J872" s="10"/>
      <c r="K872" s="10"/>
    </row>
    <row r="873" spans="1:11" x14ac:dyDescent="0.25">
      <c r="A873" s="14" t="str">
        <f>+'[1]BASE RED COMERCIAL'!$A871</f>
        <v>E0124</v>
      </c>
      <c r="B873" s="8" t="str">
        <f>+'[1]BASE RED COMERCIAL'!$H871</f>
        <v>SAN JAIME DE LA FRONTERA</v>
      </c>
      <c r="C873" s="7" t="s">
        <v>33</v>
      </c>
      <c r="D873" s="9" t="str">
        <f>+'[1]BASE RED COMERCIAL'!$E871</f>
        <v>AV CORRIENTES</v>
      </c>
      <c r="E873" s="7">
        <f>+'[1]BASE RED COMERCIAL'!$F871</f>
        <v>1140</v>
      </c>
      <c r="F873" s="14" t="str">
        <f>+'[1]BASE RED COMERCIAL'!$I871</f>
        <v>E3185ZAB</v>
      </c>
      <c r="G873" s="7" t="str">
        <f>+'[1]BASE RED COMERCIAL'!$D871</f>
        <v>SAN JAIME DE LA FRONTERA</v>
      </c>
      <c r="H873" s="7" t="str">
        <f>+'[1]BASE RED COMERCIAL'!$B871</f>
        <v>ENTRE RIOS</v>
      </c>
      <c r="I873" s="8" t="str">
        <f>+'[1]BASE RED COMERCIAL'!$C871</f>
        <v>FEDERACION</v>
      </c>
      <c r="J873" s="10"/>
      <c r="K873" s="10"/>
    </row>
    <row r="874" spans="1:11" x14ac:dyDescent="0.25">
      <c r="A874" s="14" t="str">
        <f>+'[1]BASE RED COMERCIAL'!$A872</f>
        <v>E0126</v>
      </c>
      <c r="B874" s="8" t="str">
        <f>+'[1]BASE RED COMERCIAL'!$H872</f>
        <v>SAN JOSE</v>
      </c>
      <c r="C874" s="7" t="s">
        <v>33</v>
      </c>
      <c r="D874" s="9" t="str">
        <f>+'[1]BASE RED COMERCIAL'!$E872</f>
        <v>GRAL JUAN LAVALLE</v>
      </c>
      <c r="E874" s="7">
        <f>+'[1]BASE RED COMERCIAL'!$F872</f>
        <v>1622</v>
      </c>
      <c r="F874" s="14" t="str">
        <f>+'[1]BASE RED COMERCIAL'!$I872</f>
        <v>E3283ZAA</v>
      </c>
      <c r="G874" s="7" t="str">
        <f>+'[1]BASE RED COMERCIAL'!$D872</f>
        <v>SAN JOSE</v>
      </c>
      <c r="H874" s="7" t="str">
        <f>+'[1]BASE RED COMERCIAL'!$B872</f>
        <v>ENTRE RIOS</v>
      </c>
      <c r="I874" s="8" t="str">
        <f>+'[1]BASE RED COMERCIAL'!$C872</f>
        <v>COLON</v>
      </c>
      <c r="J874" s="10"/>
      <c r="K874" s="10"/>
    </row>
    <row r="875" spans="1:11" x14ac:dyDescent="0.25">
      <c r="A875" s="14" t="str">
        <f>+'[1]BASE RED COMERCIAL'!$A873</f>
        <v>E0128</v>
      </c>
      <c r="B875" s="8" t="str">
        <f>+'[1]BASE RED COMERCIAL'!$H873</f>
        <v>SAN JOSE FELICIANO</v>
      </c>
      <c r="C875" s="7" t="s">
        <v>33</v>
      </c>
      <c r="D875" s="9" t="str">
        <f>+'[1]BASE RED COMERCIAL'!$E873</f>
        <v>MORENO</v>
      </c>
      <c r="E875" s="7">
        <f>+'[1]BASE RED COMERCIAL'!$F873</f>
        <v>173</v>
      </c>
      <c r="F875" s="14" t="str">
        <f>+'[1]BASE RED COMERCIAL'!$I873</f>
        <v>E3187ZAA</v>
      </c>
      <c r="G875" s="7" t="str">
        <f>+'[1]BASE RED COMERCIAL'!$D873</f>
        <v>SAN JOSE DE FELICIANO</v>
      </c>
      <c r="H875" s="7" t="str">
        <f>+'[1]BASE RED COMERCIAL'!$B873</f>
        <v>ENTRE RIOS</v>
      </c>
      <c r="I875" s="8" t="str">
        <f>+'[1]BASE RED COMERCIAL'!$C873</f>
        <v>FELICIANO</v>
      </c>
      <c r="J875" s="10"/>
      <c r="K875" s="10"/>
    </row>
    <row r="876" spans="1:11" x14ac:dyDescent="0.25">
      <c r="A876" s="14" t="str">
        <f>+'[1]BASE RED COMERCIAL'!$A874</f>
        <v>E0130</v>
      </c>
      <c r="B876" s="8" t="str">
        <f>+'[1]BASE RED COMERCIAL'!$H874</f>
        <v>SAN SALVADOR</v>
      </c>
      <c r="C876" s="7" t="s">
        <v>33</v>
      </c>
      <c r="D876" s="9" t="str">
        <f>+'[1]BASE RED COMERCIAL'!$E874</f>
        <v>GRAL FRANCISCO RAMIREZ</v>
      </c>
      <c r="E876" s="7">
        <f>+'[1]BASE RED COMERCIAL'!$F874</f>
        <v>165</v>
      </c>
      <c r="F876" s="14" t="str">
        <f>+'[1]BASE RED COMERCIAL'!$I874</f>
        <v>E3218ZAA</v>
      </c>
      <c r="G876" s="7" t="str">
        <f>+'[1]BASE RED COMERCIAL'!$D874</f>
        <v>SAN SALVADOR</v>
      </c>
      <c r="H876" s="7" t="str">
        <f>+'[1]BASE RED COMERCIAL'!$B874</f>
        <v>ENTRE RIOS</v>
      </c>
      <c r="I876" s="8" t="str">
        <f>+'[1]BASE RED COMERCIAL'!$C874</f>
        <v>SAN SALVADOR</v>
      </c>
      <c r="J876" s="10"/>
      <c r="K876" s="10"/>
    </row>
    <row r="877" spans="1:11" x14ac:dyDescent="0.25">
      <c r="A877" s="14" t="str">
        <f>+'[1]BASE RED COMERCIAL'!$A875</f>
        <v>E0132</v>
      </c>
      <c r="B877" s="8" t="str">
        <f>+'[1]BASE RED COMERCIAL'!$H875</f>
        <v>UBAJAY</v>
      </c>
      <c r="C877" s="7" t="s">
        <v>33</v>
      </c>
      <c r="D877" s="9" t="str">
        <f>+'[1]BASE RED COMERCIAL'!$E875</f>
        <v>LAS ACACIAS</v>
      </c>
      <c r="E877" s="7">
        <f>+'[1]BASE RED COMERCIAL'!$F875</f>
        <v>185</v>
      </c>
      <c r="F877" s="14" t="str">
        <f>+'[1]BASE RED COMERCIAL'!$I875</f>
        <v>E3287ZAA</v>
      </c>
      <c r="G877" s="7" t="str">
        <f>+'[1]BASE RED COMERCIAL'!$D875</f>
        <v>UBAJAY</v>
      </c>
      <c r="H877" s="7" t="str">
        <f>+'[1]BASE RED COMERCIAL'!$B875</f>
        <v>ENTRE RIOS</v>
      </c>
      <c r="I877" s="8" t="str">
        <f>+'[1]BASE RED COMERCIAL'!$C875</f>
        <v>COLON</v>
      </c>
      <c r="J877" s="10"/>
      <c r="K877" s="10"/>
    </row>
    <row r="878" spans="1:11" x14ac:dyDescent="0.25">
      <c r="A878" s="14" t="str">
        <f>+'[1]BASE RED COMERCIAL'!$A876</f>
        <v>E0134</v>
      </c>
      <c r="B878" s="8" t="str">
        <f>+'[1]BASE RED COMERCIAL'!$H876</f>
        <v>VILLA CLARA</v>
      </c>
      <c r="C878" s="7" t="s">
        <v>33</v>
      </c>
      <c r="D878" s="9" t="str">
        <f>+'[1]BASE RED COMERCIAL'!$E876</f>
        <v>20 DE JUNIO</v>
      </c>
      <c r="E878" s="7">
        <f>+'[1]BASE RED COMERCIAL'!$F876</f>
        <v>200</v>
      </c>
      <c r="F878" s="14" t="str">
        <f>+'[1]BASE RED COMERCIAL'!$I876</f>
        <v>E3252ZAA</v>
      </c>
      <c r="G878" s="7" t="str">
        <f>+'[1]BASE RED COMERCIAL'!$D876</f>
        <v>VILLA CLARA</v>
      </c>
      <c r="H878" s="7" t="str">
        <f>+'[1]BASE RED COMERCIAL'!$B876</f>
        <v>ENTRE RIOS</v>
      </c>
      <c r="I878" s="8" t="str">
        <f>+'[1]BASE RED COMERCIAL'!$C876</f>
        <v>VILLAGUAY</v>
      </c>
      <c r="J878" s="10"/>
      <c r="K878" s="10"/>
    </row>
    <row r="879" spans="1:11" x14ac:dyDescent="0.25">
      <c r="A879" s="14" t="str">
        <f>+'[1]BASE RED COMERCIAL'!$A877</f>
        <v>E0136</v>
      </c>
      <c r="B879" s="8" t="str">
        <f>+'[1]BASE RED COMERCIAL'!$H877</f>
        <v>VILLA ELISA</v>
      </c>
      <c r="C879" s="7" t="s">
        <v>33</v>
      </c>
      <c r="D879" s="9" t="str">
        <f>+'[1]BASE RED COMERCIAL'!$E877</f>
        <v>JOSE MANUEL ESTRADA</v>
      </c>
      <c r="E879" s="7">
        <f>+'[1]BASE RED COMERCIAL'!$F877</f>
        <v>1306</v>
      </c>
      <c r="F879" s="14" t="str">
        <f>+'[1]BASE RED COMERCIAL'!$I877</f>
        <v>E3265ZAA</v>
      </c>
      <c r="G879" s="7" t="str">
        <f>+'[1]BASE RED COMERCIAL'!$D877</f>
        <v>VILLA ELISA</v>
      </c>
      <c r="H879" s="7" t="str">
        <f>+'[1]BASE RED COMERCIAL'!$B877</f>
        <v>ENTRE RIOS</v>
      </c>
      <c r="I879" s="8" t="str">
        <f>+'[1]BASE RED COMERCIAL'!$C877</f>
        <v>COLON</v>
      </c>
      <c r="J879" s="10"/>
      <c r="K879" s="10"/>
    </row>
    <row r="880" spans="1:11" x14ac:dyDescent="0.25">
      <c r="A880" s="14" t="str">
        <f>+'[1]BASE RED COMERCIAL'!$A878</f>
        <v>E0138</v>
      </c>
      <c r="B880" s="8" t="str">
        <f>+'[1]BASE RED COMERCIAL'!$H878</f>
        <v>VILLA SAN MARCIAL</v>
      </c>
      <c r="C880" s="7" t="s">
        <v>33</v>
      </c>
      <c r="D880" s="9" t="str">
        <f>+'[1]BASE RED COMERCIAL'!$E878</f>
        <v>PLANTA URBANA</v>
      </c>
      <c r="E880" s="7">
        <f>+'[1]BASE RED COMERCIAL'!$F878</f>
        <v>0</v>
      </c>
      <c r="F880" s="14" t="str">
        <f>+'[1]BASE RED COMERCIAL'!$I878</f>
        <v>E3248ZAA</v>
      </c>
      <c r="G880" s="7" t="str">
        <f>+'[1]BASE RED COMERCIAL'!$D878</f>
        <v>VILLA SAN MARCIAL</v>
      </c>
      <c r="H880" s="7" t="str">
        <f>+'[1]BASE RED COMERCIAL'!$B878</f>
        <v>ENTRE RIOS</v>
      </c>
      <c r="I880" s="8" t="str">
        <f>+'[1]BASE RED COMERCIAL'!$C878</f>
        <v>URUGUAY</v>
      </c>
      <c r="J880" s="10"/>
      <c r="K880" s="10"/>
    </row>
    <row r="881" spans="1:11" x14ac:dyDescent="0.25">
      <c r="A881" s="14" t="str">
        <f>+'[1]BASE RED COMERCIAL'!$A879</f>
        <v>E0140</v>
      </c>
      <c r="B881" s="8" t="str">
        <f>+'[1]BASE RED COMERCIAL'!$H879</f>
        <v>VILLAGUAY</v>
      </c>
      <c r="C881" s="7" t="s">
        <v>33</v>
      </c>
      <c r="D881" s="9" t="str">
        <f>+'[1]BASE RED COMERCIAL'!$E879</f>
        <v>DR MARIANO MORENO</v>
      </c>
      <c r="E881" s="7">
        <f>+'[1]BASE RED COMERCIAL'!$F879</f>
        <v>921</v>
      </c>
      <c r="F881" s="14" t="str">
        <f>+'[1]BASE RED COMERCIAL'!$I879</f>
        <v>E3240ZAA</v>
      </c>
      <c r="G881" s="7" t="str">
        <f>+'[1]BASE RED COMERCIAL'!$D879</f>
        <v>VILLAGUAY</v>
      </c>
      <c r="H881" s="7" t="str">
        <f>+'[1]BASE RED COMERCIAL'!$B879</f>
        <v>ENTRE RIOS</v>
      </c>
      <c r="I881" s="8" t="str">
        <f>+'[1]BASE RED COMERCIAL'!$C879</f>
        <v>VILLAGUAY</v>
      </c>
      <c r="J881" s="10"/>
      <c r="K881" s="10"/>
    </row>
    <row r="882" spans="1:11" x14ac:dyDescent="0.25">
      <c r="A882" s="14" t="str">
        <f>+'[1]BASE RED COMERCIAL'!$A880</f>
        <v>E1130</v>
      </c>
      <c r="B882" s="8" t="str">
        <f>+'[1]BASE RED COMERCIAL'!$H880</f>
        <v>STROBEL</v>
      </c>
      <c r="C882" s="7" t="s">
        <v>33</v>
      </c>
      <c r="D882" s="9" t="str">
        <f>+'[1]BASE RED COMERCIAL'!$E880</f>
        <v>PARANA</v>
      </c>
      <c r="E882" s="7">
        <f>+'[1]BASE RED COMERCIAL'!$F880</f>
        <v>0</v>
      </c>
      <c r="F882" s="14" t="str">
        <f>+'[1]BASE RED COMERCIAL'!$I880</f>
        <v>E3105ZAC</v>
      </c>
      <c r="G882" s="7" t="str">
        <f>+'[1]BASE RED COMERCIAL'!$D880</f>
        <v>STROBEL</v>
      </c>
      <c r="H882" s="7" t="str">
        <f>+'[1]BASE RED COMERCIAL'!$B880</f>
        <v>ENTRE RIOS</v>
      </c>
      <c r="I882" s="8" t="str">
        <f>+'[1]BASE RED COMERCIAL'!$C880</f>
        <v>DIAMANTE</v>
      </c>
      <c r="J882" s="10"/>
      <c r="K882" s="10"/>
    </row>
    <row r="883" spans="1:11" x14ac:dyDescent="0.25">
      <c r="A883" s="14" t="str">
        <f>+'[1]BASE RED COMERCIAL'!$A881</f>
        <v>E1311</v>
      </c>
      <c r="B883" s="8" t="str">
        <f>+'[1]BASE RED COMERCIAL'!$H881</f>
        <v>GOBERNADOR ECHAGUE</v>
      </c>
      <c r="C883" s="7" t="s">
        <v>33</v>
      </c>
      <c r="D883" s="9" t="str">
        <f>+'[1]BASE RED COMERCIAL'!$E881</f>
        <v>AV 1</v>
      </c>
      <c r="E883" s="7">
        <f>+'[1]BASE RED COMERCIAL'!$F881</f>
        <v>0</v>
      </c>
      <c r="F883" s="14" t="str">
        <f>+'[1]BASE RED COMERCIAL'!$I881</f>
        <v>E2847ZAA</v>
      </c>
      <c r="G883" s="7" t="str">
        <f>+'[1]BASE RED COMERCIAL'!$D881</f>
        <v>GOBERNADOR ECHAGUE</v>
      </c>
      <c r="H883" s="7" t="str">
        <f>+'[1]BASE RED COMERCIAL'!$B881</f>
        <v>ENTRE RIOS</v>
      </c>
      <c r="I883" s="8" t="str">
        <f>+'[1]BASE RED COMERCIAL'!$C881</f>
        <v>TALA</v>
      </c>
      <c r="J883" s="10"/>
      <c r="K883" s="10"/>
    </row>
    <row r="884" spans="1:11" x14ac:dyDescent="0.25">
      <c r="A884" s="14" t="str">
        <f>+'[1]BASE RED COMERCIAL'!$A882</f>
        <v>E3265</v>
      </c>
      <c r="B884" s="8" t="str">
        <f>+'[1]BASE RED COMERCIAL'!$H882</f>
        <v>PUERTO LAS CUEVAS</v>
      </c>
      <c r="C884" s="7" t="s">
        <v>33</v>
      </c>
      <c r="D884" s="9" t="str">
        <f>+'[1]BASE RED COMERCIAL'!$E882</f>
        <v>CALLE PUBLICA</v>
      </c>
      <c r="E884" s="7">
        <f>+'[1]BASE RED COMERCIAL'!$F882</f>
        <v>0</v>
      </c>
      <c r="F884" s="14" t="str">
        <f>+'[1]BASE RED COMERCIAL'!$I882</f>
        <v>E3105ZAB</v>
      </c>
      <c r="G884" s="7" t="str">
        <f>+'[1]BASE RED COMERCIAL'!$D882</f>
        <v>PUERTO LAS CUEVAS</v>
      </c>
      <c r="H884" s="7" t="str">
        <f>+'[1]BASE RED COMERCIAL'!$B882</f>
        <v>ENTRE RIOS</v>
      </c>
      <c r="I884" s="8" t="str">
        <f>+'[1]BASE RED COMERCIAL'!$C882</f>
        <v>DIAMANTE</v>
      </c>
      <c r="J884" s="10"/>
      <c r="K884" s="10"/>
    </row>
    <row r="885" spans="1:11" x14ac:dyDescent="0.25">
      <c r="A885" s="14" t="str">
        <f>+'[1]BASE RED COMERCIAL'!$A883</f>
        <v>E3361</v>
      </c>
      <c r="B885" s="8" t="str">
        <f>+'[1]BASE RED COMERCIAL'!$H883</f>
        <v>MINIPOST TRIBUNALES</v>
      </c>
      <c r="C885" s="7" t="s">
        <v>33</v>
      </c>
      <c r="D885" s="9" t="str">
        <f>+'[1]BASE RED COMERCIAL'!$E883</f>
        <v>LAPRIDA</v>
      </c>
      <c r="E885" s="7">
        <f>+'[1]BASE RED COMERCIAL'!$F883</f>
        <v>255</v>
      </c>
      <c r="F885" s="14" t="str">
        <f>+'[1]BASE RED COMERCIAL'!$I883</f>
        <v>E3100ZBV</v>
      </c>
      <c r="G885" s="7" t="str">
        <f>+'[1]BASE RED COMERCIAL'!$D883</f>
        <v>PARANA</v>
      </c>
      <c r="H885" s="7" t="str">
        <f>+'[1]BASE RED COMERCIAL'!$B883</f>
        <v>ENTRE RIOS</v>
      </c>
      <c r="I885" s="8" t="str">
        <f>+'[1]BASE RED COMERCIAL'!$C883</f>
        <v>PARANA</v>
      </c>
      <c r="J885" s="10"/>
      <c r="K885" s="10"/>
    </row>
    <row r="886" spans="1:11" x14ac:dyDescent="0.25">
      <c r="A886" s="14" t="str">
        <f>+'[1]BASE RED COMERCIAL'!$A884</f>
        <v>E3362</v>
      </c>
      <c r="B886" s="8" t="str">
        <f>+'[1]BASE RED COMERCIAL'!$H884</f>
        <v>AGENCIA ADUANA</v>
      </c>
      <c r="C886" s="7" t="s">
        <v>33</v>
      </c>
      <c r="D886" s="9" t="str">
        <f>+'[1]BASE RED COMERCIAL'!$E884</f>
        <v>SANTIAGO DE LINIERS</v>
      </c>
      <c r="E886" s="7">
        <f>+'[1]BASE RED COMERCIAL'!$F884</f>
        <v>1</v>
      </c>
      <c r="F886" s="14" t="str">
        <f>+'[1]BASE RED COMERCIAL'!$I884</f>
        <v>E3100ZBW</v>
      </c>
      <c r="G886" s="7" t="str">
        <f>+'[1]BASE RED COMERCIAL'!$D884</f>
        <v>PARANA</v>
      </c>
      <c r="H886" s="7" t="str">
        <f>+'[1]BASE RED COMERCIAL'!$B884</f>
        <v>ENTRE RIOS</v>
      </c>
      <c r="I886" s="8" t="str">
        <f>+'[1]BASE RED COMERCIAL'!$C884</f>
        <v>PARANA</v>
      </c>
      <c r="J886" s="10"/>
      <c r="K886" s="10"/>
    </row>
    <row r="887" spans="1:11" x14ac:dyDescent="0.25">
      <c r="A887" s="14" t="str">
        <f>+'[1]BASE RED COMERCIAL'!$A885</f>
        <v>P0003</v>
      </c>
      <c r="B887" s="8" t="str">
        <f>+'[1]BASE RED COMERCIAL'!$H885</f>
        <v>CLORINDA</v>
      </c>
      <c r="C887" s="7" t="s">
        <v>33</v>
      </c>
      <c r="D887" s="9" t="str">
        <f>+'[1]BASE RED COMERCIAL'!$E885</f>
        <v>JOSE FERNANDEZ CANCIO</v>
      </c>
      <c r="E887" s="7">
        <f>+'[1]BASE RED COMERCIAL'!$F885</f>
        <v>1401</v>
      </c>
      <c r="F887" s="14" t="str">
        <f>+'[1]BASE RED COMERCIAL'!$I885</f>
        <v>P3610ZAB</v>
      </c>
      <c r="G887" s="7" t="str">
        <f>+'[1]BASE RED COMERCIAL'!$D885</f>
        <v>CLORINDA</v>
      </c>
      <c r="H887" s="7" t="str">
        <f>+'[1]BASE RED COMERCIAL'!$B885</f>
        <v>FORMOSA</v>
      </c>
      <c r="I887" s="8" t="str">
        <f>+'[1]BASE RED COMERCIAL'!$C885</f>
        <v>PILCOMAYO</v>
      </c>
      <c r="J887" s="10"/>
      <c r="K887" s="10"/>
    </row>
    <row r="888" spans="1:11" x14ac:dyDescent="0.25">
      <c r="A888" s="14" t="str">
        <f>+'[1]BASE RED COMERCIAL'!$A886</f>
        <v>P0006</v>
      </c>
      <c r="B888" s="8" t="str">
        <f>+'[1]BASE RED COMERCIAL'!$H886</f>
        <v>EL COLORADO</v>
      </c>
      <c r="C888" s="7" t="s">
        <v>33</v>
      </c>
      <c r="D888" s="9" t="str">
        <f>+'[1]BASE RED COMERCIAL'!$E886</f>
        <v>CORRIENTES</v>
      </c>
      <c r="E888" s="7">
        <f>+'[1]BASE RED COMERCIAL'!$F886</f>
        <v>100</v>
      </c>
      <c r="F888" s="14" t="str">
        <f>+'[1]BASE RED COMERCIAL'!$I886</f>
        <v>P3603ZAA</v>
      </c>
      <c r="G888" s="7" t="str">
        <f>+'[1]BASE RED COMERCIAL'!$D886</f>
        <v>EL COLORADO</v>
      </c>
      <c r="H888" s="7" t="str">
        <f>+'[1]BASE RED COMERCIAL'!$B886</f>
        <v>FORMOSA</v>
      </c>
      <c r="I888" s="8" t="str">
        <f>+'[1]BASE RED COMERCIAL'!$C886</f>
        <v>PIRANE</v>
      </c>
      <c r="J888" s="10"/>
      <c r="K888" s="10"/>
    </row>
    <row r="889" spans="1:11" x14ac:dyDescent="0.25">
      <c r="A889" s="14" t="str">
        <f>+'[1]BASE RED COMERCIAL'!$A887</f>
        <v>P0008</v>
      </c>
      <c r="B889" s="8" t="str">
        <f>+'[1]BASE RED COMERCIAL'!$H887</f>
        <v>EL ESPINILLO</v>
      </c>
      <c r="C889" s="7" t="s">
        <v>33</v>
      </c>
      <c r="D889" s="9" t="str">
        <f>+'[1]BASE RED COMERCIAL'!$E887</f>
        <v>25 DE MAYO</v>
      </c>
      <c r="E889" s="7">
        <f>+'[1]BASE RED COMERCIAL'!$F887</f>
        <v>0</v>
      </c>
      <c r="F889" s="14" t="str">
        <f>+'[1]BASE RED COMERCIAL'!$I887</f>
        <v>P3615ZAA</v>
      </c>
      <c r="G889" s="7" t="str">
        <f>+'[1]BASE RED COMERCIAL'!$D887</f>
        <v>EL ESPINILLO</v>
      </c>
      <c r="H889" s="7" t="str">
        <f>+'[1]BASE RED COMERCIAL'!$B887</f>
        <v>FORMOSA</v>
      </c>
      <c r="I889" s="8" t="str">
        <f>+'[1]BASE RED COMERCIAL'!$C887</f>
        <v>PILAGAS</v>
      </c>
      <c r="J889" s="10"/>
      <c r="K889" s="10"/>
    </row>
    <row r="890" spans="1:11" x14ac:dyDescent="0.25">
      <c r="A890" s="14" t="str">
        <f>+'[1]BASE RED COMERCIAL'!$A888</f>
        <v>P0010</v>
      </c>
      <c r="B890" s="8" t="str">
        <f>+'[1]BASE RED COMERCIAL'!$H888</f>
        <v>ESTANISLAO DEL CAMPO</v>
      </c>
      <c r="C890" s="7" t="s">
        <v>33</v>
      </c>
      <c r="D890" s="9" t="str">
        <f>+'[1]BASE RED COMERCIAL'!$E888</f>
        <v>AV 2 DE ABRIL</v>
      </c>
      <c r="E890" s="7">
        <f>+'[1]BASE RED COMERCIAL'!$F888</f>
        <v>0</v>
      </c>
      <c r="F890" s="14" t="str">
        <f>+'[1]BASE RED COMERCIAL'!$I888</f>
        <v>P3626ZAA</v>
      </c>
      <c r="G890" s="7" t="str">
        <f>+'[1]BASE RED COMERCIAL'!$D888</f>
        <v>ESTANISLAO DEL CAMPO</v>
      </c>
      <c r="H890" s="7" t="str">
        <f>+'[1]BASE RED COMERCIAL'!$B888</f>
        <v>FORMOSA</v>
      </c>
      <c r="I890" s="8" t="str">
        <f>+'[1]BASE RED COMERCIAL'!$C888</f>
        <v>PATIÃ‘O</v>
      </c>
      <c r="J890" s="10"/>
      <c r="K890" s="10"/>
    </row>
    <row r="891" spans="1:11" x14ac:dyDescent="0.25">
      <c r="A891" s="14" t="str">
        <f>+'[1]BASE RED COMERCIAL'!$A889</f>
        <v>P0012</v>
      </c>
      <c r="B891" s="8" t="str">
        <f>+'[1]BASE RED COMERCIAL'!$H889</f>
        <v>FORMOSA</v>
      </c>
      <c r="C891" s="7" t="s">
        <v>33</v>
      </c>
      <c r="D891" s="9" t="str">
        <f>+'[1]BASE RED COMERCIAL'!$E889</f>
        <v>AV 9 DE JULIO</v>
      </c>
      <c r="E891" s="7">
        <f>+'[1]BASE RED COMERCIAL'!$F889</f>
        <v>920</v>
      </c>
      <c r="F891" s="14" t="str">
        <f>+'[1]BASE RED COMERCIAL'!$I889</f>
        <v>P3600ZAA</v>
      </c>
      <c r="G891" s="7" t="str">
        <f>+'[1]BASE RED COMERCIAL'!$D889</f>
        <v>FORMOSA</v>
      </c>
      <c r="H891" s="7" t="str">
        <f>+'[1]BASE RED COMERCIAL'!$B889</f>
        <v>FORMOSA</v>
      </c>
      <c r="I891" s="8" t="str">
        <f>+'[1]BASE RED COMERCIAL'!$C889</f>
        <v>FORMOSA</v>
      </c>
      <c r="J891" s="10"/>
      <c r="K891" s="10"/>
    </row>
    <row r="892" spans="1:11" x14ac:dyDescent="0.25">
      <c r="A892" s="14" t="str">
        <f>+'[1]BASE RED COMERCIAL'!$A890</f>
        <v>P0014</v>
      </c>
      <c r="B892" s="8" t="str">
        <f>+'[1]BASE RED COMERCIAL'!$H890</f>
        <v>GRAL. M. BELGRANO</v>
      </c>
      <c r="C892" s="7" t="s">
        <v>33</v>
      </c>
      <c r="D892" s="9" t="str">
        <f>+'[1]BASE RED COMERCIAL'!$E890</f>
        <v>AV PERU</v>
      </c>
      <c r="E892" s="7">
        <f>+'[1]BASE RED COMERCIAL'!$F890</f>
        <v>0</v>
      </c>
      <c r="F892" s="14" t="str">
        <f>+'[1]BASE RED COMERCIAL'!$I890</f>
        <v>P3615ZAB</v>
      </c>
      <c r="G892" s="7" t="str">
        <f>+'[1]BASE RED COMERCIAL'!$D890</f>
        <v>VILLA GRAL MANUEL BELGRANO</v>
      </c>
      <c r="H892" s="7" t="str">
        <f>+'[1]BASE RED COMERCIAL'!$B890</f>
        <v>FORMOSA</v>
      </c>
      <c r="I892" s="8" t="str">
        <f>+'[1]BASE RED COMERCIAL'!$C890</f>
        <v>PATIÃ‘O</v>
      </c>
      <c r="J892" s="10"/>
      <c r="K892" s="10"/>
    </row>
    <row r="893" spans="1:11" x14ac:dyDescent="0.25">
      <c r="A893" s="14" t="str">
        <f>+'[1]BASE RED COMERCIAL'!$A891</f>
        <v>P0016</v>
      </c>
      <c r="B893" s="8" t="str">
        <f>+'[1]BASE RED COMERCIAL'!$H891</f>
        <v>HERRADURA</v>
      </c>
      <c r="C893" s="7" t="s">
        <v>33</v>
      </c>
      <c r="D893" s="9" t="str">
        <f>+'[1]BASE RED COMERCIAL'!$E891</f>
        <v>AV LIBERTADOR GRAL SAN MARTIN</v>
      </c>
      <c r="E893" s="7">
        <f>+'[1]BASE RED COMERCIAL'!$F891</f>
        <v>0</v>
      </c>
      <c r="F893" s="14" t="str">
        <f>+'[1]BASE RED COMERCIAL'!$I891</f>
        <v>P3601ZAA</v>
      </c>
      <c r="G893" s="7" t="str">
        <f>+'[1]BASE RED COMERCIAL'!$D891</f>
        <v>HERRADURA</v>
      </c>
      <c r="H893" s="7" t="str">
        <f>+'[1]BASE RED COMERCIAL'!$B891</f>
        <v>FORMOSA</v>
      </c>
      <c r="I893" s="8" t="str">
        <f>+'[1]BASE RED COMERCIAL'!$C891</f>
        <v>LAISHI</v>
      </c>
      <c r="J893" s="10"/>
      <c r="K893" s="10"/>
    </row>
    <row r="894" spans="1:11" x14ac:dyDescent="0.25">
      <c r="A894" s="14" t="str">
        <f>+'[1]BASE RED COMERCIAL'!$A892</f>
        <v>P0018</v>
      </c>
      <c r="B894" s="8" t="str">
        <f>+'[1]BASE RED COMERCIAL'!$H892</f>
        <v>IBARRETA</v>
      </c>
      <c r="C894" s="7" t="s">
        <v>33</v>
      </c>
      <c r="D894" s="9" t="str">
        <f>+'[1]BASE RED COMERCIAL'!$E892</f>
        <v>GRAL SAN MARTIN</v>
      </c>
      <c r="E894" s="7">
        <f>+'[1]BASE RED COMERCIAL'!$F892</f>
        <v>795</v>
      </c>
      <c r="F894" s="14" t="str">
        <f>+'[1]BASE RED COMERCIAL'!$I892</f>
        <v>P3624ZAA</v>
      </c>
      <c r="G894" s="7" t="str">
        <f>+'[1]BASE RED COMERCIAL'!$D892</f>
        <v>IBARRETA</v>
      </c>
      <c r="H894" s="7" t="str">
        <f>+'[1]BASE RED COMERCIAL'!$B892</f>
        <v>FORMOSA</v>
      </c>
      <c r="I894" s="8" t="str">
        <f>+'[1]BASE RED COMERCIAL'!$C892</f>
        <v>PATIÃ‘O</v>
      </c>
      <c r="J894" s="10"/>
      <c r="K894" s="10"/>
    </row>
    <row r="895" spans="1:11" x14ac:dyDescent="0.25">
      <c r="A895" s="14" t="str">
        <f>+'[1]BASE RED COMERCIAL'!$A893</f>
        <v>P0020</v>
      </c>
      <c r="B895" s="8" t="str">
        <f>+'[1]BASE RED COMERCIAL'!$H893</f>
        <v>ING.JUAREZ</v>
      </c>
      <c r="C895" s="7" t="s">
        <v>33</v>
      </c>
      <c r="D895" s="9" t="str">
        <f>+'[1]BASE RED COMERCIAL'!$E893</f>
        <v>SAN MARTIN</v>
      </c>
      <c r="E895" s="7">
        <f>+'[1]BASE RED COMERCIAL'!$F893</f>
        <v>0</v>
      </c>
      <c r="F895" s="14" t="str">
        <f>+'[1]BASE RED COMERCIAL'!$I893</f>
        <v>P3636ZAA</v>
      </c>
      <c r="G895" s="7" t="str">
        <f>+'[1]BASE RED COMERCIAL'!$D893</f>
        <v>ING GUILLERMO N JUAREZ</v>
      </c>
      <c r="H895" s="7" t="str">
        <f>+'[1]BASE RED COMERCIAL'!$B893</f>
        <v>FORMOSA</v>
      </c>
      <c r="I895" s="8" t="str">
        <f>+'[1]BASE RED COMERCIAL'!$C893</f>
        <v>MATACOS</v>
      </c>
      <c r="J895" s="10"/>
      <c r="K895" s="10"/>
    </row>
    <row r="896" spans="1:11" x14ac:dyDescent="0.25">
      <c r="A896" s="14" t="str">
        <f>+'[1]BASE RED COMERCIAL'!$A894</f>
        <v>P0022</v>
      </c>
      <c r="B896" s="8" t="str">
        <f>+'[1]BASE RED COMERCIAL'!$H894</f>
        <v>LAGUNA BLANCA</v>
      </c>
      <c r="C896" s="7" t="s">
        <v>33</v>
      </c>
      <c r="D896" s="9" t="str">
        <f>+'[1]BASE RED COMERCIAL'!$E894</f>
        <v>B RIVADAVIA</v>
      </c>
      <c r="E896" s="7">
        <f>+'[1]BASE RED COMERCIAL'!$F894</f>
        <v>0</v>
      </c>
      <c r="F896" s="14" t="str">
        <f>+'[1]BASE RED COMERCIAL'!$I894</f>
        <v>P3613ZAA</v>
      </c>
      <c r="G896" s="7" t="str">
        <f>+'[1]BASE RED COMERCIAL'!$D894</f>
        <v>LAGUNA BLANCA</v>
      </c>
      <c r="H896" s="7" t="str">
        <f>+'[1]BASE RED COMERCIAL'!$B894</f>
        <v>FORMOSA</v>
      </c>
      <c r="I896" s="8" t="str">
        <f>+'[1]BASE RED COMERCIAL'!$C894</f>
        <v>PILCOMAYO</v>
      </c>
      <c r="J896" s="10"/>
      <c r="K896" s="10"/>
    </row>
    <row r="897" spans="1:11" x14ac:dyDescent="0.25">
      <c r="A897" s="14" t="str">
        <f>+'[1]BASE RED COMERCIAL'!$A895</f>
        <v>P0024</v>
      </c>
      <c r="B897" s="8" t="str">
        <f>+'[1]BASE RED COMERCIAL'!$H895</f>
        <v>LAS LOMITAS</v>
      </c>
      <c r="C897" s="7" t="s">
        <v>33</v>
      </c>
      <c r="D897" s="9" t="str">
        <f>+'[1]BASE RED COMERCIAL'!$E895</f>
        <v>AV SAN MARTIN</v>
      </c>
      <c r="E897" s="7">
        <f>+'[1]BASE RED COMERCIAL'!$F895</f>
        <v>118</v>
      </c>
      <c r="F897" s="14" t="str">
        <f>+'[1]BASE RED COMERCIAL'!$I895</f>
        <v>P3630ZAA</v>
      </c>
      <c r="G897" s="7" t="str">
        <f>+'[1]BASE RED COMERCIAL'!$D895</f>
        <v>LAS LOMITAS</v>
      </c>
      <c r="H897" s="7" t="str">
        <f>+'[1]BASE RED COMERCIAL'!$B895</f>
        <v>FORMOSA</v>
      </c>
      <c r="I897" s="8" t="str">
        <f>+'[1]BASE RED COMERCIAL'!$C895</f>
        <v>PATIÃ‘O</v>
      </c>
      <c r="J897" s="10"/>
      <c r="K897" s="10"/>
    </row>
    <row r="898" spans="1:11" x14ac:dyDescent="0.25">
      <c r="A898" s="14" t="str">
        <f>+'[1]BASE RED COMERCIAL'!$A896</f>
        <v>P0026</v>
      </c>
      <c r="B898" s="8" t="str">
        <f>+'[1]BASE RED COMERCIAL'!$H896</f>
        <v>M. E. VILLAFAÃ‘E</v>
      </c>
      <c r="C898" s="7" t="s">
        <v>33</v>
      </c>
      <c r="D898" s="9" t="str">
        <f>+'[1]BASE RED COMERCIAL'!$E896</f>
        <v>L.N. ALEM Y SAN MARTIN</v>
      </c>
      <c r="E898" s="7">
        <f>+'[1]BASE RED COMERCIAL'!$F896</f>
        <v>0</v>
      </c>
      <c r="F898" s="14" t="str">
        <f>+'[1]BASE RED COMERCIAL'!$I896</f>
        <v>P3601ZAB</v>
      </c>
      <c r="G898" s="7" t="str">
        <f>+'[1]BASE RED COMERCIAL'!$D896</f>
        <v>COLONIA CAMPO VILLAFAÃ‘E</v>
      </c>
      <c r="H898" s="7" t="str">
        <f>+'[1]BASE RED COMERCIAL'!$B896</f>
        <v>FORMOSA</v>
      </c>
      <c r="I898" s="8" t="str">
        <f>+'[1]BASE RED COMERCIAL'!$C896</f>
        <v>PIRANE</v>
      </c>
      <c r="J898" s="10"/>
      <c r="K898" s="10"/>
    </row>
    <row r="899" spans="1:11" x14ac:dyDescent="0.25">
      <c r="A899" s="14" t="str">
        <f>+'[1]BASE RED COMERCIAL'!$A897</f>
        <v>P0028</v>
      </c>
      <c r="B899" s="8" t="str">
        <f>+'[1]BASE RED COMERCIAL'!$H897</f>
        <v>SAN FRANCISCO DE LAISHI</v>
      </c>
      <c r="C899" s="7" t="s">
        <v>33</v>
      </c>
      <c r="D899" s="9" t="str">
        <f>+'[1]BASE RED COMERCIAL'!$E897</f>
        <v>AV GRAL SAN MARTIN</v>
      </c>
      <c r="E899" s="7">
        <f>+'[1]BASE RED COMERCIAL'!$F897</f>
        <v>100</v>
      </c>
      <c r="F899" s="14" t="str">
        <f>+'[1]BASE RED COMERCIAL'!$I897</f>
        <v>P3605ZAA</v>
      </c>
      <c r="G899" s="7" t="str">
        <f>+'[1]BASE RED COMERCIAL'!$D897</f>
        <v>SAN FRANCISCO DE LAISHI</v>
      </c>
      <c r="H899" s="7" t="str">
        <f>+'[1]BASE RED COMERCIAL'!$B897</f>
        <v>FORMOSA</v>
      </c>
      <c r="I899" s="8" t="str">
        <f>+'[1]BASE RED COMERCIAL'!$C897</f>
        <v>LAISHI</v>
      </c>
      <c r="J899" s="10"/>
      <c r="K899" s="10"/>
    </row>
    <row r="900" spans="1:11" x14ac:dyDescent="0.25">
      <c r="A900" s="14" t="str">
        <f>+'[1]BASE RED COMERCIAL'!$A898</f>
        <v>P0030</v>
      </c>
      <c r="B900" s="8" t="str">
        <f>+'[1]BASE RED COMERCIAL'!$H898</f>
        <v>PALO SANTO</v>
      </c>
      <c r="C900" s="7" t="s">
        <v>33</v>
      </c>
      <c r="D900" s="9" t="str">
        <f>+'[1]BASE RED COMERCIAL'!$E898</f>
        <v>AV 2 DE ABRIL</v>
      </c>
      <c r="E900" s="7">
        <f>+'[1]BASE RED COMERCIAL'!$F898</f>
        <v>0</v>
      </c>
      <c r="F900" s="14" t="str">
        <f>+'[1]BASE RED COMERCIAL'!$I898</f>
        <v>P3608ZAA</v>
      </c>
      <c r="G900" s="7" t="str">
        <f>+'[1]BASE RED COMERCIAL'!$D898</f>
        <v>PALO SANTO</v>
      </c>
      <c r="H900" s="7" t="str">
        <f>+'[1]BASE RED COMERCIAL'!$B898</f>
        <v>FORMOSA</v>
      </c>
      <c r="I900" s="8" t="str">
        <f>+'[1]BASE RED COMERCIAL'!$C898</f>
        <v>PIRANE</v>
      </c>
      <c r="J900" s="10"/>
      <c r="K900" s="10"/>
    </row>
    <row r="901" spans="1:11" x14ac:dyDescent="0.25">
      <c r="A901" s="14" t="str">
        <f>+'[1]BASE RED COMERCIAL'!$A899</f>
        <v>P0032</v>
      </c>
      <c r="B901" s="8" t="str">
        <f>+'[1]BASE RED COMERCIAL'!$H899</f>
        <v>PIRANE</v>
      </c>
      <c r="C901" s="7" t="s">
        <v>33</v>
      </c>
      <c r="D901" s="9" t="str">
        <f>+'[1]BASE RED COMERCIAL'!$E899</f>
        <v>AV 9 DE JULIO</v>
      </c>
      <c r="E901" s="7">
        <f>+'[1]BASE RED COMERCIAL'!$F899</f>
        <v>245</v>
      </c>
      <c r="F901" s="14" t="str">
        <f>+'[1]BASE RED COMERCIAL'!$I899</f>
        <v>P3606ZAA</v>
      </c>
      <c r="G901" s="7" t="str">
        <f>+'[1]BASE RED COMERCIAL'!$D899</f>
        <v>PIRANE</v>
      </c>
      <c r="H901" s="7" t="str">
        <f>+'[1]BASE RED COMERCIAL'!$B899</f>
        <v>FORMOSA</v>
      </c>
      <c r="I901" s="8" t="str">
        <f>+'[1]BASE RED COMERCIAL'!$C899</f>
        <v>PIRANE</v>
      </c>
      <c r="J901" s="10"/>
      <c r="K901" s="10"/>
    </row>
    <row r="902" spans="1:11" x14ac:dyDescent="0.25">
      <c r="A902" s="14" t="str">
        <f>+'[1]BASE RED COMERCIAL'!$A900</f>
        <v>P0034</v>
      </c>
      <c r="B902" s="8" t="str">
        <f>+'[1]BASE RED COMERCIAL'!$H900</f>
        <v>POZO DEL TIGRE</v>
      </c>
      <c r="C902" s="7" t="s">
        <v>33</v>
      </c>
      <c r="D902" s="9" t="str">
        <f>+'[1]BASE RED COMERCIAL'!$E900</f>
        <v>DR MARIANO MORENO</v>
      </c>
      <c r="E902" s="7">
        <f>+'[1]BASE RED COMERCIAL'!$F900</f>
        <v>143</v>
      </c>
      <c r="F902" s="14" t="str">
        <f>+'[1]BASE RED COMERCIAL'!$I900</f>
        <v>P3628ZAA</v>
      </c>
      <c r="G902" s="7" t="str">
        <f>+'[1]BASE RED COMERCIAL'!$D900</f>
        <v>POZO DEL TIGRE</v>
      </c>
      <c r="H902" s="7" t="str">
        <f>+'[1]BASE RED COMERCIAL'!$B900</f>
        <v>FORMOSA</v>
      </c>
      <c r="I902" s="8" t="str">
        <f>+'[1]BASE RED COMERCIAL'!$C900</f>
        <v>PATIÃ‘O</v>
      </c>
      <c r="J902" s="10"/>
      <c r="K902" s="10"/>
    </row>
    <row r="903" spans="1:11" x14ac:dyDescent="0.25">
      <c r="A903" s="14" t="str">
        <f>+'[1]BASE RED COMERCIAL'!$A901</f>
        <v>P0036</v>
      </c>
      <c r="B903" s="8" t="str">
        <f>+'[1]BASE RED COMERCIAL'!$H901</f>
        <v>RIACHO HE-HE</v>
      </c>
      <c r="C903" s="7" t="s">
        <v>33</v>
      </c>
      <c r="D903" s="9" t="str">
        <f>+'[1]BASE RED COMERCIAL'!$E901</f>
        <v>ADRIAN GOMEZ</v>
      </c>
      <c r="E903" s="7">
        <f>+'[1]BASE RED COMERCIAL'!$F901</f>
        <v>0</v>
      </c>
      <c r="F903" s="14" t="str">
        <f>+'[1]BASE RED COMERCIAL'!$I901</f>
        <v>P3611ZAA</v>
      </c>
      <c r="G903" s="7" t="str">
        <f>+'[1]BASE RED COMERCIAL'!$D901</f>
        <v>RIACHO HE HE</v>
      </c>
      <c r="H903" s="7" t="str">
        <f>+'[1]BASE RED COMERCIAL'!$B901</f>
        <v>FORMOSA</v>
      </c>
      <c r="I903" s="8" t="str">
        <f>+'[1]BASE RED COMERCIAL'!$C901</f>
        <v>PILCOMAYO</v>
      </c>
      <c r="J903" s="10"/>
      <c r="K903" s="10"/>
    </row>
    <row r="904" spans="1:11" x14ac:dyDescent="0.25">
      <c r="A904" s="14" t="str">
        <f>+'[1]BASE RED COMERCIAL'!$A902</f>
        <v>P0038</v>
      </c>
      <c r="B904" s="8" t="str">
        <f>+'[1]BASE RED COMERCIAL'!$H902</f>
        <v>GRAL.LUCIO V.MANSILLA</v>
      </c>
      <c r="C904" s="7" t="s">
        <v>33</v>
      </c>
      <c r="D904" s="9" t="str">
        <f>+'[1]BASE RED COMERCIAL'!$E902</f>
        <v>GRAL SAN MARTIN</v>
      </c>
      <c r="E904" s="7">
        <f>+'[1]BASE RED COMERCIAL'!$F902</f>
        <v>195</v>
      </c>
      <c r="F904" s="14" t="str">
        <f>+'[1]BASE RED COMERCIAL'!$I902</f>
        <v>P3526ZAA</v>
      </c>
      <c r="G904" s="7" t="str">
        <f>+'[1]BASE RED COMERCIAL'!$D902</f>
        <v>GRAL LUCIO V MANSILLA</v>
      </c>
      <c r="H904" s="7" t="str">
        <f>+'[1]BASE RED COMERCIAL'!$B902</f>
        <v>FORMOSA</v>
      </c>
      <c r="I904" s="8" t="str">
        <f>+'[1]BASE RED COMERCIAL'!$C902</f>
        <v>LAISHI</v>
      </c>
      <c r="J904" s="10"/>
      <c r="K904" s="10"/>
    </row>
    <row r="905" spans="1:11" x14ac:dyDescent="0.25">
      <c r="A905" s="14" t="str">
        <f>+'[1]BASE RED COMERCIAL'!$A903</f>
        <v>P0042</v>
      </c>
      <c r="B905" s="8" t="str">
        <f>+'[1]BASE RED COMERCIAL'!$H903</f>
        <v>VILLA GRAL. GUEMES</v>
      </c>
      <c r="C905" s="7" t="s">
        <v>33</v>
      </c>
      <c r="D905" s="9" t="str">
        <f>+'[1]BASE RED COMERCIAL'!$E903</f>
        <v>VELEZ SARSFIELD</v>
      </c>
      <c r="E905" s="7">
        <f>+'[1]BASE RED COMERCIAL'!$F903</f>
        <v>0</v>
      </c>
      <c r="F905" s="14" t="str">
        <f>+'[1]BASE RED COMERCIAL'!$I903</f>
        <v>P3621ZAA</v>
      </c>
      <c r="G905" s="7" t="str">
        <f>+'[1]BASE RED COMERCIAL'!$D903</f>
        <v>VILLA GENERAL GUEMES</v>
      </c>
      <c r="H905" s="7" t="str">
        <f>+'[1]BASE RED COMERCIAL'!$B903</f>
        <v>FORMOSA</v>
      </c>
      <c r="I905" s="8" t="str">
        <f>+'[1]BASE RED COMERCIAL'!$C903</f>
        <v>PATIÃ‘O</v>
      </c>
      <c r="J905" s="10"/>
      <c r="K905" s="10"/>
    </row>
    <row r="906" spans="1:11" x14ac:dyDescent="0.25">
      <c r="A906" s="14" t="str">
        <f>+'[1]BASE RED COMERCIAL'!$A904</f>
        <v>P1008</v>
      </c>
      <c r="B906" s="8" t="str">
        <f>+'[1]BASE RED COMERCIAL'!$H904</f>
        <v>BUENA VISTA</v>
      </c>
      <c r="C906" s="7" t="s">
        <v>33</v>
      </c>
      <c r="D906" s="9" t="str">
        <f>+'[1]BASE RED COMERCIAL'!$E904</f>
        <v>AV 9 DE JULIO</v>
      </c>
      <c r="E906" s="7">
        <f>+'[1]BASE RED COMERCIAL'!$F904</f>
        <v>0</v>
      </c>
      <c r="F906" s="14" t="str">
        <f>+'[1]BASE RED COMERCIAL'!$I904</f>
        <v>P3617ZAA</v>
      </c>
      <c r="G906" s="7" t="str">
        <f>+'[1]BASE RED COMERCIAL'!$D904</f>
        <v>BUENA VISTA</v>
      </c>
      <c r="H906" s="7" t="str">
        <f>+'[1]BASE RED COMERCIAL'!$B904</f>
        <v>FORMOSA</v>
      </c>
      <c r="I906" s="8" t="str">
        <f>+'[1]BASE RED COMERCIAL'!$C904</f>
        <v>PILAGAS</v>
      </c>
      <c r="J906" s="10"/>
      <c r="K906" s="269"/>
    </row>
    <row r="907" spans="1:11" x14ac:dyDescent="0.25">
      <c r="A907" s="14" t="str">
        <f>+'[1]BASE RED COMERCIAL'!$A905</f>
        <v>P1010</v>
      </c>
      <c r="B907" s="8" t="str">
        <f>+'[1]BASE RED COMERCIAL'!$H905</f>
        <v>COLONIA PASTORIL</v>
      </c>
      <c r="C907" s="7" t="s">
        <v>33</v>
      </c>
      <c r="D907" s="9" t="str">
        <f>+'[1]BASE RED COMERCIAL'!$E905</f>
        <v>CALLE P BLICA S N</v>
      </c>
      <c r="E907" s="7">
        <f>+'[1]BASE RED COMERCIAL'!$F905</f>
        <v>0</v>
      </c>
      <c r="F907" s="14" t="str">
        <f>+'[1]BASE RED COMERCIAL'!$I905</f>
        <v>P3601ZAC</v>
      </c>
      <c r="G907" s="7" t="str">
        <f>+'[1]BASE RED COMERCIAL'!$D905</f>
        <v>COLONIA PASTORIL</v>
      </c>
      <c r="H907" s="7" t="str">
        <f>+'[1]BASE RED COMERCIAL'!$B905</f>
        <v>FORMOSA</v>
      </c>
      <c r="I907" s="8" t="str">
        <f>+'[1]BASE RED COMERCIAL'!$C905</f>
        <v>FORMOSA</v>
      </c>
      <c r="J907" s="10"/>
      <c r="K907" s="269"/>
    </row>
    <row r="908" spans="1:11" x14ac:dyDescent="0.25">
      <c r="A908" s="14" t="str">
        <f>+'[1]BASE RED COMERCIAL'!$A906</f>
        <v>P1028</v>
      </c>
      <c r="B908" s="8" t="str">
        <f>+'[1]BASE RED COMERCIAL'!$H906</f>
        <v>CABO A.AYALA</v>
      </c>
      <c r="C908" s="7" t="s">
        <v>33</v>
      </c>
      <c r="D908" s="9" t="str">
        <f>+'[1]BASE RED COMERCIAL'!$E906</f>
        <v>RUTA PROV N 9 KM 100</v>
      </c>
      <c r="E908" s="7">
        <f>+'[1]BASE RED COMERCIAL'!$F906</f>
        <v>0</v>
      </c>
      <c r="F908" s="14" t="str">
        <f>+'[1]BASE RED COMERCIAL'!$I906</f>
        <v>P3519ZAA</v>
      </c>
      <c r="G908" s="7" t="str">
        <f>+'[1]BASE RED COMERCIAL'!$D906</f>
        <v>CABO ADRIANO AYALA</v>
      </c>
      <c r="H908" s="7" t="str">
        <f>+'[1]BASE RED COMERCIAL'!$B906</f>
        <v>FORMOSA</v>
      </c>
      <c r="I908" s="8" t="str">
        <f>+'[1]BASE RED COMERCIAL'!$C906</f>
        <v>LAISHI</v>
      </c>
      <c r="J908" s="10"/>
      <c r="K908" s="10"/>
    </row>
    <row r="909" spans="1:11" x14ac:dyDescent="0.25">
      <c r="A909" s="14" t="str">
        <f>+'[1]BASE RED COMERCIAL'!$A907</f>
        <v>P1034</v>
      </c>
      <c r="B909" s="8" t="str">
        <f>+'[1]BASE RED COMERCIAL'!$H907</f>
        <v>MARIANO BOEDO</v>
      </c>
      <c r="C909" s="7" t="s">
        <v>33</v>
      </c>
      <c r="D909" s="9" t="str">
        <f>+'[1]BASE RED COMERCIAL'!$E907</f>
        <v>CALLE P BLICA S N</v>
      </c>
      <c r="E909" s="7">
        <f>+'[1]BASE RED COMERCIAL'!$F907</f>
        <v>0</v>
      </c>
      <c r="F909" s="14" t="str">
        <f>+'[1]BASE RED COMERCIAL'!$I907</f>
        <v>P3604ZAB</v>
      </c>
      <c r="G909" s="7" t="str">
        <f>+'[1]BASE RED COMERCIAL'!$D907</f>
        <v>MARIANO BOEDO</v>
      </c>
      <c r="H909" s="7" t="str">
        <f>+'[1]BASE RED COMERCIAL'!$B907</f>
        <v>FORMOSA</v>
      </c>
      <c r="I909" s="8" t="str">
        <f>+'[1]BASE RED COMERCIAL'!$C907</f>
        <v>FORMOSA</v>
      </c>
      <c r="J909" s="10"/>
      <c r="K909" s="10"/>
    </row>
    <row r="910" spans="1:11" x14ac:dyDescent="0.25">
      <c r="A910" s="14" t="str">
        <f>+'[1]BASE RED COMERCIAL'!$A908</f>
        <v>P1052</v>
      </c>
      <c r="B910" s="8" t="str">
        <f>+'[1]BASE RED COMERCIAL'!$H908</f>
        <v>MISION TACAAGLE</v>
      </c>
      <c r="C910" s="7" t="s">
        <v>33</v>
      </c>
      <c r="D910" s="9" t="str">
        <f>+'[1]BASE RED COMERCIAL'!$E908</f>
        <v>AV 5 DE OCTUBRE</v>
      </c>
      <c r="E910" s="7">
        <f>+'[1]BASE RED COMERCIAL'!$F908</f>
        <v>0</v>
      </c>
      <c r="F910" s="14" t="str">
        <f>+'[1]BASE RED COMERCIAL'!$I908</f>
        <v>P3614ZAB</v>
      </c>
      <c r="G910" s="7" t="str">
        <f>+'[1]BASE RED COMERCIAL'!$D908</f>
        <v>MISION TACAAGLE</v>
      </c>
      <c r="H910" s="7" t="str">
        <f>+'[1]BASE RED COMERCIAL'!$B908</f>
        <v>FORMOSA</v>
      </c>
      <c r="I910" s="8" t="str">
        <f>+'[1]BASE RED COMERCIAL'!$C908</f>
        <v>PILAGAS</v>
      </c>
      <c r="J910" s="10"/>
      <c r="K910" s="10"/>
    </row>
    <row r="911" spans="1:11" x14ac:dyDescent="0.25">
      <c r="A911" s="14" t="str">
        <f>+'[1]BASE RED COMERCIAL'!$A909</f>
        <v>P1070</v>
      </c>
      <c r="B911" s="8" t="str">
        <f>+'[1]BASE RED COMERCIAL'!$H909</f>
        <v>ESTAF.NÂº 1 CLORINDA</v>
      </c>
      <c r="C911" s="7" t="s">
        <v>33</v>
      </c>
      <c r="D911" s="9" t="str">
        <f>+'[1]BASE RED COMERCIAL'!$E909</f>
        <v>S/C</v>
      </c>
      <c r="E911" s="7">
        <f>+'[1]BASE RED COMERCIAL'!$F909</f>
        <v>0</v>
      </c>
      <c r="F911" s="14" t="str">
        <f>+'[1]BASE RED COMERCIAL'!$I909</f>
        <v>P3610ZAA</v>
      </c>
      <c r="G911" s="7" t="str">
        <f>+'[1]BASE RED COMERCIAL'!$D909</f>
        <v>CLORINDA</v>
      </c>
      <c r="H911" s="7" t="str">
        <f>+'[1]BASE RED COMERCIAL'!$B909</f>
        <v>FORMOSA</v>
      </c>
      <c r="I911" s="8" t="str">
        <f>+'[1]BASE RED COMERCIAL'!$C909</f>
        <v>PILCOMAYO</v>
      </c>
      <c r="J911" s="10"/>
      <c r="K911" s="10"/>
    </row>
    <row r="912" spans="1:11" x14ac:dyDescent="0.25">
      <c r="A912" s="14" t="str">
        <f>+'[1]BASE RED COMERCIAL'!$A910</f>
        <v>P1082</v>
      </c>
      <c r="B912" s="8" t="str">
        <f>+'[1]BASE RED COMERCIAL'!$H910</f>
        <v>VILLA DOS TRECE</v>
      </c>
      <c r="C912" s="7" t="s">
        <v>33</v>
      </c>
      <c r="D912" s="9" t="str">
        <f>+'[1]BASE RED COMERCIAL'!$E910</f>
        <v>GRAL JUAN M DE PUEYRREDON</v>
      </c>
      <c r="E912" s="7">
        <f>+'[1]BASE RED COMERCIAL'!$F910</f>
        <v>0</v>
      </c>
      <c r="F912" s="14" t="str">
        <f>+'[1]BASE RED COMERCIAL'!$I910</f>
        <v>P3602ZAA</v>
      </c>
      <c r="G912" s="7" t="str">
        <f>+'[1]BASE RED COMERCIAL'!$D910</f>
        <v>VILLA DOS TRECE</v>
      </c>
      <c r="H912" s="7" t="str">
        <f>+'[1]BASE RED COMERCIAL'!$B910</f>
        <v>FORMOSA</v>
      </c>
      <c r="I912" s="8" t="str">
        <f>+'[1]BASE RED COMERCIAL'!$C910</f>
        <v>PIRANE</v>
      </c>
      <c r="J912" s="10"/>
      <c r="K912" s="10"/>
    </row>
    <row r="913" spans="1:11" x14ac:dyDescent="0.25">
      <c r="A913" s="14" t="str">
        <f>+'[1]BASE RED COMERCIAL'!$A911</f>
        <v>P1083</v>
      </c>
      <c r="B913" s="8" t="str">
        <f>+'[1]BASE RED COMERCIAL'!$H911</f>
        <v>CMTE. FONTANA</v>
      </c>
      <c r="C913" s="7" t="s">
        <v>33</v>
      </c>
      <c r="D913" s="9" t="str">
        <f>+'[1]BASE RED COMERCIAL'!$E911</f>
        <v>AV SAN MARTIN</v>
      </c>
      <c r="E913" s="7">
        <f>+'[1]BASE RED COMERCIAL'!$F911</f>
        <v>0</v>
      </c>
      <c r="F913" s="14" t="str">
        <f>+'[1]BASE RED COMERCIAL'!$I911</f>
        <v>P3620ZAA</v>
      </c>
      <c r="G913" s="7" t="str">
        <f>+'[1]BASE RED COMERCIAL'!$D911</f>
        <v>COMANDANTE FONTANA</v>
      </c>
      <c r="H913" s="7" t="str">
        <f>+'[1]BASE RED COMERCIAL'!$B911</f>
        <v>FORMOSA</v>
      </c>
      <c r="I913" s="8" t="str">
        <f>+'[1]BASE RED COMERCIAL'!$C911</f>
        <v>PATIÃ‘O</v>
      </c>
      <c r="J913" s="10"/>
      <c r="K913" s="10"/>
    </row>
    <row r="914" spans="1:11" x14ac:dyDescent="0.25">
      <c r="A914" s="14" t="str">
        <f>+'[1]BASE RED COMERCIAL'!$A912</f>
        <v>Y0000</v>
      </c>
      <c r="B914" s="8" t="str">
        <f>+'[1]BASE RED COMERCIAL'!$H912</f>
        <v>SAN SALVADOR DE JUJUY</v>
      </c>
      <c r="C914" s="7" t="s">
        <v>33</v>
      </c>
      <c r="D914" s="9" t="str">
        <f>+'[1]BASE RED COMERCIAL'!$E912</f>
        <v>GRAL M BELGRANO</v>
      </c>
      <c r="E914" s="7">
        <f>+'[1]BASE RED COMERCIAL'!$F912</f>
        <v>1136</v>
      </c>
      <c r="F914" s="14" t="str">
        <f>+'[1]BASE RED COMERCIAL'!$I912</f>
        <v>Y4600ZAA</v>
      </c>
      <c r="G914" s="7" t="str">
        <f>+'[1]BASE RED COMERCIAL'!$D912</f>
        <v>SAN SALVADOR DE JUJUY</v>
      </c>
      <c r="H914" s="7" t="str">
        <f>+'[1]BASE RED COMERCIAL'!$B912</f>
        <v>JUJUY</v>
      </c>
      <c r="I914" s="8" t="str">
        <f>+'[1]BASE RED COMERCIAL'!$C912</f>
        <v>DR MANUEL BELGRANO</v>
      </c>
      <c r="J914" s="10"/>
      <c r="K914" s="10"/>
    </row>
    <row r="915" spans="1:11" x14ac:dyDescent="0.25">
      <c r="A915" s="14" t="str">
        <f>+'[1]BASE RED COMERCIAL'!$A913</f>
        <v>Y0002</v>
      </c>
      <c r="B915" s="8" t="str">
        <f>+'[1]BASE RED COMERCIAL'!$H913</f>
        <v>ABRA PAMPA</v>
      </c>
      <c r="C915" s="7" t="s">
        <v>33</v>
      </c>
      <c r="D915" s="9" t="str">
        <f>+'[1]BASE RED COMERCIAL'!$E913</f>
        <v>SARMIENTO</v>
      </c>
      <c r="E915" s="7">
        <f>+'[1]BASE RED COMERCIAL'!$F913</f>
        <v>490</v>
      </c>
      <c r="F915" s="14" t="str">
        <f>+'[1]BASE RED COMERCIAL'!$I913</f>
        <v>Y4640ZAA</v>
      </c>
      <c r="G915" s="7" t="str">
        <f>+'[1]BASE RED COMERCIAL'!$D913</f>
        <v>ABRA PAMPA</v>
      </c>
      <c r="H915" s="7" t="str">
        <f>+'[1]BASE RED COMERCIAL'!$B913</f>
        <v>JUJUY</v>
      </c>
      <c r="I915" s="8" t="str">
        <f>+'[1]BASE RED COMERCIAL'!$C913</f>
        <v>COCHINOCA</v>
      </c>
      <c r="J915" s="10"/>
      <c r="K915" s="10"/>
    </row>
    <row r="916" spans="1:11" x14ac:dyDescent="0.25">
      <c r="A916" s="14" t="str">
        <f>+'[1]BASE RED COMERCIAL'!$A914</f>
        <v>Y0010</v>
      </c>
      <c r="B916" s="8" t="str">
        <f>+'[1]BASE RED COMERCIAL'!$H914</f>
        <v>EL AGUILAR</v>
      </c>
      <c r="C916" s="7" t="s">
        <v>33</v>
      </c>
      <c r="D916" s="9" t="str">
        <f>+'[1]BASE RED COMERCIAL'!$E914</f>
        <v>CALLE PUBLICA S N</v>
      </c>
      <c r="E916" s="7">
        <f>+'[1]BASE RED COMERCIAL'!$F914</f>
        <v>0</v>
      </c>
      <c r="F916" s="14" t="str">
        <f>+'[1]BASE RED COMERCIAL'!$I914</f>
        <v>Y4634ZAA</v>
      </c>
      <c r="G916" s="7" t="str">
        <f>+'[1]BASE RED COMERCIAL'!$D914</f>
        <v>EL AGUILAR</v>
      </c>
      <c r="H916" s="7" t="str">
        <f>+'[1]BASE RED COMERCIAL'!$B914</f>
        <v>JUJUY</v>
      </c>
      <c r="I916" s="8" t="str">
        <f>+'[1]BASE RED COMERCIAL'!$C914</f>
        <v>HUMAHUACA</v>
      </c>
      <c r="J916" s="10"/>
      <c r="K916" s="10"/>
    </row>
    <row r="917" spans="1:11" x14ac:dyDescent="0.25">
      <c r="A917" s="14" t="str">
        <f>+'[1]BASE RED COMERCIAL'!$A915</f>
        <v>Y0012</v>
      </c>
      <c r="B917" s="8" t="str">
        <f>+'[1]BASE RED COMERCIAL'!$H915</f>
        <v>FRAILE PINTADO</v>
      </c>
      <c r="C917" s="7" t="s">
        <v>33</v>
      </c>
      <c r="D917" s="9" t="str">
        <f>+'[1]BASE RED COMERCIAL'!$E915</f>
        <v>JOSE IGNACIO GORRITI</v>
      </c>
      <c r="E917" s="7">
        <f>+'[1]BASE RED COMERCIAL'!$F915</f>
        <v>175</v>
      </c>
      <c r="F917" s="14" t="str">
        <f>+'[1]BASE RED COMERCIAL'!$I915</f>
        <v>Y4506ZAA</v>
      </c>
      <c r="G917" s="7" t="str">
        <f>+'[1]BASE RED COMERCIAL'!$D915</f>
        <v>FRAILE PINTADO</v>
      </c>
      <c r="H917" s="7" t="str">
        <f>+'[1]BASE RED COMERCIAL'!$B915</f>
        <v>JUJUY</v>
      </c>
      <c r="I917" s="8" t="str">
        <f>+'[1]BASE RED COMERCIAL'!$C915</f>
        <v>LEDESMA</v>
      </c>
      <c r="J917" s="10"/>
      <c r="K917" s="10"/>
    </row>
    <row r="918" spans="1:11" x14ac:dyDescent="0.25">
      <c r="A918" s="14" t="str">
        <f>+'[1]BASE RED COMERCIAL'!$A916</f>
        <v>Y0014</v>
      </c>
      <c r="B918" s="8" t="str">
        <f>+'[1]BASE RED COMERCIAL'!$H916</f>
        <v>HUMAHUACA</v>
      </c>
      <c r="C918" s="7" t="s">
        <v>33</v>
      </c>
      <c r="D918" s="9" t="str">
        <f>+'[1]BASE RED COMERCIAL'!$E916</f>
        <v>BUENOS AIRES</v>
      </c>
      <c r="E918" s="7">
        <f>+'[1]BASE RED COMERCIAL'!$F916</f>
        <v>199</v>
      </c>
      <c r="F918" s="14" t="str">
        <f>+'[1]BASE RED COMERCIAL'!$I916</f>
        <v>Y4630ZAA</v>
      </c>
      <c r="G918" s="7" t="str">
        <f>+'[1]BASE RED COMERCIAL'!$D916</f>
        <v>HUMAHUACA</v>
      </c>
      <c r="H918" s="7" t="str">
        <f>+'[1]BASE RED COMERCIAL'!$B916</f>
        <v>JUJUY</v>
      </c>
      <c r="I918" s="8" t="str">
        <f>+'[1]BASE RED COMERCIAL'!$C916</f>
        <v>HUMAHUACA</v>
      </c>
      <c r="J918" s="10"/>
      <c r="K918" s="10"/>
    </row>
    <row r="919" spans="1:11" x14ac:dyDescent="0.25">
      <c r="A919" s="14" t="str">
        <f>+'[1]BASE RED COMERCIAL'!$A917</f>
        <v>Y0020</v>
      </c>
      <c r="B919" s="8" t="str">
        <f>+'[1]BASE RED COMERCIAL'!$H917</f>
        <v>LA MENDIETA</v>
      </c>
      <c r="C919" s="7" t="s">
        <v>33</v>
      </c>
      <c r="D919" s="9" t="str">
        <f>+'[1]BASE RED COMERCIAL'!$E917</f>
        <v>RECONQUISTA</v>
      </c>
      <c r="E919" s="7">
        <f>+'[1]BASE RED COMERCIAL'!$F917</f>
        <v>40</v>
      </c>
      <c r="F919" s="14" t="str">
        <f>+'[1]BASE RED COMERCIAL'!$I917</f>
        <v>Y4522ZAA</v>
      </c>
      <c r="G919" s="7" t="str">
        <f>+'[1]BASE RED COMERCIAL'!$D917</f>
        <v>LA MENDIETA</v>
      </c>
      <c r="H919" s="7" t="str">
        <f>+'[1]BASE RED COMERCIAL'!$B917</f>
        <v>JUJUY</v>
      </c>
      <c r="I919" s="8" t="str">
        <f>+'[1]BASE RED COMERCIAL'!$C917</f>
        <v>SAN PEDRO</v>
      </c>
      <c r="J919" s="10"/>
      <c r="K919" s="10"/>
    </row>
    <row r="920" spans="1:11" x14ac:dyDescent="0.25">
      <c r="A920" s="14" t="str">
        <f>+'[1]BASE RED COMERCIAL'!$A918</f>
        <v>Y0022</v>
      </c>
      <c r="B920" s="8" t="str">
        <f>+'[1]BASE RED COMERCIAL'!$H918</f>
        <v>LA QUIACA</v>
      </c>
      <c r="C920" s="7" t="s">
        <v>33</v>
      </c>
      <c r="D920" s="9" t="str">
        <f>+'[1]BASE RED COMERCIAL'!$E918</f>
        <v>AV SARMIENTO</v>
      </c>
      <c r="E920" s="7">
        <f>+'[1]BASE RED COMERCIAL'!$F918</f>
        <v>207</v>
      </c>
      <c r="F920" s="14" t="str">
        <f>+'[1]BASE RED COMERCIAL'!$I918</f>
        <v>Y4650ZAA</v>
      </c>
      <c r="G920" s="7" t="str">
        <f>+'[1]BASE RED COMERCIAL'!$D918</f>
        <v>LA QUIACA</v>
      </c>
      <c r="H920" s="7" t="str">
        <f>+'[1]BASE RED COMERCIAL'!$B918</f>
        <v>JUJUY</v>
      </c>
      <c r="I920" s="8" t="str">
        <f>+'[1]BASE RED COMERCIAL'!$C918</f>
        <v>YAVI</v>
      </c>
      <c r="J920" s="10"/>
      <c r="K920" s="10"/>
    </row>
    <row r="921" spans="1:11" x14ac:dyDescent="0.25">
      <c r="A921" s="14" t="str">
        <f>+'[1]BASE RED COMERCIAL'!$A919</f>
        <v>Y0024</v>
      </c>
      <c r="B921" s="8" t="str">
        <f>+'[1]BASE RED COMERCIAL'!$H919</f>
        <v>LIB. GRAL. SAN MARTIN</v>
      </c>
      <c r="C921" s="7" t="s">
        <v>33</v>
      </c>
      <c r="D921" s="9" t="str">
        <f>+'[1]BASE RED COMERCIAL'!$E919</f>
        <v>MANUEL BELGRANO</v>
      </c>
      <c r="E921" s="7">
        <f>+'[1]BASE RED COMERCIAL'!$F919</f>
        <v>495</v>
      </c>
      <c r="F921" s="14" t="str">
        <f>+'[1]BASE RED COMERCIAL'!$I919</f>
        <v>Y4512ZAB</v>
      </c>
      <c r="G921" s="7" t="str">
        <f>+'[1]BASE RED COMERCIAL'!$D919</f>
        <v>LIB GRAL SAN MARTIN</v>
      </c>
      <c r="H921" s="7" t="str">
        <f>+'[1]BASE RED COMERCIAL'!$B919</f>
        <v>JUJUY</v>
      </c>
      <c r="I921" s="8" t="str">
        <f>+'[1]BASE RED COMERCIAL'!$C919</f>
        <v>LEDESMA</v>
      </c>
      <c r="J921" s="10"/>
      <c r="K921" s="10"/>
    </row>
    <row r="922" spans="1:11" x14ac:dyDescent="0.25">
      <c r="A922" s="14" t="str">
        <f>+'[1]BASE RED COMERCIAL'!$A920</f>
        <v>Y0026</v>
      </c>
      <c r="B922" s="8" t="str">
        <f>+'[1]BASE RED COMERCIAL'!$H920</f>
        <v>MAIMARA</v>
      </c>
      <c r="C922" s="7" t="s">
        <v>33</v>
      </c>
      <c r="D922" s="9" t="str">
        <f>+'[1]BASE RED COMERCIAL'!$E920</f>
        <v>AV MANUEL BELGRANO</v>
      </c>
      <c r="E922" s="7">
        <f>+'[1]BASE RED COMERCIAL'!$F920</f>
        <v>301</v>
      </c>
      <c r="F922" s="14" t="str">
        <f>+'[1]BASE RED COMERCIAL'!$I920</f>
        <v>Y4622ZAA</v>
      </c>
      <c r="G922" s="7" t="str">
        <f>+'[1]BASE RED COMERCIAL'!$D920</f>
        <v>MAIMARA</v>
      </c>
      <c r="H922" s="7" t="str">
        <f>+'[1]BASE RED COMERCIAL'!$B920</f>
        <v>JUJUY</v>
      </c>
      <c r="I922" s="8" t="str">
        <f>+'[1]BASE RED COMERCIAL'!$C920</f>
        <v>TILCARA</v>
      </c>
      <c r="J922" s="10"/>
      <c r="K922" s="10"/>
    </row>
    <row r="923" spans="1:11" x14ac:dyDescent="0.25">
      <c r="A923" s="14" t="str">
        <f>+'[1]BASE RED COMERCIAL'!$A921</f>
        <v>Y0030</v>
      </c>
      <c r="B923" s="8" t="str">
        <f>+'[1]BASE RED COMERCIAL'!$H921</f>
        <v>MONTERRICO</v>
      </c>
      <c r="C923" s="7" t="s">
        <v>33</v>
      </c>
      <c r="D923" s="9" t="str">
        <f>+'[1]BASE RED COMERCIAL'!$E921</f>
        <v>JUJUY</v>
      </c>
      <c r="E923" s="7">
        <f>+'[1]BASE RED COMERCIAL'!$F921</f>
        <v>250</v>
      </c>
      <c r="F923" s="14" t="str">
        <f>+'[1]BASE RED COMERCIAL'!$I921</f>
        <v>Y4608ZAA</v>
      </c>
      <c r="G923" s="7" t="str">
        <f>+'[1]BASE RED COMERCIAL'!$D921</f>
        <v>MONTERRICO</v>
      </c>
      <c r="H923" s="7" t="str">
        <f>+'[1]BASE RED COMERCIAL'!$B921</f>
        <v>JUJUY</v>
      </c>
      <c r="I923" s="8" t="str">
        <f>+'[1]BASE RED COMERCIAL'!$C921</f>
        <v>EL CARMEN</v>
      </c>
      <c r="J923" s="10"/>
      <c r="K923" s="10"/>
    </row>
    <row r="924" spans="1:11" x14ac:dyDescent="0.25">
      <c r="A924" s="14" t="str">
        <f>+'[1]BASE RED COMERCIAL'!$A922</f>
        <v>Y0032</v>
      </c>
      <c r="B924" s="8" t="str">
        <f>+'[1]BASE RED COMERCIAL'!$H922</f>
        <v>PALPALÃ</v>
      </c>
      <c r="C924" s="7" t="s">
        <v>33</v>
      </c>
      <c r="D924" s="9" t="str">
        <f>+'[1]BASE RED COMERCIAL'!$E922</f>
        <v>REPÃºBLICA DE SIRIA  ESQ GENDAR NACIONAL</v>
      </c>
      <c r="E924" s="7">
        <f>+'[1]BASE RED COMERCIAL'!$F922</f>
        <v>0</v>
      </c>
      <c r="F924" s="14" t="str">
        <f>+'[1]BASE RED COMERCIAL'!$I922</f>
        <v>Y4612ZAA</v>
      </c>
      <c r="G924" s="7" t="str">
        <f>+'[1]BASE RED COMERCIAL'!$D922</f>
        <v>PALPALA</v>
      </c>
      <c r="H924" s="7" t="str">
        <f>+'[1]BASE RED COMERCIAL'!$B922</f>
        <v>JUJUY</v>
      </c>
      <c r="I924" s="8" t="str">
        <f>+'[1]BASE RED COMERCIAL'!$C922</f>
        <v>DR MANUEL BELGRANO</v>
      </c>
      <c r="J924" s="10"/>
      <c r="K924" s="10"/>
    </row>
    <row r="925" spans="1:11" x14ac:dyDescent="0.25">
      <c r="A925" s="14" t="str">
        <f>+'[1]BASE RED COMERCIAL'!$A923</f>
        <v>Y0036</v>
      </c>
      <c r="B925" s="8" t="str">
        <f>+'[1]BASE RED COMERCIAL'!$H923</f>
        <v>PERICO</v>
      </c>
      <c r="C925" s="7" t="s">
        <v>33</v>
      </c>
      <c r="D925" s="9" t="str">
        <f>+'[1]BASE RED COMERCIAL'!$E923</f>
        <v>AV SAN MARTIN</v>
      </c>
      <c r="E925" s="7">
        <f>+'[1]BASE RED COMERCIAL'!$F923</f>
        <v>299</v>
      </c>
      <c r="F925" s="14" t="str">
        <f>+'[1]BASE RED COMERCIAL'!$I923</f>
        <v>Y4610ZAA</v>
      </c>
      <c r="G925" s="7" t="str">
        <f>+'[1]BASE RED COMERCIAL'!$D923</f>
        <v>PERICO</v>
      </c>
      <c r="H925" s="7" t="str">
        <f>+'[1]BASE RED COMERCIAL'!$B923</f>
        <v>JUJUY</v>
      </c>
      <c r="I925" s="8" t="str">
        <f>+'[1]BASE RED COMERCIAL'!$C923</f>
        <v>EL CARMEN</v>
      </c>
      <c r="J925" s="10"/>
      <c r="K925" s="10"/>
    </row>
    <row r="926" spans="1:11" x14ac:dyDescent="0.25">
      <c r="A926" s="14" t="str">
        <f>+'[1]BASE RED COMERCIAL'!$A924</f>
        <v>Y0040</v>
      </c>
      <c r="B926" s="8" t="str">
        <f>+'[1]BASE RED COMERCIAL'!$H924</f>
        <v>PERICO DEL CARMEN</v>
      </c>
      <c r="C926" s="7" t="s">
        <v>33</v>
      </c>
      <c r="D926" s="9" t="str">
        <f>+'[1]BASE RED COMERCIAL'!$E924</f>
        <v>MANUEL BELGRANO</v>
      </c>
      <c r="E926" s="7">
        <f>+'[1]BASE RED COMERCIAL'!$F924</f>
        <v>909</v>
      </c>
      <c r="F926" s="14" t="str">
        <f>+'[1]BASE RED COMERCIAL'!$I924</f>
        <v>Y4603ZAA</v>
      </c>
      <c r="G926" s="7" t="str">
        <f>+'[1]BASE RED COMERCIAL'!$D924</f>
        <v>EL CARMEN</v>
      </c>
      <c r="H926" s="7" t="str">
        <f>+'[1]BASE RED COMERCIAL'!$B924</f>
        <v>JUJUY</v>
      </c>
      <c r="I926" s="8" t="str">
        <f>+'[1]BASE RED COMERCIAL'!$C924</f>
        <v>EL CARMEN</v>
      </c>
      <c r="J926" s="10"/>
      <c r="K926" s="10"/>
    </row>
    <row r="927" spans="1:11" x14ac:dyDescent="0.25">
      <c r="A927" s="14" t="str">
        <f>+'[1]BASE RED COMERCIAL'!$A925</f>
        <v>Y0046</v>
      </c>
      <c r="B927" s="8" t="str">
        <f>+'[1]BASE RED COMERCIAL'!$H925</f>
        <v>SAN PEDRO</v>
      </c>
      <c r="C927" s="7" t="s">
        <v>33</v>
      </c>
      <c r="D927" s="9" t="str">
        <f>+'[1]BASE RED COMERCIAL'!$E925</f>
        <v>SARMIENTO</v>
      </c>
      <c r="E927" s="7">
        <f>+'[1]BASE RED COMERCIAL'!$F925</f>
        <v>280</v>
      </c>
      <c r="F927" s="14" t="str">
        <f>+'[1]BASE RED COMERCIAL'!$I925</f>
        <v>Y4500ZAA</v>
      </c>
      <c r="G927" s="7" t="str">
        <f>+'[1]BASE RED COMERCIAL'!$D925</f>
        <v>SAN PEDRO</v>
      </c>
      <c r="H927" s="7" t="str">
        <f>+'[1]BASE RED COMERCIAL'!$B925</f>
        <v>JUJUY</v>
      </c>
      <c r="I927" s="8" t="str">
        <f>+'[1]BASE RED COMERCIAL'!$C925</f>
        <v>SAN PEDRO</v>
      </c>
      <c r="J927" s="10"/>
      <c r="K927" s="10"/>
    </row>
    <row r="928" spans="1:11" x14ac:dyDescent="0.25">
      <c r="A928" s="14" t="str">
        <f>+'[1]BASE RED COMERCIAL'!$A926</f>
        <v>Y0052</v>
      </c>
      <c r="B928" s="8" t="str">
        <f>+'[1]BASE RED COMERCIAL'!$H926</f>
        <v>TILCARA</v>
      </c>
      <c r="C928" s="7" t="s">
        <v>33</v>
      </c>
      <c r="D928" s="9" t="str">
        <f>+'[1]BASE RED COMERCIAL'!$E926</f>
        <v>B RIVADAVIA</v>
      </c>
      <c r="E928" s="7">
        <f>+'[1]BASE RED COMERCIAL'!$F926</f>
        <v>497</v>
      </c>
      <c r="F928" s="14" t="str">
        <f>+'[1]BASE RED COMERCIAL'!$I926</f>
        <v>Y4624ZAA</v>
      </c>
      <c r="G928" s="7" t="str">
        <f>+'[1]BASE RED COMERCIAL'!$D926</f>
        <v>TILCARA</v>
      </c>
      <c r="H928" s="7" t="str">
        <f>+'[1]BASE RED COMERCIAL'!$B926</f>
        <v>JUJUY</v>
      </c>
      <c r="I928" s="8" t="str">
        <f>+'[1]BASE RED COMERCIAL'!$C926</f>
        <v>TILCARA</v>
      </c>
      <c r="J928" s="10"/>
      <c r="K928" s="10"/>
    </row>
    <row r="929" spans="1:11" x14ac:dyDescent="0.25">
      <c r="A929" s="14" t="str">
        <f>+'[1]BASE RED COMERCIAL'!$A927</f>
        <v>Y0062</v>
      </c>
      <c r="B929" s="8" t="str">
        <f>+'[1]BASE RED COMERCIAL'!$H927</f>
        <v>YUTO</v>
      </c>
      <c r="C929" s="7" t="s">
        <v>33</v>
      </c>
      <c r="D929" s="9" t="str">
        <f>+'[1]BASE RED COMERCIAL'!$E927</f>
        <v>AV SARMIENTO</v>
      </c>
      <c r="E929" s="7">
        <f>+'[1]BASE RED COMERCIAL'!$F927</f>
        <v>0</v>
      </c>
      <c r="F929" s="14" t="str">
        <f>+'[1]BASE RED COMERCIAL'!$I927</f>
        <v>Y4518ZAA</v>
      </c>
      <c r="G929" s="7" t="str">
        <f>+'[1]BASE RED COMERCIAL'!$D927</f>
        <v>YUTO</v>
      </c>
      <c r="H929" s="7" t="str">
        <f>+'[1]BASE RED COMERCIAL'!$B927</f>
        <v>JUJUY</v>
      </c>
      <c r="I929" s="8" t="str">
        <f>+'[1]BASE RED COMERCIAL'!$C927</f>
        <v>LEDESMA</v>
      </c>
      <c r="J929" s="10"/>
      <c r="K929" s="10"/>
    </row>
    <row r="930" spans="1:11" x14ac:dyDescent="0.25">
      <c r="A930" s="14" t="str">
        <f>+'[1]BASE RED COMERCIAL'!$A928</f>
        <v>Y1034</v>
      </c>
      <c r="B930" s="8" t="str">
        <f>+'[1]BASE RED COMERCIAL'!$H928</f>
        <v>PALMA SOLA</v>
      </c>
      <c r="C930" s="7" t="s">
        <v>33</v>
      </c>
      <c r="D930" s="9" t="str">
        <f>+'[1]BASE RED COMERCIAL'!$E928</f>
        <v>AV ROBERTO DARDO DOMINGUEZ</v>
      </c>
      <c r="E930" s="7">
        <f>+'[1]BASE RED COMERCIAL'!$F928</f>
        <v>1</v>
      </c>
      <c r="F930" s="14" t="str">
        <f>+'[1]BASE RED COMERCIAL'!$I928</f>
        <v>Y4510ZAA</v>
      </c>
      <c r="G930" s="7" t="str">
        <f>+'[1]BASE RED COMERCIAL'!$D928</f>
        <v>PALMA SOLA</v>
      </c>
      <c r="H930" s="7" t="str">
        <f>+'[1]BASE RED COMERCIAL'!$B928</f>
        <v>JUJUY</v>
      </c>
      <c r="I930" s="8" t="str">
        <f>+'[1]BASE RED COMERCIAL'!$C928</f>
        <v>SANTA BARBARA</v>
      </c>
      <c r="J930" s="10"/>
      <c r="K930" s="10"/>
    </row>
    <row r="931" spans="1:11" x14ac:dyDescent="0.25">
      <c r="A931" s="14" t="str">
        <f>+'[1]BASE RED COMERCIAL'!$A929</f>
        <v>Y1163</v>
      </c>
      <c r="B931" s="8" t="str">
        <f>+'[1]BASE RED COMERCIAL'!$H929</f>
        <v>NAZARENO</v>
      </c>
      <c r="C931" s="7" t="s">
        <v>33</v>
      </c>
      <c r="D931" s="9" t="str">
        <f>+'[1]BASE RED COMERCIAL'!$E929</f>
        <v>AV SAN MARCOS S/N*</v>
      </c>
      <c r="E931" s="7">
        <f>+'[1]BASE RED COMERCIAL'!$F929</f>
        <v>0</v>
      </c>
      <c r="F931" s="14" t="str">
        <f>+'[1]BASE RED COMERCIAL'!$I929</f>
        <v>Y4600ZAD</v>
      </c>
      <c r="G931" s="7" t="str">
        <f>+'[1]BASE RED COMERCIAL'!$D929</f>
        <v>NAZARENO</v>
      </c>
      <c r="H931" s="7" t="str">
        <f>+'[1]BASE RED COMERCIAL'!$B929</f>
        <v>JUJUY</v>
      </c>
      <c r="I931" s="8" t="str">
        <f>+'[1]BASE RED COMERCIAL'!$C929</f>
        <v>DR MANUEL BELGRANO</v>
      </c>
      <c r="J931" s="10"/>
      <c r="K931" s="10"/>
    </row>
    <row r="932" spans="1:11" x14ac:dyDescent="0.25">
      <c r="A932" s="14" t="str">
        <f>+'[1]BASE RED COMERCIAL'!$A930</f>
        <v>Y1200</v>
      </c>
      <c r="B932" s="8" t="str">
        <f>+'[1]BASE RED COMERCIAL'!$H930</f>
        <v>CATUA</v>
      </c>
      <c r="C932" s="7" t="s">
        <v>33</v>
      </c>
      <c r="D932" s="9" t="str">
        <f>+'[1]BASE RED COMERCIAL'!$E930</f>
        <v>PARAJE</v>
      </c>
      <c r="E932" s="7">
        <f>+'[1]BASE RED COMERCIAL'!$F930</f>
        <v>0</v>
      </c>
      <c r="F932" s="14" t="str">
        <f>+'[1]BASE RED COMERCIAL'!$I930</f>
        <v>Y4413ZAA</v>
      </c>
      <c r="G932" s="7" t="str">
        <f>+'[1]BASE RED COMERCIAL'!$D930</f>
        <v>CATUA</v>
      </c>
      <c r="H932" s="7" t="str">
        <f>+'[1]BASE RED COMERCIAL'!$B930</f>
        <v>JUJUY</v>
      </c>
      <c r="I932" s="8" t="str">
        <f>+'[1]BASE RED COMERCIAL'!$C930</f>
        <v>SUSQUES</v>
      </c>
      <c r="J932" s="10"/>
      <c r="K932" s="10"/>
    </row>
    <row r="933" spans="1:11" x14ac:dyDescent="0.25">
      <c r="A933" s="14" t="str">
        <f>+'[1]BASE RED COMERCIAL'!$A931</f>
        <v>Y3149</v>
      </c>
      <c r="B933" s="8" t="str">
        <f>+'[1]BASE RED COMERCIAL'!$H931</f>
        <v>AGENCIA ALTO COMEDERO</v>
      </c>
      <c r="C933" s="7" t="s">
        <v>33</v>
      </c>
      <c r="D933" s="9" t="str">
        <f>+'[1]BASE RED COMERCIAL'!$E931</f>
        <v>VALLE GRANDE</v>
      </c>
      <c r="E933" s="7">
        <f>+'[1]BASE RED COMERCIAL'!$F931</f>
        <v>0</v>
      </c>
      <c r="F933" s="14" t="str">
        <f>+'[1]BASE RED COMERCIAL'!$I931</f>
        <v>Y4609ZAA</v>
      </c>
      <c r="G933" s="7" t="str">
        <f>+'[1]BASE RED COMERCIAL'!$D931</f>
        <v>SAN SALVADOR DE JUJUY</v>
      </c>
      <c r="H933" s="7" t="str">
        <f>+'[1]BASE RED COMERCIAL'!$B931</f>
        <v>JUJUY</v>
      </c>
      <c r="I933" s="8" t="str">
        <f>+'[1]BASE RED COMERCIAL'!$C931</f>
        <v>DR MANUEL BELGRANO</v>
      </c>
      <c r="J933" s="10"/>
      <c r="K933" s="10"/>
    </row>
    <row r="934" spans="1:11" x14ac:dyDescent="0.25">
      <c r="A934" s="14" t="str">
        <f>+'[1]BASE RED COMERCIAL'!$A932</f>
        <v>L0000</v>
      </c>
      <c r="B934" s="8" t="str">
        <f>+'[1]BASE RED COMERCIAL'!$H932</f>
        <v>SANTA ROSA</v>
      </c>
      <c r="C934" s="7" t="s">
        <v>33</v>
      </c>
      <c r="D934" s="9" t="str">
        <f>+'[1]BASE RED COMERCIAL'!$E932</f>
        <v>B RIVADAVIA</v>
      </c>
      <c r="E934" s="7">
        <f>+'[1]BASE RED COMERCIAL'!$F932</f>
        <v>202</v>
      </c>
      <c r="F934" s="14" t="str">
        <f>+'[1]BASE RED COMERCIAL'!$I932</f>
        <v>L6300ZAA</v>
      </c>
      <c r="G934" s="7" t="str">
        <f>+'[1]BASE RED COMERCIAL'!$D932</f>
        <v>SANTA ROSA</v>
      </c>
      <c r="H934" s="7" t="str">
        <f>+'[1]BASE RED COMERCIAL'!$B932</f>
        <v>LA PAMPA</v>
      </c>
      <c r="I934" s="8" t="str">
        <f>+'[1]BASE RED COMERCIAL'!$C932</f>
        <v>CAPITAL</v>
      </c>
      <c r="J934" s="10"/>
      <c r="K934" s="10"/>
    </row>
    <row r="935" spans="1:11" x14ac:dyDescent="0.25">
      <c r="A935" s="14" t="str">
        <f>+'[1]BASE RED COMERCIAL'!$A933</f>
        <v>L0002</v>
      </c>
      <c r="B935" s="8" t="str">
        <f>+'[1]BASE RED COMERCIAL'!$H933</f>
        <v>ALPACHIRI</v>
      </c>
      <c r="C935" s="7" t="s">
        <v>33</v>
      </c>
      <c r="D935" s="9" t="str">
        <f>+'[1]BASE RED COMERCIAL'!$E933</f>
        <v>25 DE MAYO</v>
      </c>
      <c r="E935" s="7">
        <f>+'[1]BASE RED COMERCIAL'!$F933</f>
        <v>200</v>
      </c>
      <c r="F935" s="14" t="str">
        <f>+'[1]BASE RED COMERCIAL'!$I933</f>
        <v>L6309ZAA</v>
      </c>
      <c r="G935" s="7" t="str">
        <f>+'[1]BASE RED COMERCIAL'!$D933</f>
        <v>ALPACHIRI</v>
      </c>
      <c r="H935" s="7" t="str">
        <f>+'[1]BASE RED COMERCIAL'!$B933</f>
        <v>LA PAMPA</v>
      </c>
      <c r="I935" s="8" t="str">
        <f>+'[1]BASE RED COMERCIAL'!$C933</f>
        <v>GUATRACHE</v>
      </c>
      <c r="J935" s="10"/>
      <c r="K935" s="10"/>
    </row>
    <row r="936" spans="1:11" x14ac:dyDescent="0.25">
      <c r="A936" s="14" t="str">
        <f>+'[1]BASE RED COMERCIAL'!$A934</f>
        <v>L0004</v>
      </c>
      <c r="B936" s="8" t="str">
        <f>+'[1]BASE RED COMERCIAL'!$H934</f>
        <v>ALTA ITALIA</v>
      </c>
      <c r="C936" s="7" t="s">
        <v>33</v>
      </c>
      <c r="D936" s="9" t="str">
        <f>+'[1]BASE RED COMERCIAL'!$E934</f>
        <v>ARISTOBULO DEL VALLE</v>
      </c>
      <c r="E936" s="7">
        <f>+'[1]BASE RED COMERCIAL'!$F934</f>
        <v>437</v>
      </c>
      <c r="F936" s="14" t="str">
        <f>+'[1]BASE RED COMERCIAL'!$I934</f>
        <v>L6207ZAA</v>
      </c>
      <c r="G936" s="7" t="str">
        <f>+'[1]BASE RED COMERCIAL'!$D934</f>
        <v>ALTA ITALIA</v>
      </c>
      <c r="H936" s="7" t="str">
        <f>+'[1]BASE RED COMERCIAL'!$B934</f>
        <v>LA PAMPA</v>
      </c>
      <c r="I936" s="8" t="str">
        <f>+'[1]BASE RED COMERCIAL'!$C934</f>
        <v>REALICO</v>
      </c>
      <c r="J936" s="10"/>
      <c r="K936" s="10"/>
    </row>
    <row r="937" spans="1:11" x14ac:dyDescent="0.25">
      <c r="A937" s="14" t="str">
        <f>+'[1]BASE RED COMERCIAL'!$A935</f>
        <v>L0006</v>
      </c>
      <c r="B937" s="8" t="str">
        <f>+'[1]BASE RED COMERCIAL'!$H935</f>
        <v>ANGUIL</v>
      </c>
      <c r="C937" s="7" t="s">
        <v>33</v>
      </c>
      <c r="D937" s="9" t="str">
        <f>+'[1]BASE RED COMERCIAL'!$E935</f>
        <v>ESPAÃ‘A</v>
      </c>
      <c r="E937" s="7">
        <f>+'[1]BASE RED COMERCIAL'!$F935</f>
        <v>404</v>
      </c>
      <c r="F937" s="14" t="str">
        <f>+'[1]BASE RED COMERCIAL'!$I935</f>
        <v>L6326ZAA</v>
      </c>
      <c r="G937" s="7" t="str">
        <f>+'[1]BASE RED COMERCIAL'!$D935</f>
        <v>ANGUIL</v>
      </c>
      <c r="H937" s="7" t="str">
        <f>+'[1]BASE RED COMERCIAL'!$B935</f>
        <v>LA PAMPA</v>
      </c>
      <c r="I937" s="8" t="str">
        <f>+'[1]BASE RED COMERCIAL'!$C935</f>
        <v>CAPITAL</v>
      </c>
      <c r="J937" s="10"/>
      <c r="K937" s="10"/>
    </row>
    <row r="938" spans="1:11" x14ac:dyDescent="0.25">
      <c r="A938" s="14" t="str">
        <f>+'[1]BASE RED COMERCIAL'!$A936</f>
        <v>L0008</v>
      </c>
      <c r="B938" s="8" t="str">
        <f>+'[1]BASE RED COMERCIAL'!$H936</f>
        <v>ARATA</v>
      </c>
      <c r="C938" s="7" t="s">
        <v>33</v>
      </c>
      <c r="D938" s="9" t="str">
        <f>+'[1]BASE RED COMERCIAL'!$E936</f>
        <v>MANUEL BELGRANO</v>
      </c>
      <c r="E938" s="7">
        <f>+'[1]BASE RED COMERCIAL'!$F936</f>
        <v>393</v>
      </c>
      <c r="F938" s="14" t="str">
        <f>+'[1]BASE RED COMERCIAL'!$I936</f>
        <v>L6385ZAA</v>
      </c>
      <c r="G938" s="7" t="str">
        <f>+'[1]BASE RED COMERCIAL'!$D936</f>
        <v>ARATA</v>
      </c>
      <c r="H938" s="7" t="str">
        <f>+'[1]BASE RED COMERCIAL'!$B936</f>
        <v>LA PAMPA</v>
      </c>
      <c r="I938" s="8" t="str">
        <f>+'[1]BASE RED COMERCIAL'!$C936</f>
        <v>TRENEL</v>
      </c>
      <c r="J938" s="10"/>
      <c r="K938" s="10"/>
    </row>
    <row r="939" spans="1:11" x14ac:dyDescent="0.25">
      <c r="A939" s="14" t="str">
        <f>+'[1]BASE RED COMERCIAL'!$A937</f>
        <v>L0010</v>
      </c>
      <c r="B939" s="8" t="str">
        <f>+'[1]BASE RED COMERCIAL'!$H937</f>
        <v>BERNARDO LARROUDE</v>
      </c>
      <c r="C939" s="7" t="s">
        <v>33</v>
      </c>
      <c r="D939" s="9" t="str">
        <f>+'[1]BASE RED COMERCIAL'!$E937</f>
        <v>ROBERTO PEREZ</v>
      </c>
      <c r="E939" s="7">
        <f>+'[1]BASE RED COMERCIAL'!$F937</f>
        <v>337</v>
      </c>
      <c r="F939" s="14" t="str">
        <f>+'[1]BASE RED COMERCIAL'!$I937</f>
        <v>L6220ZAA</v>
      </c>
      <c r="G939" s="7" t="str">
        <f>+'[1]BASE RED COMERCIAL'!$D937</f>
        <v>BERNARDO LARROUDE</v>
      </c>
      <c r="H939" s="7" t="str">
        <f>+'[1]BASE RED COMERCIAL'!$B937</f>
        <v>LA PAMPA</v>
      </c>
      <c r="I939" s="8" t="str">
        <f>+'[1]BASE RED COMERCIAL'!$C937</f>
        <v>CHAPALEUFU</v>
      </c>
      <c r="J939" s="10"/>
      <c r="K939" s="10"/>
    </row>
    <row r="940" spans="1:11" x14ac:dyDescent="0.25">
      <c r="A940" s="14" t="str">
        <f>+'[1]BASE RED COMERCIAL'!$A938</f>
        <v>L0012</v>
      </c>
      <c r="B940" s="8" t="str">
        <f>+'[1]BASE RED COMERCIAL'!$H938</f>
        <v>BERNASCONI</v>
      </c>
      <c r="C940" s="7" t="s">
        <v>33</v>
      </c>
      <c r="D940" s="9" t="str">
        <f>+'[1]BASE RED COMERCIAL'!$E938</f>
        <v>ROMUALDO Y PEDRO NIEVES</v>
      </c>
      <c r="E940" s="7">
        <f>+'[1]BASE RED COMERCIAL'!$F938</f>
        <v>55</v>
      </c>
      <c r="F940" s="14" t="str">
        <f>+'[1]BASE RED COMERCIAL'!$I938</f>
        <v>L8204ZAA</v>
      </c>
      <c r="G940" s="7" t="str">
        <f>+'[1]BASE RED COMERCIAL'!$D938</f>
        <v>BERNASCONI</v>
      </c>
      <c r="H940" s="7" t="str">
        <f>+'[1]BASE RED COMERCIAL'!$B938</f>
        <v>LA PAMPA</v>
      </c>
      <c r="I940" s="8" t="str">
        <f>+'[1]BASE RED COMERCIAL'!$C938</f>
        <v>HUCAL</v>
      </c>
      <c r="J940" s="10"/>
      <c r="K940" s="10"/>
    </row>
    <row r="941" spans="1:11" x14ac:dyDescent="0.25">
      <c r="A941" s="14" t="str">
        <f>+'[1]BASE RED COMERCIAL'!$A939</f>
        <v>L0014</v>
      </c>
      <c r="B941" s="8" t="str">
        <f>+'[1]BASE RED COMERCIAL'!$H939</f>
        <v>CALEUFU</v>
      </c>
      <c r="C941" s="7" t="s">
        <v>33</v>
      </c>
      <c r="D941" s="9" t="str">
        <f>+'[1]BASE RED COMERCIAL'!$E939</f>
        <v>SAN MARTIN</v>
      </c>
      <c r="E941" s="7">
        <f>+'[1]BASE RED COMERCIAL'!$F939</f>
        <v>100</v>
      </c>
      <c r="F941" s="14" t="str">
        <f>+'[1]BASE RED COMERCIAL'!$I939</f>
        <v>L6387ZAA</v>
      </c>
      <c r="G941" s="7" t="str">
        <f>+'[1]BASE RED COMERCIAL'!$D939</f>
        <v>CALEUFU</v>
      </c>
      <c r="H941" s="7" t="str">
        <f>+'[1]BASE RED COMERCIAL'!$B939</f>
        <v>LA PAMPA</v>
      </c>
      <c r="I941" s="8" t="str">
        <f>+'[1]BASE RED COMERCIAL'!$C939</f>
        <v>RANCUL</v>
      </c>
      <c r="J941" s="10"/>
      <c r="K941" s="10"/>
    </row>
    <row r="942" spans="1:11" x14ac:dyDescent="0.25">
      <c r="A942" s="14" t="str">
        <f>+'[1]BASE RED COMERCIAL'!$A940</f>
        <v>L0016</v>
      </c>
      <c r="B942" s="8" t="str">
        <f>+'[1]BASE RED COMERCIAL'!$H940</f>
        <v>CATRILO</v>
      </c>
      <c r="C942" s="7" t="s">
        <v>33</v>
      </c>
      <c r="D942" s="9" t="str">
        <f>+'[1]BASE RED COMERCIAL'!$E940</f>
        <v>ROQUE SAENZ PEÃ‘A</v>
      </c>
      <c r="E942" s="7">
        <f>+'[1]BASE RED COMERCIAL'!$F940</f>
        <v>305</v>
      </c>
      <c r="F942" s="14" t="str">
        <f>+'[1]BASE RED COMERCIAL'!$I940</f>
        <v>L6330ZAA</v>
      </c>
      <c r="G942" s="7" t="str">
        <f>+'[1]BASE RED COMERCIAL'!$D940</f>
        <v>CATRILO</v>
      </c>
      <c r="H942" s="7" t="str">
        <f>+'[1]BASE RED COMERCIAL'!$B940</f>
        <v>LA PAMPA</v>
      </c>
      <c r="I942" s="8" t="str">
        <f>+'[1]BASE RED COMERCIAL'!$C940</f>
        <v>CATRILO</v>
      </c>
      <c r="J942" s="10"/>
      <c r="K942" s="10"/>
    </row>
    <row r="943" spans="1:11" x14ac:dyDescent="0.25">
      <c r="A943" s="14" t="str">
        <f>+'[1]BASE RED COMERCIAL'!$A941</f>
        <v>L0018</v>
      </c>
      <c r="B943" s="8" t="str">
        <f>+'[1]BASE RED COMERCIAL'!$H941</f>
        <v>COLONIA BARON</v>
      </c>
      <c r="C943" s="7" t="s">
        <v>33</v>
      </c>
      <c r="D943" s="9" t="str">
        <f>+'[1]BASE RED COMERCIAL'!$E941</f>
        <v>PTE H YRIGOYEN</v>
      </c>
      <c r="E943" s="7">
        <f>+'[1]BASE RED COMERCIAL'!$F941</f>
        <v>1165</v>
      </c>
      <c r="F943" s="14" t="str">
        <f>+'[1]BASE RED COMERCIAL'!$I941</f>
        <v>L6315ZAA</v>
      </c>
      <c r="G943" s="7" t="str">
        <f>+'[1]BASE RED COMERCIAL'!$D941</f>
        <v>COLONIA BARON</v>
      </c>
      <c r="H943" s="7" t="str">
        <f>+'[1]BASE RED COMERCIAL'!$B941</f>
        <v>LA PAMPA</v>
      </c>
      <c r="I943" s="8" t="str">
        <f>+'[1]BASE RED COMERCIAL'!$C941</f>
        <v>QUEMU QUEMU</v>
      </c>
      <c r="J943" s="10"/>
      <c r="K943" s="10"/>
    </row>
    <row r="944" spans="1:11" x14ac:dyDescent="0.25">
      <c r="A944" s="14" t="str">
        <f>+'[1]BASE RED COMERCIAL'!$A942</f>
        <v>L0020</v>
      </c>
      <c r="B944" s="8" t="str">
        <f>+'[1]BASE RED COMERCIAL'!$H942</f>
        <v>CNEL. HILARIO LAGOS</v>
      </c>
      <c r="C944" s="7" t="s">
        <v>33</v>
      </c>
      <c r="D944" s="9" t="str">
        <f>+'[1]BASE RED COMERCIAL'!$E942</f>
        <v>DR MANUEL BELGRANO</v>
      </c>
      <c r="E944" s="7">
        <f>+'[1]BASE RED COMERCIAL'!$F942</f>
        <v>100</v>
      </c>
      <c r="F944" s="14" t="str">
        <f>+'[1]BASE RED COMERCIAL'!$I942</f>
        <v>L6228ZAA</v>
      </c>
      <c r="G944" s="7" t="str">
        <f>+'[1]BASE RED COMERCIAL'!$D942</f>
        <v>CORONEL HILARIO LAGOS</v>
      </c>
      <c r="H944" s="7" t="str">
        <f>+'[1]BASE RED COMERCIAL'!$B942</f>
        <v>LA PAMPA</v>
      </c>
      <c r="I944" s="8" t="str">
        <f>+'[1]BASE RED COMERCIAL'!$C942</f>
        <v>CHAPALEUFU</v>
      </c>
      <c r="J944" s="10"/>
      <c r="K944" s="10"/>
    </row>
    <row r="945" spans="1:11" x14ac:dyDescent="0.25">
      <c r="A945" s="14" t="str">
        <f>+'[1]BASE RED COMERCIAL'!$A943</f>
        <v>L0022</v>
      </c>
      <c r="B945" s="8" t="str">
        <f>+'[1]BASE RED COMERCIAL'!$H943</f>
        <v>DOBLAS</v>
      </c>
      <c r="C945" s="7" t="s">
        <v>33</v>
      </c>
      <c r="D945" s="9" t="str">
        <f>+'[1]BASE RED COMERCIAL'!$E943</f>
        <v>FRANCISCO LIZASO</v>
      </c>
      <c r="E945" s="7">
        <f>+'[1]BASE RED COMERCIAL'!$F943</f>
        <v>498</v>
      </c>
      <c r="F945" s="14" t="str">
        <f>+'[1]BASE RED COMERCIAL'!$I943</f>
        <v>L6305ZAA</v>
      </c>
      <c r="G945" s="7" t="str">
        <f>+'[1]BASE RED COMERCIAL'!$D943</f>
        <v>DOBLAS</v>
      </c>
      <c r="H945" s="7" t="str">
        <f>+'[1]BASE RED COMERCIAL'!$B943</f>
        <v>LA PAMPA</v>
      </c>
      <c r="I945" s="8" t="str">
        <f>+'[1]BASE RED COMERCIAL'!$C943</f>
        <v>ATREUCO</v>
      </c>
      <c r="J945" s="10"/>
      <c r="K945" s="10"/>
    </row>
    <row r="946" spans="1:11" x14ac:dyDescent="0.25">
      <c r="A946" s="14" t="str">
        <f>+'[1]BASE RED COMERCIAL'!$A944</f>
        <v>L0024</v>
      </c>
      <c r="B946" s="8" t="str">
        <f>+'[1]BASE RED COMERCIAL'!$H944</f>
        <v>EDUARDO CASTEX</v>
      </c>
      <c r="C946" s="7" t="s">
        <v>33</v>
      </c>
      <c r="D946" s="9" t="str">
        <f>+'[1]BASE RED COMERCIAL'!$E944</f>
        <v>ALTE G BROWN</v>
      </c>
      <c r="E946" s="7">
        <f>+'[1]BASE RED COMERCIAL'!$F944</f>
        <v>1141</v>
      </c>
      <c r="F946" s="14" t="str">
        <f>+'[1]BASE RED COMERCIAL'!$I944</f>
        <v>L6380ZAA</v>
      </c>
      <c r="G946" s="7" t="str">
        <f>+'[1]BASE RED COMERCIAL'!$D944</f>
        <v>EDUARDO CASTEX</v>
      </c>
      <c r="H946" s="7" t="str">
        <f>+'[1]BASE RED COMERCIAL'!$B944</f>
        <v>LA PAMPA</v>
      </c>
      <c r="I946" s="8" t="str">
        <f>+'[1]BASE RED COMERCIAL'!$C944</f>
        <v>CONHELO</v>
      </c>
      <c r="J946" s="10"/>
      <c r="K946" s="10"/>
    </row>
    <row r="947" spans="1:11" x14ac:dyDescent="0.25">
      <c r="A947" s="14" t="str">
        <f>+'[1]BASE RED COMERCIAL'!$A945</f>
        <v>L0028</v>
      </c>
      <c r="B947" s="8" t="str">
        <f>+'[1]BASE RED COMERCIAL'!$H945</f>
        <v>EMBAJADOR MARTINI</v>
      </c>
      <c r="C947" s="7" t="s">
        <v>33</v>
      </c>
      <c r="D947" s="9" t="str">
        <f>+'[1]BASE RED COMERCIAL'!$E945</f>
        <v>ALFREDO  NINET</v>
      </c>
      <c r="E947" s="7">
        <f>+'[1]BASE RED COMERCIAL'!$F945</f>
        <v>280</v>
      </c>
      <c r="F947" s="14" t="str">
        <f>+'[1]BASE RED COMERCIAL'!$I945</f>
        <v>L6203ZAA</v>
      </c>
      <c r="G947" s="7" t="str">
        <f>+'[1]BASE RED COMERCIAL'!$D945</f>
        <v>EMBAJADOR MARTINI</v>
      </c>
      <c r="H947" s="7" t="str">
        <f>+'[1]BASE RED COMERCIAL'!$B945</f>
        <v>LA PAMPA</v>
      </c>
      <c r="I947" s="8" t="str">
        <f>+'[1]BASE RED COMERCIAL'!$C945</f>
        <v>REALICO</v>
      </c>
      <c r="J947" s="10"/>
      <c r="K947" s="10"/>
    </row>
    <row r="948" spans="1:11" x14ac:dyDescent="0.25">
      <c r="A948" s="14" t="str">
        <f>+'[1]BASE RED COMERCIAL'!$A946</f>
        <v>L0030</v>
      </c>
      <c r="B948" s="8" t="str">
        <f>+'[1]BASE RED COMERCIAL'!$H946</f>
        <v>GENERAL  ACHA</v>
      </c>
      <c r="C948" s="7" t="s">
        <v>33</v>
      </c>
      <c r="D948" s="9" t="str">
        <f>+'[1]BASE RED COMERCIAL'!$E946</f>
        <v>MANUEL JORGE CAMPOS</v>
      </c>
      <c r="E948" s="7">
        <f>+'[1]BASE RED COMERCIAL'!$F946</f>
        <v>790</v>
      </c>
      <c r="F948" s="14" t="str">
        <f>+'[1]BASE RED COMERCIAL'!$I946</f>
        <v>L8200ZAA</v>
      </c>
      <c r="G948" s="7" t="str">
        <f>+'[1]BASE RED COMERCIAL'!$D946</f>
        <v>GENERAL ACHA</v>
      </c>
      <c r="H948" s="7" t="str">
        <f>+'[1]BASE RED COMERCIAL'!$B946</f>
        <v>LA PAMPA</v>
      </c>
      <c r="I948" s="8" t="str">
        <f>+'[1]BASE RED COMERCIAL'!$C946</f>
        <v>UTRACAN</v>
      </c>
      <c r="J948" s="10"/>
      <c r="K948" s="10"/>
    </row>
    <row r="949" spans="1:11" x14ac:dyDescent="0.25">
      <c r="A949" s="14" t="str">
        <f>+'[1]BASE RED COMERCIAL'!$A947</f>
        <v>L0032</v>
      </c>
      <c r="B949" s="8" t="str">
        <f>+'[1]BASE RED COMERCIAL'!$H947</f>
        <v>GRAL. PICO</v>
      </c>
      <c r="C949" s="7" t="s">
        <v>33</v>
      </c>
      <c r="D949" s="9" t="str">
        <f>+'[1]BASE RED COMERCIAL'!$E947</f>
        <v>CALLE 22</v>
      </c>
      <c r="E949" s="7">
        <f>+'[1]BASE RED COMERCIAL'!$F947</f>
        <v>653</v>
      </c>
      <c r="F949" s="14" t="str">
        <f>+'[1]BASE RED COMERCIAL'!$I947</f>
        <v>L6360ZAA</v>
      </c>
      <c r="G949" s="7" t="str">
        <f>+'[1]BASE RED COMERCIAL'!$D947</f>
        <v>GENERAL PICO</v>
      </c>
      <c r="H949" s="7" t="str">
        <f>+'[1]BASE RED COMERCIAL'!$B947</f>
        <v>LA PAMPA</v>
      </c>
      <c r="I949" s="8" t="str">
        <f>+'[1]BASE RED COMERCIAL'!$C947</f>
        <v>MARACO</v>
      </c>
      <c r="J949" s="10"/>
      <c r="K949" s="10"/>
    </row>
    <row r="950" spans="1:11" x14ac:dyDescent="0.25">
      <c r="A950" s="14" t="str">
        <f>+'[1]BASE RED COMERCIAL'!$A948</f>
        <v>L0034</v>
      </c>
      <c r="B950" s="8" t="str">
        <f>+'[1]BASE RED COMERCIAL'!$H948</f>
        <v>GRAL. SAN MARTIN</v>
      </c>
      <c r="C950" s="7" t="s">
        <v>33</v>
      </c>
      <c r="D950" s="9" t="str">
        <f>+'[1]BASE RED COMERCIAL'!$E948</f>
        <v>DR JOSE INGENIEROS</v>
      </c>
      <c r="E950" s="7">
        <f>+'[1]BASE RED COMERCIAL'!$F948</f>
        <v>250</v>
      </c>
      <c r="F950" s="14" t="str">
        <f>+'[1]BASE RED COMERCIAL'!$I948</f>
        <v>L8206ZAA</v>
      </c>
      <c r="G950" s="7" t="str">
        <f>+'[1]BASE RED COMERCIAL'!$D948</f>
        <v>GENERAL SAN MARTIN</v>
      </c>
      <c r="H950" s="7" t="str">
        <f>+'[1]BASE RED COMERCIAL'!$B948</f>
        <v>LA PAMPA</v>
      </c>
      <c r="I950" s="8" t="str">
        <f>+'[1]BASE RED COMERCIAL'!$C948</f>
        <v>HUCAL</v>
      </c>
      <c r="J950" s="10"/>
      <c r="K950" s="10"/>
    </row>
    <row r="951" spans="1:11" x14ac:dyDescent="0.25">
      <c r="A951" s="14" t="str">
        <f>+'[1]BASE RED COMERCIAL'!$A949</f>
        <v>L0036</v>
      </c>
      <c r="B951" s="8" t="str">
        <f>+'[1]BASE RED COMERCIAL'!$H949</f>
        <v>GUATRACHE</v>
      </c>
      <c r="C951" s="7" t="s">
        <v>33</v>
      </c>
      <c r="D951" s="9" t="str">
        <f>+'[1]BASE RED COMERCIAL'!$E949</f>
        <v>AV COLON</v>
      </c>
      <c r="E951" s="7">
        <f>+'[1]BASE RED COMERCIAL'!$F949</f>
        <v>457</v>
      </c>
      <c r="F951" s="14" t="str">
        <f>+'[1]BASE RED COMERCIAL'!$I949</f>
        <v>L6311ZAA</v>
      </c>
      <c r="G951" s="7" t="str">
        <f>+'[1]BASE RED COMERCIAL'!$D949</f>
        <v>GUATRACHE</v>
      </c>
      <c r="H951" s="7" t="str">
        <f>+'[1]BASE RED COMERCIAL'!$B949</f>
        <v>LA PAMPA</v>
      </c>
      <c r="I951" s="8" t="str">
        <f>+'[1]BASE RED COMERCIAL'!$C949</f>
        <v>GUATRACHE</v>
      </c>
      <c r="J951" s="10"/>
      <c r="K951" s="10"/>
    </row>
    <row r="952" spans="1:11" x14ac:dyDescent="0.25">
      <c r="A952" s="14" t="str">
        <f>+'[1]BASE RED COMERCIAL'!$A950</f>
        <v>L0038</v>
      </c>
      <c r="B952" s="8" t="str">
        <f>+'[1]BASE RED COMERCIAL'!$H950</f>
        <v>ING. LUIGGI</v>
      </c>
      <c r="C952" s="7" t="s">
        <v>33</v>
      </c>
      <c r="D952" s="9" t="str">
        <f>+'[1]BASE RED COMERCIAL'!$E950</f>
        <v>TUCUMAN</v>
      </c>
      <c r="E952" s="7">
        <f>+'[1]BASE RED COMERCIAL'!$F950</f>
        <v>597</v>
      </c>
      <c r="F952" s="14" t="str">
        <f>+'[1]BASE RED COMERCIAL'!$I950</f>
        <v>L6205ZAA</v>
      </c>
      <c r="G952" s="7" t="str">
        <f>+'[1]BASE RED COMERCIAL'!$D950</f>
        <v>INGENIERO LUIGGI</v>
      </c>
      <c r="H952" s="7" t="str">
        <f>+'[1]BASE RED COMERCIAL'!$B950</f>
        <v>LA PAMPA</v>
      </c>
      <c r="I952" s="8" t="str">
        <f>+'[1]BASE RED COMERCIAL'!$C950</f>
        <v>REALICO</v>
      </c>
      <c r="J952" s="10"/>
      <c r="K952" s="10"/>
    </row>
    <row r="953" spans="1:11" x14ac:dyDescent="0.25">
      <c r="A953" s="14" t="str">
        <f>+'[1]BASE RED COMERCIAL'!$A951</f>
        <v>L0040</v>
      </c>
      <c r="B953" s="8" t="str">
        <f>+'[1]BASE RED COMERCIAL'!$H951</f>
        <v>INTENDENTE ALVEAR</v>
      </c>
      <c r="C953" s="7" t="s">
        <v>33</v>
      </c>
      <c r="D953" s="9" t="str">
        <f>+'[1]BASE RED COMERCIAL'!$E951</f>
        <v>CARLOS PELLEGRINI</v>
      </c>
      <c r="E953" s="7">
        <f>+'[1]BASE RED COMERCIAL'!$F951</f>
        <v>494</v>
      </c>
      <c r="F953" s="14" t="str">
        <f>+'[1]BASE RED COMERCIAL'!$I951</f>
        <v>L6221ZAA</v>
      </c>
      <c r="G953" s="7" t="str">
        <f>+'[1]BASE RED COMERCIAL'!$D951</f>
        <v>INTENDENTE ALVEAR</v>
      </c>
      <c r="H953" s="7" t="str">
        <f>+'[1]BASE RED COMERCIAL'!$B951</f>
        <v>LA PAMPA</v>
      </c>
      <c r="I953" s="8" t="str">
        <f>+'[1]BASE RED COMERCIAL'!$C951</f>
        <v>CHAPALEUFU</v>
      </c>
      <c r="J953" s="10"/>
      <c r="K953" s="10"/>
    </row>
    <row r="954" spans="1:11" x14ac:dyDescent="0.25">
      <c r="A954" s="14" t="str">
        <f>+'[1]BASE RED COMERCIAL'!$A952</f>
        <v>L0042</v>
      </c>
      <c r="B954" s="8" t="str">
        <f>+'[1]BASE RED COMERCIAL'!$H952</f>
        <v>JACINTO ARAUZ</v>
      </c>
      <c r="C954" s="7" t="s">
        <v>33</v>
      </c>
      <c r="D954" s="9" t="str">
        <f>+'[1]BASE RED COMERCIAL'!$E952</f>
        <v>ESPAÃ‘A</v>
      </c>
      <c r="E954" s="7">
        <f>+'[1]BASE RED COMERCIAL'!$F952</f>
        <v>928</v>
      </c>
      <c r="F954" s="14" t="str">
        <f>+'[1]BASE RED COMERCIAL'!$I952</f>
        <v>L8208ZAA</v>
      </c>
      <c r="G954" s="7" t="str">
        <f>+'[1]BASE RED COMERCIAL'!$D952</f>
        <v>JACINTO ARAUZ</v>
      </c>
      <c r="H954" s="7" t="str">
        <f>+'[1]BASE RED COMERCIAL'!$B952</f>
        <v>LA PAMPA</v>
      </c>
      <c r="I954" s="8" t="str">
        <f>+'[1]BASE RED COMERCIAL'!$C952</f>
        <v>HUCAL</v>
      </c>
      <c r="J954" s="10"/>
      <c r="K954" s="10"/>
    </row>
    <row r="955" spans="1:11" x14ac:dyDescent="0.25">
      <c r="A955" s="14" t="str">
        <f>+'[1]BASE RED COMERCIAL'!$A953</f>
        <v>L0044</v>
      </c>
      <c r="B955" s="8" t="str">
        <f>+'[1]BASE RED COMERCIAL'!$H953</f>
        <v>LONQUIMAY</v>
      </c>
      <c r="C955" s="7" t="s">
        <v>33</v>
      </c>
      <c r="D955" s="9" t="str">
        <f>+'[1]BASE RED COMERCIAL'!$E953</f>
        <v>JUAN TAMBORINI</v>
      </c>
      <c r="E955" s="7">
        <f>+'[1]BASE RED COMERCIAL'!$F953</f>
        <v>1</v>
      </c>
      <c r="F955" s="14" t="str">
        <f>+'[1]BASE RED COMERCIAL'!$I953</f>
        <v>L6352ZAA</v>
      </c>
      <c r="G955" s="7" t="str">
        <f>+'[1]BASE RED COMERCIAL'!$D953</f>
        <v>LONQUIMAY</v>
      </c>
      <c r="H955" s="7" t="str">
        <f>+'[1]BASE RED COMERCIAL'!$B953</f>
        <v>LA PAMPA</v>
      </c>
      <c r="I955" s="8" t="str">
        <f>+'[1]BASE RED COMERCIAL'!$C953</f>
        <v>CATRILO</v>
      </c>
      <c r="J955" s="10"/>
      <c r="K955" s="10"/>
    </row>
    <row r="956" spans="1:11" x14ac:dyDescent="0.25">
      <c r="A956" s="14" t="str">
        <f>+'[1]BASE RED COMERCIAL'!$A954</f>
        <v>L0046</v>
      </c>
      <c r="B956" s="8" t="str">
        <f>+'[1]BASE RED COMERCIAL'!$H954</f>
        <v>MACACHIN</v>
      </c>
      <c r="C956" s="7" t="s">
        <v>33</v>
      </c>
      <c r="D956" s="9" t="str">
        <f>+'[1]BASE RED COMERCIAL'!$E954</f>
        <v>SANTA FE</v>
      </c>
      <c r="E956" s="7">
        <f>+'[1]BASE RED COMERCIAL'!$F954</f>
        <v>350</v>
      </c>
      <c r="F956" s="14" t="str">
        <f>+'[1]BASE RED COMERCIAL'!$I954</f>
        <v>L6307ZAA</v>
      </c>
      <c r="G956" s="7" t="str">
        <f>+'[1]BASE RED COMERCIAL'!$D954</f>
        <v>MACACHIN</v>
      </c>
      <c r="H956" s="7" t="str">
        <f>+'[1]BASE RED COMERCIAL'!$B954</f>
        <v>LA PAMPA</v>
      </c>
      <c r="I956" s="8" t="str">
        <f>+'[1]BASE RED COMERCIAL'!$C954</f>
        <v>ATREUCO</v>
      </c>
      <c r="J956" s="10"/>
      <c r="K956" s="10"/>
    </row>
    <row r="957" spans="1:11" x14ac:dyDescent="0.25">
      <c r="A957" s="14" t="str">
        <f>+'[1]BASE RED COMERCIAL'!$A955</f>
        <v>L0048</v>
      </c>
      <c r="B957" s="8" t="str">
        <f>+'[1]BASE RED COMERCIAL'!$H955</f>
        <v>MIGUEL CANE</v>
      </c>
      <c r="C957" s="7" t="s">
        <v>33</v>
      </c>
      <c r="D957" s="9" t="str">
        <f>+'[1]BASE RED COMERCIAL'!$E955</f>
        <v>SAN MARTIN</v>
      </c>
      <c r="E957" s="7">
        <f>+'[1]BASE RED COMERCIAL'!$F955</f>
        <v>431</v>
      </c>
      <c r="F957" s="14" t="str">
        <f>+'[1]BASE RED COMERCIAL'!$I955</f>
        <v>L6331ZAA</v>
      </c>
      <c r="G957" s="7" t="str">
        <f>+'[1]BASE RED COMERCIAL'!$D955</f>
        <v>MIGUEL CANE</v>
      </c>
      <c r="H957" s="7" t="str">
        <f>+'[1]BASE RED COMERCIAL'!$B955</f>
        <v>LA PAMPA</v>
      </c>
      <c r="I957" s="8" t="str">
        <f>+'[1]BASE RED COMERCIAL'!$C955</f>
        <v>QUEMU QUEMU</v>
      </c>
      <c r="J957" s="10"/>
      <c r="K957" s="10"/>
    </row>
    <row r="958" spans="1:11" x14ac:dyDescent="0.25">
      <c r="A958" s="14" t="str">
        <f>+'[1]BASE RED COMERCIAL'!$A956</f>
        <v>L0050</v>
      </c>
      <c r="B958" s="8" t="str">
        <f>+'[1]BASE RED COMERCIAL'!$H956</f>
        <v>MIGUEL RIGLOS</v>
      </c>
      <c r="C958" s="7" t="s">
        <v>33</v>
      </c>
      <c r="D958" s="9" t="str">
        <f>+'[1]BASE RED COMERCIAL'!$E956</f>
        <v>AV GRAL SAN MARTIN</v>
      </c>
      <c r="E958" s="7">
        <f>+'[1]BASE RED COMERCIAL'!$F956</f>
        <v>450</v>
      </c>
      <c r="F958" s="14" t="str">
        <f>+'[1]BASE RED COMERCIAL'!$I956</f>
        <v>L6301ZAA</v>
      </c>
      <c r="G958" s="7" t="str">
        <f>+'[1]BASE RED COMERCIAL'!$D956</f>
        <v>MIGUEL RIGLOS</v>
      </c>
      <c r="H958" s="7" t="str">
        <f>+'[1]BASE RED COMERCIAL'!$B956</f>
        <v>LA PAMPA</v>
      </c>
      <c r="I958" s="8" t="str">
        <f>+'[1]BASE RED COMERCIAL'!$C956</f>
        <v>ATREUCO</v>
      </c>
      <c r="J958" s="10"/>
      <c r="K958" s="10"/>
    </row>
    <row r="959" spans="1:11" x14ac:dyDescent="0.25">
      <c r="A959" s="14" t="str">
        <f>+'[1]BASE RED COMERCIAL'!$A957</f>
        <v>L0052</v>
      </c>
      <c r="B959" s="8" t="str">
        <f>+'[1]BASE RED COMERCIAL'!$H957</f>
        <v>PARERA</v>
      </c>
      <c r="C959" s="7" t="s">
        <v>33</v>
      </c>
      <c r="D959" s="9" t="str">
        <f>+'[1]BASE RED COMERCIAL'!$E957</f>
        <v>LIBERTAD</v>
      </c>
      <c r="E959" s="7">
        <f>+'[1]BASE RED COMERCIAL'!$F957</f>
        <v>444</v>
      </c>
      <c r="F959" s="14" t="str">
        <f>+'[1]BASE RED COMERCIAL'!$I957</f>
        <v>L6213ZAA</v>
      </c>
      <c r="G959" s="7" t="str">
        <f>+'[1]BASE RED COMERCIAL'!$D957</f>
        <v>PARERA</v>
      </c>
      <c r="H959" s="7" t="str">
        <f>+'[1]BASE RED COMERCIAL'!$B957</f>
        <v>LA PAMPA</v>
      </c>
      <c r="I959" s="8" t="str">
        <f>+'[1]BASE RED COMERCIAL'!$C957</f>
        <v>RANCUL</v>
      </c>
      <c r="J959" s="10"/>
      <c r="K959" s="10"/>
    </row>
    <row r="960" spans="1:11" x14ac:dyDescent="0.25">
      <c r="A960" s="14" t="str">
        <f>+'[1]BASE RED COMERCIAL'!$A958</f>
        <v>L0054</v>
      </c>
      <c r="B960" s="8" t="str">
        <f>+'[1]BASE RED COMERCIAL'!$H958</f>
        <v>QUEMU QUEMU</v>
      </c>
      <c r="C960" s="7" t="s">
        <v>33</v>
      </c>
      <c r="D960" s="9" t="str">
        <f>+'[1]BASE RED COMERCIAL'!$E958</f>
        <v>SARMIENTO</v>
      </c>
      <c r="E960" s="7">
        <f>+'[1]BASE RED COMERCIAL'!$F958</f>
        <v>290</v>
      </c>
      <c r="F960" s="14" t="str">
        <f>+'[1]BASE RED COMERCIAL'!$I958</f>
        <v>L6333ZAA</v>
      </c>
      <c r="G960" s="7" t="str">
        <f>+'[1]BASE RED COMERCIAL'!$D958</f>
        <v>QUEMU QUEMU</v>
      </c>
      <c r="H960" s="7" t="str">
        <f>+'[1]BASE RED COMERCIAL'!$B958</f>
        <v>LA PAMPA</v>
      </c>
      <c r="I960" s="8" t="str">
        <f>+'[1]BASE RED COMERCIAL'!$C958</f>
        <v>QUEMU QUEMU</v>
      </c>
      <c r="J960" s="10"/>
      <c r="K960" s="10"/>
    </row>
    <row r="961" spans="1:11" x14ac:dyDescent="0.25">
      <c r="A961" s="14" t="str">
        <f>+'[1]BASE RED COMERCIAL'!$A959</f>
        <v>L0056</v>
      </c>
      <c r="B961" s="8" t="str">
        <f>+'[1]BASE RED COMERCIAL'!$H959</f>
        <v>RANCUL</v>
      </c>
      <c r="C961" s="7" t="s">
        <v>33</v>
      </c>
      <c r="D961" s="9" t="str">
        <f>+'[1]BASE RED COMERCIAL'!$E959</f>
        <v>MITRE</v>
      </c>
      <c r="E961" s="7">
        <f>+'[1]BASE RED COMERCIAL'!$F959</f>
        <v>231</v>
      </c>
      <c r="F961" s="14" t="str">
        <f>+'[1]BASE RED COMERCIAL'!$I959</f>
        <v>L6214ZAA</v>
      </c>
      <c r="G961" s="7" t="str">
        <f>+'[1]BASE RED COMERCIAL'!$D959</f>
        <v>RANCUL</v>
      </c>
      <c r="H961" s="7" t="str">
        <f>+'[1]BASE RED COMERCIAL'!$B959</f>
        <v>LA PAMPA</v>
      </c>
      <c r="I961" s="8" t="str">
        <f>+'[1]BASE RED COMERCIAL'!$C959</f>
        <v>RANCUL</v>
      </c>
      <c r="J961" s="10"/>
      <c r="K961" s="10"/>
    </row>
    <row r="962" spans="1:11" x14ac:dyDescent="0.25">
      <c r="A962" s="14" t="str">
        <f>+'[1]BASE RED COMERCIAL'!$A960</f>
        <v>L0058</v>
      </c>
      <c r="B962" s="8" t="str">
        <f>+'[1]BASE RED COMERCIAL'!$H960</f>
        <v>REALICO</v>
      </c>
      <c r="C962" s="7" t="s">
        <v>33</v>
      </c>
      <c r="D962" s="9" t="str">
        <f>+'[1]BASE RED COMERCIAL'!$E960</f>
        <v>FRANCIA</v>
      </c>
      <c r="E962" s="7">
        <f>+'[1]BASE RED COMERCIAL'!$F960</f>
        <v>1443</v>
      </c>
      <c r="F962" s="14" t="str">
        <f>+'[1]BASE RED COMERCIAL'!$I960</f>
        <v>L6200ZAA</v>
      </c>
      <c r="G962" s="7" t="str">
        <f>+'[1]BASE RED COMERCIAL'!$D960</f>
        <v>REALICO</v>
      </c>
      <c r="H962" s="7" t="str">
        <f>+'[1]BASE RED COMERCIAL'!$B960</f>
        <v>LA PAMPA</v>
      </c>
      <c r="I962" s="8" t="str">
        <f>+'[1]BASE RED COMERCIAL'!$C960</f>
        <v>REALICO</v>
      </c>
      <c r="J962" s="10"/>
      <c r="K962" s="10"/>
    </row>
    <row r="963" spans="1:11" x14ac:dyDescent="0.25">
      <c r="A963" s="14" t="str">
        <f>+'[1]BASE RED COMERCIAL'!$A961</f>
        <v>L0060</v>
      </c>
      <c r="B963" s="8" t="str">
        <f>+'[1]BASE RED COMERCIAL'!$H961</f>
        <v>ROLON</v>
      </c>
      <c r="C963" s="7" t="s">
        <v>33</v>
      </c>
      <c r="D963" s="9" t="str">
        <f>+'[1]BASE RED COMERCIAL'!$E961</f>
        <v>LIBERTAD</v>
      </c>
      <c r="E963" s="7">
        <f>+'[1]BASE RED COMERCIAL'!$F961</f>
        <v>121</v>
      </c>
      <c r="F963" s="14" t="str">
        <f>+'[1]BASE RED COMERCIAL'!$I961</f>
        <v>L6306ZAA</v>
      </c>
      <c r="G963" s="7" t="str">
        <f>+'[1]BASE RED COMERCIAL'!$D961</f>
        <v>ROLON</v>
      </c>
      <c r="H963" s="7" t="str">
        <f>+'[1]BASE RED COMERCIAL'!$B961</f>
        <v>LA PAMPA</v>
      </c>
      <c r="I963" s="8" t="str">
        <f>+'[1]BASE RED COMERCIAL'!$C961</f>
        <v>ATREUCO</v>
      </c>
      <c r="J963" s="10"/>
      <c r="K963" s="10"/>
    </row>
    <row r="964" spans="1:11" x14ac:dyDescent="0.25">
      <c r="A964" s="14" t="str">
        <f>+'[1]BASE RED COMERCIAL'!$A962</f>
        <v>L0062</v>
      </c>
      <c r="B964" s="8" t="str">
        <f>+'[1]BASE RED COMERCIAL'!$H962</f>
        <v>TELEN</v>
      </c>
      <c r="C964" s="7" t="s">
        <v>33</v>
      </c>
      <c r="D964" s="9" t="str">
        <f>+'[1]BASE RED COMERCIAL'!$E962</f>
        <v>AV GRAL SAN MARTIN</v>
      </c>
      <c r="E964" s="7">
        <f>+'[1]BASE RED COMERCIAL'!$F962</f>
        <v>532</v>
      </c>
      <c r="F964" s="14" t="str">
        <f>+'[1]BASE RED COMERCIAL'!$I962</f>
        <v>L6321ZAA</v>
      </c>
      <c r="G964" s="7" t="str">
        <f>+'[1]BASE RED COMERCIAL'!$D962</f>
        <v>TELEN</v>
      </c>
      <c r="H964" s="7" t="str">
        <f>+'[1]BASE RED COMERCIAL'!$B962</f>
        <v>LA PAMPA</v>
      </c>
      <c r="I964" s="8" t="str">
        <f>+'[1]BASE RED COMERCIAL'!$C962</f>
        <v>LOVENTUE</v>
      </c>
      <c r="J964" s="10"/>
      <c r="K964" s="10"/>
    </row>
    <row r="965" spans="1:11" x14ac:dyDescent="0.25">
      <c r="A965" s="14" t="str">
        <f>+'[1]BASE RED COMERCIAL'!$A963</f>
        <v>L0064</v>
      </c>
      <c r="B965" s="8" t="str">
        <f>+'[1]BASE RED COMERCIAL'!$H963</f>
        <v>TOAY</v>
      </c>
      <c r="C965" s="7" t="s">
        <v>33</v>
      </c>
      <c r="D965" s="9" t="str">
        <f>+'[1]BASE RED COMERCIAL'!$E963</f>
        <v>9 DE JULIO</v>
      </c>
      <c r="E965" s="7">
        <f>+'[1]BASE RED COMERCIAL'!$F963</f>
        <v>465</v>
      </c>
      <c r="F965" s="14" t="str">
        <f>+'[1]BASE RED COMERCIAL'!$I963</f>
        <v>L6303ZAA</v>
      </c>
      <c r="G965" s="7" t="str">
        <f>+'[1]BASE RED COMERCIAL'!$D963</f>
        <v>TOAY</v>
      </c>
      <c r="H965" s="7" t="str">
        <f>+'[1]BASE RED COMERCIAL'!$B963</f>
        <v>LA PAMPA</v>
      </c>
      <c r="I965" s="8" t="str">
        <f>+'[1]BASE RED COMERCIAL'!$C963</f>
        <v>TOAY</v>
      </c>
      <c r="J965" s="10"/>
      <c r="K965" s="10"/>
    </row>
    <row r="966" spans="1:11" x14ac:dyDescent="0.25">
      <c r="A966" s="14" t="str">
        <f>+'[1]BASE RED COMERCIAL'!$A964</f>
        <v>L0066</v>
      </c>
      <c r="B966" s="8" t="str">
        <f>+'[1]BASE RED COMERCIAL'!$H964</f>
        <v>TRENEL</v>
      </c>
      <c r="C966" s="7" t="s">
        <v>33</v>
      </c>
      <c r="D966" s="9" t="str">
        <f>+'[1]BASE RED COMERCIAL'!$E964</f>
        <v>VIRREY P DE CEVALLOS</v>
      </c>
      <c r="E966" s="7">
        <f>+'[1]BASE RED COMERCIAL'!$F964</f>
        <v>45</v>
      </c>
      <c r="F966" s="14" t="str">
        <f>+'[1]BASE RED COMERCIAL'!$I964</f>
        <v>L6369ZAA</v>
      </c>
      <c r="G966" s="7" t="str">
        <f>+'[1]BASE RED COMERCIAL'!$D964</f>
        <v>TRENEL</v>
      </c>
      <c r="H966" s="7" t="str">
        <f>+'[1]BASE RED COMERCIAL'!$B964</f>
        <v>LA PAMPA</v>
      </c>
      <c r="I966" s="8" t="str">
        <f>+'[1]BASE RED COMERCIAL'!$C964</f>
        <v>TRENEL</v>
      </c>
      <c r="J966" s="10"/>
      <c r="K966" s="10"/>
    </row>
    <row r="967" spans="1:11" x14ac:dyDescent="0.25">
      <c r="A967" s="14" t="str">
        <f>+'[1]BASE RED COMERCIAL'!$A965</f>
        <v>L0068</v>
      </c>
      <c r="B967" s="8" t="str">
        <f>+'[1]BASE RED COMERCIAL'!$H965</f>
        <v>URIBURU</v>
      </c>
      <c r="C967" s="7" t="s">
        <v>33</v>
      </c>
      <c r="D967" s="9" t="str">
        <f>+'[1]BASE RED COMERCIAL'!$E965</f>
        <v>DOCTOR FOLLZ</v>
      </c>
      <c r="E967" s="7">
        <f>+'[1]BASE RED COMERCIAL'!$F965</f>
        <v>0</v>
      </c>
      <c r="F967" s="14" t="str">
        <f>+'[1]BASE RED COMERCIAL'!$I965</f>
        <v>L6354ZAA</v>
      </c>
      <c r="G967" s="7" t="str">
        <f>+'[1]BASE RED COMERCIAL'!$D965</f>
        <v>URIBURU</v>
      </c>
      <c r="H967" s="7" t="str">
        <f>+'[1]BASE RED COMERCIAL'!$B965</f>
        <v>LA PAMPA</v>
      </c>
      <c r="I967" s="8" t="str">
        <f>+'[1]BASE RED COMERCIAL'!$C965</f>
        <v>CATRILO</v>
      </c>
      <c r="J967" s="10"/>
      <c r="K967" s="10"/>
    </row>
    <row r="968" spans="1:11" x14ac:dyDescent="0.25">
      <c r="A968" s="14" t="str">
        <f>+'[1]BASE RED COMERCIAL'!$A966</f>
        <v>L0070</v>
      </c>
      <c r="B968" s="8" t="str">
        <f>+'[1]BASE RED COMERCIAL'!$H966</f>
        <v>VEINTICINCO DE MAYO</v>
      </c>
      <c r="C968" s="7" t="s">
        <v>33</v>
      </c>
      <c r="D968" s="9" t="str">
        <f>+'[1]BASE RED COMERCIAL'!$E966</f>
        <v>PRES J FIGUEROA ALCORTA</v>
      </c>
      <c r="E968" s="7">
        <f>+'[1]BASE RED COMERCIAL'!$F966</f>
        <v>394</v>
      </c>
      <c r="F968" s="14" t="str">
        <f>+'[1]BASE RED COMERCIAL'!$I966</f>
        <v>L8201ZAA</v>
      </c>
      <c r="G968" s="7" t="str">
        <f>+'[1]BASE RED COMERCIAL'!$D966</f>
        <v>25 DE MAYO</v>
      </c>
      <c r="H968" s="7" t="str">
        <f>+'[1]BASE RED COMERCIAL'!$B966</f>
        <v>LA PAMPA</v>
      </c>
      <c r="I968" s="8" t="str">
        <f>+'[1]BASE RED COMERCIAL'!$C966</f>
        <v>PUELEN</v>
      </c>
      <c r="J968" s="10"/>
      <c r="K968" s="10"/>
    </row>
    <row r="969" spans="1:11" x14ac:dyDescent="0.25">
      <c r="A969" s="14" t="str">
        <f>+'[1]BASE RED COMERCIAL'!$A967</f>
        <v>L0072</v>
      </c>
      <c r="B969" s="8" t="str">
        <f>+'[1]BASE RED COMERCIAL'!$H967</f>
        <v>VICTORICA</v>
      </c>
      <c r="C969" s="7" t="s">
        <v>33</v>
      </c>
      <c r="D969" s="9" t="str">
        <f>+'[1]BASE RED COMERCIAL'!$E967</f>
        <v>CALLE 17</v>
      </c>
      <c r="E969" s="7">
        <f>+'[1]BASE RED COMERCIAL'!$F967</f>
        <v>996</v>
      </c>
      <c r="F969" s="14" t="str">
        <f>+'[1]BASE RED COMERCIAL'!$I967</f>
        <v>L6319ZAA</v>
      </c>
      <c r="G969" s="7" t="str">
        <f>+'[1]BASE RED COMERCIAL'!$D967</f>
        <v>VICTORICA</v>
      </c>
      <c r="H969" s="7" t="str">
        <f>+'[1]BASE RED COMERCIAL'!$B967</f>
        <v>LA PAMPA</v>
      </c>
      <c r="I969" s="8" t="str">
        <f>+'[1]BASE RED COMERCIAL'!$C967</f>
        <v>LOVENTUE</v>
      </c>
      <c r="J969" s="10"/>
      <c r="K969" s="10"/>
    </row>
    <row r="970" spans="1:11" x14ac:dyDescent="0.25">
      <c r="A970" s="14" t="str">
        <f>+'[1]BASE RED COMERCIAL'!$A968</f>
        <v>L0074</v>
      </c>
      <c r="B970" s="8" t="str">
        <f>+'[1]BASE RED COMERCIAL'!$H968</f>
        <v>WINIFREDA</v>
      </c>
      <c r="C970" s="7" t="s">
        <v>33</v>
      </c>
      <c r="D970" s="9" t="str">
        <f>+'[1]BASE RED COMERCIAL'!$E968</f>
        <v>MANUEL BELGRANO</v>
      </c>
      <c r="E970" s="7">
        <f>+'[1]BASE RED COMERCIAL'!$F968</f>
        <v>315</v>
      </c>
      <c r="F970" s="14" t="str">
        <f>+'[1]BASE RED COMERCIAL'!$I968</f>
        <v>L6313ZAA</v>
      </c>
      <c r="G970" s="7" t="str">
        <f>+'[1]BASE RED COMERCIAL'!$D968</f>
        <v>WINIFREDA</v>
      </c>
      <c r="H970" s="7" t="str">
        <f>+'[1]BASE RED COMERCIAL'!$B968</f>
        <v>LA PAMPA</v>
      </c>
      <c r="I970" s="8" t="str">
        <f>+'[1]BASE RED COMERCIAL'!$C968</f>
        <v>CONHELO</v>
      </c>
      <c r="J970" s="10"/>
      <c r="K970" s="10"/>
    </row>
    <row r="971" spans="1:11" x14ac:dyDescent="0.25">
      <c r="A971" s="14" t="str">
        <f>+'[1]BASE RED COMERCIAL'!$A969</f>
        <v>L1002</v>
      </c>
      <c r="B971" s="8" t="str">
        <f>+'[1]BASE RED COMERCIAL'!$H969</f>
        <v>AGENCIA NÂº 1</v>
      </c>
      <c r="C971" s="7" t="s">
        <v>33</v>
      </c>
      <c r="D971" s="9" t="str">
        <f>+'[1]BASE RED COMERCIAL'!$E969</f>
        <v>S/C</v>
      </c>
      <c r="E971" s="7">
        <f>+'[1]BASE RED COMERCIAL'!$F969</f>
        <v>0</v>
      </c>
      <c r="F971" s="14" t="str">
        <f>+'[1]BASE RED COMERCIAL'!$I969</f>
        <v>L6302ZAA</v>
      </c>
      <c r="G971" s="7" t="str">
        <f>+'[1]BASE RED COMERCIAL'!$D969</f>
        <v>SANTA ROSA</v>
      </c>
      <c r="H971" s="7" t="str">
        <f>+'[1]BASE RED COMERCIAL'!$B969</f>
        <v>LA PAMPA</v>
      </c>
      <c r="I971" s="8" t="str">
        <f>+'[1]BASE RED COMERCIAL'!$C969</f>
        <v>CAPITAL</v>
      </c>
      <c r="J971" s="10"/>
      <c r="K971" s="10"/>
    </row>
    <row r="972" spans="1:11" x14ac:dyDescent="0.25">
      <c r="A972" s="14" t="str">
        <f>+'[1]BASE RED COMERCIAL'!$A970</f>
        <v>L1030</v>
      </c>
      <c r="B972" s="8" t="str">
        <f>+'[1]BASE RED COMERCIAL'!$H970</f>
        <v>LA MARUJA</v>
      </c>
      <c r="C972" s="7" t="s">
        <v>33</v>
      </c>
      <c r="D972" s="9" t="str">
        <f>+'[1]BASE RED COMERCIAL'!$E970</f>
        <v>SGTO CABRAL</v>
      </c>
      <c r="E972" s="7">
        <f>+'[1]BASE RED COMERCIAL'!$F970</f>
        <v>100</v>
      </c>
      <c r="F972" s="14" t="str">
        <f>+'[1]BASE RED COMERCIAL'!$I970</f>
        <v>L6386ZAA</v>
      </c>
      <c r="G972" s="7" t="str">
        <f>+'[1]BASE RED COMERCIAL'!$D970</f>
        <v>LA MARUJA</v>
      </c>
      <c r="H972" s="7" t="str">
        <f>+'[1]BASE RED COMERCIAL'!$B970</f>
        <v>LA PAMPA</v>
      </c>
      <c r="I972" s="8" t="str">
        <f>+'[1]BASE RED COMERCIAL'!$C970</f>
        <v>RANCUL</v>
      </c>
      <c r="J972" s="10"/>
      <c r="K972" s="10"/>
    </row>
    <row r="973" spans="1:11" x14ac:dyDescent="0.25">
      <c r="A973" s="14" t="str">
        <f>+'[1]BASE RED COMERCIAL'!$A971</f>
        <v>F0000</v>
      </c>
      <c r="B973" s="8" t="str">
        <f>+'[1]BASE RED COMERCIAL'!$H971</f>
        <v>LA RIOJA</v>
      </c>
      <c r="C973" s="7" t="s">
        <v>33</v>
      </c>
      <c r="D973" s="9" t="str">
        <f>+'[1]BASE RED COMERCIAL'!$E971</f>
        <v>AV PTE J D PERON</v>
      </c>
      <c r="E973" s="7">
        <f>+'[1]BASE RED COMERCIAL'!$F971</f>
        <v>258</v>
      </c>
      <c r="F973" s="14" t="str">
        <f>+'[1]BASE RED COMERCIAL'!$I971</f>
        <v>F5300ZAA</v>
      </c>
      <c r="G973" s="7" t="str">
        <f>+'[1]BASE RED COMERCIAL'!$D971</f>
        <v>LA RIOJA</v>
      </c>
      <c r="H973" s="7" t="str">
        <f>+'[1]BASE RED COMERCIAL'!$B971</f>
        <v>LA RIOJA</v>
      </c>
      <c r="I973" s="8" t="str">
        <f>+'[1]BASE RED COMERCIAL'!$C971</f>
        <v>CAPITAL</v>
      </c>
      <c r="J973" s="10"/>
      <c r="K973" s="10"/>
    </row>
    <row r="974" spans="1:11" x14ac:dyDescent="0.25">
      <c r="A974" s="14" t="str">
        <f>+'[1]BASE RED COMERCIAL'!$A972</f>
        <v>F0002</v>
      </c>
      <c r="B974" s="8" t="str">
        <f>+'[1]BASE RED COMERCIAL'!$H972</f>
        <v>AIMOGASTA</v>
      </c>
      <c r="C974" s="7" t="s">
        <v>33</v>
      </c>
      <c r="D974" s="9" t="str">
        <f>+'[1]BASE RED COMERCIAL'!$E972</f>
        <v>9 DE JULIO</v>
      </c>
      <c r="E974" s="7">
        <f>+'[1]BASE RED COMERCIAL'!$F972</f>
        <v>229</v>
      </c>
      <c r="F974" s="14" t="str">
        <f>+'[1]BASE RED COMERCIAL'!$I972</f>
        <v>F5310ZAA</v>
      </c>
      <c r="G974" s="7" t="str">
        <f>+'[1]BASE RED COMERCIAL'!$D972</f>
        <v>AIMOGASTA</v>
      </c>
      <c r="H974" s="7" t="str">
        <f>+'[1]BASE RED COMERCIAL'!$B972</f>
        <v>LA RIOJA</v>
      </c>
      <c r="I974" s="8" t="str">
        <f>+'[1]BASE RED COMERCIAL'!$C972</f>
        <v>ARAUCO</v>
      </c>
      <c r="J974" s="10"/>
      <c r="K974" s="10"/>
    </row>
    <row r="975" spans="1:11" x14ac:dyDescent="0.25">
      <c r="A975" s="14" t="str">
        <f>+'[1]BASE RED COMERCIAL'!$A973</f>
        <v>F0004</v>
      </c>
      <c r="B975" s="8" t="str">
        <f>+'[1]BASE RED COMERCIAL'!$H973</f>
        <v>AMINGA</v>
      </c>
      <c r="C975" s="7" t="s">
        <v>33</v>
      </c>
      <c r="D975" s="9" t="str">
        <f>+'[1]BASE RED COMERCIAL'!$E973</f>
        <v>CASTRO BARROS</v>
      </c>
      <c r="E975" s="7">
        <f>+'[1]BASE RED COMERCIAL'!$F973</f>
        <v>0</v>
      </c>
      <c r="F975" s="14" t="str">
        <f>+'[1]BASE RED COMERCIAL'!$I973</f>
        <v>F5301ZAA</v>
      </c>
      <c r="G975" s="7" t="str">
        <f>+'[1]BASE RED COMERCIAL'!$D973</f>
        <v>AMINGA</v>
      </c>
      <c r="H975" s="7" t="str">
        <f>+'[1]BASE RED COMERCIAL'!$B973</f>
        <v>LA RIOJA</v>
      </c>
      <c r="I975" s="8" t="str">
        <f>+'[1]BASE RED COMERCIAL'!$C973</f>
        <v>CASTRO BARROS</v>
      </c>
      <c r="J975" s="10"/>
      <c r="K975" s="10"/>
    </row>
    <row r="976" spans="1:11" x14ac:dyDescent="0.25">
      <c r="A976" s="14" t="str">
        <f>+'[1]BASE RED COMERCIAL'!$A974</f>
        <v>F0008</v>
      </c>
      <c r="B976" s="8" t="str">
        <f>+'[1]BASE RED COMERCIAL'!$H974</f>
        <v>ANILLACO</v>
      </c>
      <c r="C976" s="7" t="s">
        <v>33</v>
      </c>
      <c r="D976" s="9" t="str">
        <f>+'[1]BASE RED COMERCIAL'!$E974</f>
        <v>AV CNEL N BARROS</v>
      </c>
      <c r="E976" s="7">
        <f>+'[1]BASE RED COMERCIAL'!$F974</f>
        <v>0</v>
      </c>
      <c r="F976" s="14" t="str">
        <f>+'[1]BASE RED COMERCIAL'!$I974</f>
        <v>F5330ZAA</v>
      </c>
      <c r="G976" s="7" t="str">
        <f>+'[1]BASE RED COMERCIAL'!$D974</f>
        <v>ANILLACO</v>
      </c>
      <c r="H976" s="7" t="str">
        <f>+'[1]BASE RED COMERCIAL'!$B974</f>
        <v>LA RIOJA</v>
      </c>
      <c r="I976" s="8" t="str">
        <f>+'[1]BASE RED COMERCIAL'!$C974</f>
        <v>CASTRO BARROS</v>
      </c>
      <c r="J976" s="10"/>
      <c r="K976" s="10"/>
    </row>
    <row r="977" spans="1:11" x14ac:dyDescent="0.25">
      <c r="A977" s="14" t="str">
        <f>+'[1]BASE RED COMERCIAL'!$A975</f>
        <v>F0010</v>
      </c>
      <c r="B977" s="8" t="str">
        <f>+'[1]BASE RED COMERCIAL'!$H975</f>
        <v>ANJULLON</v>
      </c>
      <c r="C977" s="7" t="s">
        <v>33</v>
      </c>
      <c r="D977" s="9" t="str">
        <f>+'[1]BASE RED COMERCIAL'!$E975</f>
        <v>CASTRO BARROS</v>
      </c>
      <c r="E977" s="7">
        <f>+'[1]BASE RED COMERCIAL'!$F975</f>
        <v>33</v>
      </c>
      <c r="F977" s="14" t="str">
        <f>+'[1]BASE RED COMERCIAL'!$I975</f>
        <v>F5303ZAA</v>
      </c>
      <c r="G977" s="7" t="str">
        <f>+'[1]BASE RED COMERCIAL'!$D975</f>
        <v>ANJULLON</v>
      </c>
      <c r="H977" s="7" t="str">
        <f>+'[1]BASE RED COMERCIAL'!$B975</f>
        <v>LA RIOJA</v>
      </c>
      <c r="I977" s="8" t="str">
        <f>+'[1]BASE RED COMERCIAL'!$C975</f>
        <v>CASTRO BARROS</v>
      </c>
      <c r="J977" s="10"/>
      <c r="K977" s="10"/>
    </row>
    <row r="978" spans="1:11" x14ac:dyDescent="0.25">
      <c r="A978" s="14" t="str">
        <f>+'[1]BASE RED COMERCIAL'!$A976</f>
        <v>F0012</v>
      </c>
      <c r="B978" s="8" t="str">
        <f>+'[1]BASE RED COMERCIAL'!$H976</f>
        <v>CAMPANAS</v>
      </c>
      <c r="C978" s="7" t="s">
        <v>33</v>
      </c>
      <c r="D978" s="9" t="str">
        <f>+'[1]BASE RED COMERCIAL'!$E976</f>
        <v>S/C</v>
      </c>
      <c r="E978" s="7">
        <f>+'[1]BASE RED COMERCIAL'!$F976</f>
        <v>0</v>
      </c>
      <c r="F978" s="14" t="str">
        <f>+'[1]BASE RED COMERCIAL'!$I976</f>
        <v>F5366ZAA</v>
      </c>
      <c r="G978" s="7" t="str">
        <f>+'[1]BASE RED COMERCIAL'!$D976</f>
        <v>CAMPANAS</v>
      </c>
      <c r="H978" s="7" t="str">
        <f>+'[1]BASE RED COMERCIAL'!$B976</f>
        <v>LA RIOJA</v>
      </c>
      <c r="I978" s="8" t="str">
        <f>+'[1]BASE RED COMERCIAL'!$C976</f>
        <v>FAMATINA</v>
      </c>
      <c r="J978" s="10"/>
      <c r="K978" s="10"/>
    </row>
    <row r="979" spans="1:11" x14ac:dyDescent="0.25">
      <c r="A979" s="14" t="str">
        <f>+'[1]BASE RED COMERCIAL'!$A977</f>
        <v>F0014</v>
      </c>
      <c r="B979" s="8" t="str">
        <f>+'[1]BASE RED COMERCIAL'!$H977</f>
        <v>CHAMICAL</v>
      </c>
      <c r="C979" s="7" t="s">
        <v>33</v>
      </c>
      <c r="D979" s="9" t="str">
        <f>+'[1]BASE RED COMERCIAL'!$E977</f>
        <v>9 DE JULIO</v>
      </c>
      <c r="E979" s="7">
        <f>+'[1]BASE RED COMERCIAL'!$F977</f>
        <v>100</v>
      </c>
      <c r="F979" s="14" t="str">
        <f>+'[1]BASE RED COMERCIAL'!$I977</f>
        <v>F5380ZAA</v>
      </c>
      <c r="G979" s="7" t="str">
        <f>+'[1]BASE RED COMERCIAL'!$D977</f>
        <v>CHAMICAL</v>
      </c>
      <c r="H979" s="7" t="str">
        <f>+'[1]BASE RED COMERCIAL'!$B977</f>
        <v>LA RIOJA</v>
      </c>
      <c r="I979" s="8" t="str">
        <f>+'[1]BASE RED COMERCIAL'!$C977</f>
        <v>CHAMICAL</v>
      </c>
      <c r="J979" s="10"/>
      <c r="K979" s="10"/>
    </row>
    <row r="980" spans="1:11" x14ac:dyDescent="0.25">
      <c r="A980" s="14" t="str">
        <f>+'[1]BASE RED COMERCIAL'!$A978</f>
        <v>F0016</v>
      </c>
      <c r="B980" s="8" t="str">
        <f>+'[1]BASE RED COMERCIAL'!$H978</f>
        <v>CHEPES</v>
      </c>
      <c r="C980" s="7" t="s">
        <v>33</v>
      </c>
      <c r="D980" s="9" t="str">
        <f>+'[1]BASE RED COMERCIAL'!$E978</f>
        <v>BDIER FACUNDO QUIROGA</v>
      </c>
      <c r="E980" s="7">
        <f>+'[1]BASE RED COMERCIAL'!$F978</f>
        <v>125</v>
      </c>
      <c r="F980" s="14" t="str">
        <f>+'[1]BASE RED COMERCIAL'!$I978</f>
        <v>F5470ZAA</v>
      </c>
      <c r="G980" s="7" t="str">
        <f>+'[1]BASE RED COMERCIAL'!$D978</f>
        <v>CHEPES</v>
      </c>
      <c r="H980" s="7" t="str">
        <f>+'[1]BASE RED COMERCIAL'!$B978</f>
        <v>LA RIOJA</v>
      </c>
      <c r="I980" s="8" t="str">
        <f>+'[1]BASE RED COMERCIAL'!$C978</f>
        <v>ROSARIO VERA PEÃ‘ALOZA</v>
      </c>
      <c r="J980" s="10"/>
      <c r="K980" s="10"/>
    </row>
    <row r="981" spans="1:11" x14ac:dyDescent="0.25">
      <c r="A981" s="14" t="str">
        <f>+'[1]BASE RED COMERCIAL'!$A979</f>
        <v>F0018</v>
      </c>
      <c r="B981" s="8" t="str">
        <f>+'[1]BASE RED COMERCIAL'!$H979</f>
        <v>CHILECITO</v>
      </c>
      <c r="C981" s="7" t="s">
        <v>33</v>
      </c>
      <c r="D981" s="9" t="str">
        <f>+'[1]BASE RED COMERCIAL'!$E979</f>
        <v>JOAQUIN V GONZALEZ</v>
      </c>
      <c r="E981" s="7">
        <f>+'[1]BASE RED COMERCIAL'!$F979</f>
        <v>201</v>
      </c>
      <c r="F981" s="14" t="str">
        <f>+'[1]BASE RED COMERCIAL'!$I979</f>
        <v>F5360ZAA</v>
      </c>
      <c r="G981" s="7" t="str">
        <f>+'[1]BASE RED COMERCIAL'!$D979</f>
        <v>CHILECITO</v>
      </c>
      <c r="H981" s="7" t="str">
        <f>+'[1]BASE RED COMERCIAL'!$B979</f>
        <v>LA RIOJA</v>
      </c>
      <c r="I981" s="8" t="str">
        <f>+'[1]BASE RED COMERCIAL'!$C979</f>
        <v>CHILECITO</v>
      </c>
      <c r="J981" s="10"/>
      <c r="K981" s="10"/>
    </row>
    <row r="982" spans="1:11" x14ac:dyDescent="0.25">
      <c r="A982" s="14" t="str">
        <f>+'[1]BASE RED COMERCIAL'!$A980</f>
        <v>F0022</v>
      </c>
      <c r="B982" s="8" t="str">
        <f>+'[1]BASE RED COMERCIAL'!$H980</f>
        <v>DESIDERIO  TELLO</v>
      </c>
      <c r="C982" s="7" t="s">
        <v>33</v>
      </c>
      <c r="D982" s="9" t="str">
        <f>+'[1]BASE RED COMERCIAL'!$E980</f>
        <v>SAN JUAN</v>
      </c>
      <c r="E982" s="7">
        <f>+'[1]BASE RED COMERCIAL'!$F980</f>
        <v>120</v>
      </c>
      <c r="F982" s="14" t="str">
        <f>+'[1]BASE RED COMERCIAL'!$I980</f>
        <v>F5474ZAA</v>
      </c>
      <c r="G982" s="7" t="str">
        <f>+'[1]BASE RED COMERCIAL'!$D980</f>
        <v>DESIDERIO TELLO</v>
      </c>
      <c r="H982" s="7" t="str">
        <f>+'[1]BASE RED COMERCIAL'!$B980</f>
        <v>LA RIOJA</v>
      </c>
      <c r="I982" s="8" t="str">
        <f>+'[1]BASE RED COMERCIAL'!$C980</f>
        <v>ROSARIO VERA PEÃ‘ALOZA</v>
      </c>
      <c r="J982" s="10"/>
      <c r="K982" s="10"/>
    </row>
    <row r="983" spans="1:11" x14ac:dyDescent="0.25">
      <c r="A983" s="14" t="str">
        <f>+'[1]BASE RED COMERCIAL'!$A981</f>
        <v>F0026</v>
      </c>
      <c r="B983" s="8" t="str">
        <f>+'[1]BASE RED COMERCIAL'!$H981</f>
        <v>FAMATINA</v>
      </c>
      <c r="C983" s="7" t="s">
        <v>33</v>
      </c>
      <c r="D983" s="9" t="str">
        <f>+'[1]BASE RED COMERCIAL'!$E981</f>
        <v>19 DE ABRIL</v>
      </c>
      <c r="E983" s="7">
        <f>+'[1]BASE RED COMERCIAL'!$F981</f>
        <v>50</v>
      </c>
      <c r="F983" s="14" t="str">
        <f>+'[1]BASE RED COMERCIAL'!$I981</f>
        <v>F5365ZAA</v>
      </c>
      <c r="G983" s="7" t="str">
        <f>+'[1]BASE RED COMERCIAL'!$D981</f>
        <v>FAMATINA</v>
      </c>
      <c r="H983" s="7" t="str">
        <f>+'[1]BASE RED COMERCIAL'!$B981</f>
        <v>LA RIOJA</v>
      </c>
      <c r="I983" s="8" t="str">
        <f>+'[1]BASE RED COMERCIAL'!$C981</f>
        <v>FAMATINA</v>
      </c>
      <c r="J983" s="10"/>
      <c r="K983" s="10"/>
    </row>
    <row r="984" spans="1:11" x14ac:dyDescent="0.25">
      <c r="A984" s="14" t="str">
        <f>+'[1]BASE RED COMERCIAL'!$A982</f>
        <v>F0028</v>
      </c>
      <c r="B984" s="8" t="str">
        <f>+'[1]BASE RED COMERCIAL'!$H982</f>
        <v>GUANDACOL</v>
      </c>
      <c r="C984" s="7" t="s">
        <v>33</v>
      </c>
      <c r="D984" s="9" t="str">
        <f>+'[1]BASE RED COMERCIAL'!$E982</f>
        <v>GRAL SAN MARTIN</v>
      </c>
      <c r="E984" s="7">
        <f>+'[1]BASE RED COMERCIAL'!$F982</f>
        <v>1200</v>
      </c>
      <c r="F984" s="14" t="str">
        <f>+'[1]BASE RED COMERCIAL'!$I982</f>
        <v>F5353ZAA</v>
      </c>
      <c r="G984" s="7" t="str">
        <f>+'[1]BASE RED COMERCIAL'!$D982</f>
        <v>GUANDACOL</v>
      </c>
      <c r="H984" s="7" t="str">
        <f>+'[1]BASE RED COMERCIAL'!$B982</f>
        <v>LA RIOJA</v>
      </c>
      <c r="I984" s="8" t="str">
        <f>+'[1]BASE RED COMERCIAL'!$C982</f>
        <v>CORONEL FELIPE VARELA</v>
      </c>
      <c r="J984" s="10"/>
      <c r="K984" s="10"/>
    </row>
    <row r="985" spans="1:11" x14ac:dyDescent="0.25">
      <c r="A985" s="14" t="str">
        <f>+'[1]BASE RED COMERCIAL'!$A983</f>
        <v>F0032</v>
      </c>
      <c r="B985" s="8" t="str">
        <f>+'[1]BASE RED COMERCIAL'!$H983</f>
        <v>MALANZAN</v>
      </c>
      <c r="C985" s="7" t="s">
        <v>33</v>
      </c>
      <c r="D985" s="9" t="str">
        <f>+'[1]BASE RED COMERCIAL'!$E983</f>
        <v>AV LOS CAUDILLOS</v>
      </c>
      <c r="E985" s="7">
        <f>+'[1]BASE RED COMERCIAL'!$F983</f>
        <v>0</v>
      </c>
      <c r="F985" s="14" t="str">
        <f>+'[1]BASE RED COMERCIAL'!$I983</f>
        <v>F5389ZAA</v>
      </c>
      <c r="G985" s="7" t="str">
        <f>+'[1]BASE RED COMERCIAL'!$D983</f>
        <v>MALANZAN</v>
      </c>
      <c r="H985" s="7" t="str">
        <f>+'[1]BASE RED COMERCIAL'!$B983</f>
        <v>LA RIOJA</v>
      </c>
      <c r="I985" s="8" t="str">
        <f>+'[1]BASE RED COMERCIAL'!$C983</f>
        <v>GENERAL JUAN FACUNDO QUIROGA</v>
      </c>
      <c r="J985" s="10"/>
      <c r="K985" s="10"/>
    </row>
    <row r="986" spans="1:11" x14ac:dyDescent="0.25">
      <c r="A986" s="14" t="str">
        <f>+'[1]BASE RED COMERCIAL'!$A984</f>
        <v>F0034</v>
      </c>
      <c r="B986" s="8" t="str">
        <f>+'[1]BASE RED COMERCIAL'!$H984</f>
        <v>MILAGRO</v>
      </c>
      <c r="C986" s="7" t="s">
        <v>33</v>
      </c>
      <c r="D986" s="9" t="str">
        <f>+'[1]BASE RED COMERCIAL'!$E984</f>
        <v>AV 25 DE MAYO</v>
      </c>
      <c r="E986" s="7">
        <f>+'[1]BASE RED COMERCIAL'!$F984</f>
        <v>259</v>
      </c>
      <c r="F986" s="14" t="str">
        <f>+'[1]BASE RED COMERCIAL'!$I984</f>
        <v>F5274ZAA</v>
      </c>
      <c r="G986" s="7" t="str">
        <f>+'[1]BASE RED COMERCIAL'!$D984</f>
        <v>MILAGRO</v>
      </c>
      <c r="H986" s="7" t="str">
        <f>+'[1]BASE RED COMERCIAL'!$B984</f>
        <v>LA RIOJA</v>
      </c>
      <c r="I986" s="8" t="str">
        <f>+'[1]BASE RED COMERCIAL'!$C984</f>
        <v>GENERAL OCAMPO</v>
      </c>
      <c r="J986" s="10"/>
      <c r="K986" s="10"/>
    </row>
    <row r="987" spans="1:11" x14ac:dyDescent="0.25">
      <c r="A987" s="14" t="str">
        <f>+'[1]BASE RED COMERCIAL'!$A985</f>
        <v>F0036</v>
      </c>
      <c r="B987" s="8" t="str">
        <f>+'[1]BASE RED COMERCIAL'!$H985</f>
        <v>NONOGASTA</v>
      </c>
      <c r="C987" s="7" t="s">
        <v>33</v>
      </c>
      <c r="D987" s="9" t="str">
        <f>+'[1]BASE RED COMERCIAL'!$E985</f>
        <v>AV YOMA AMIN</v>
      </c>
      <c r="E987" s="7">
        <f>+'[1]BASE RED COMERCIAL'!$F985</f>
        <v>905</v>
      </c>
      <c r="F987" s="14" t="str">
        <f>+'[1]BASE RED COMERCIAL'!$I985</f>
        <v>F5372ZAA</v>
      </c>
      <c r="G987" s="7" t="str">
        <f>+'[1]BASE RED COMERCIAL'!$D985</f>
        <v>NONOGASTA</v>
      </c>
      <c r="H987" s="7" t="str">
        <f>+'[1]BASE RED COMERCIAL'!$B985</f>
        <v>LA RIOJA</v>
      </c>
      <c r="I987" s="8" t="str">
        <f>+'[1]BASE RED COMERCIAL'!$C985</f>
        <v>CHILECITO</v>
      </c>
      <c r="J987" s="10"/>
      <c r="K987" s="10"/>
    </row>
    <row r="988" spans="1:11" x14ac:dyDescent="0.25">
      <c r="A988" s="14" t="str">
        <f>+'[1]BASE RED COMERCIAL'!$A986</f>
        <v>F0038</v>
      </c>
      <c r="B988" s="8" t="str">
        <f>+'[1]BASE RED COMERCIAL'!$H986</f>
        <v>OLTA</v>
      </c>
      <c r="C988" s="7" t="s">
        <v>33</v>
      </c>
      <c r="D988" s="9" t="str">
        <f>+'[1]BASE RED COMERCIAL'!$E986</f>
        <v>MTRO JOSE S SALINAS</v>
      </c>
      <c r="E988" s="7">
        <f>+'[1]BASE RED COMERCIAL'!$F986</f>
        <v>100</v>
      </c>
      <c r="F988" s="14" t="str">
        <f>+'[1]BASE RED COMERCIAL'!$I986</f>
        <v>F5383ZAA</v>
      </c>
      <c r="G988" s="7" t="str">
        <f>+'[1]BASE RED COMERCIAL'!$D986</f>
        <v>OLTA</v>
      </c>
      <c r="H988" s="7" t="str">
        <f>+'[1]BASE RED COMERCIAL'!$B986</f>
        <v>LA RIOJA</v>
      </c>
      <c r="I988" s="8" t="str">
        <f>+'[1]BASE RED COMERCIAL'!$C986</f>
        <v>GENERAL BELGRANO</v>
      </c>
      <c r="J988" s="10"/>
      <c r="K988" s="10"/>
    </row>
    <row r="989" spans="1:11" x14ac:dyDescent="0.25">
      <c r="A989" s="14" t="str">
        <f>+'[1]BASE RED COMERCIAL'!$A987</f>
        <v>F0042</v>
      </c>
      <c r="B989" s="8" t="str">
        <f>+'[1]BASE RED COMERCIAL'!$H987</f>
        <v>PATQUIA</v>
      </c>
      <c r="C989" s="7" t="s">
        <v>33</v>
      </c>
      <c r="D989" s="9" t="str">
        <f>+'[1]BASE RED COMERCIAL'!$E987</f>
        <v>AV GRAL SAN MARTIN</v>
      </c>
      <c r="E989" s="7">
        <f>+'[1]BASE RED COMERCIAL'!$F987</f>
        <v>241</v>
      </c>
      <c r="F989" s="14" t="str">
        <f>+'[1]BASE RED COMERCIAL'!$I987</f>
        <v>F5386ZAA</v>
      </c>
      <c r="G989" s="7" t="str">
        <f>+'[1]BASE RED COMERCIAL'!$D987</f>
        <v>PATQUIA</v>
      </c>
      <c r="H989" s="7" t="str">
        <f>+'[1]BASE RED COMERCIAL'!$B987</f>
        <v>LA RIOJA</v>
      </c>
      <c r="I989" s="8" t="str">
        <f>+'[1]BASE RED COMERCIAL'!$C987</f>
        <v>INDEPENDENCIA</v>
      </c>
      <c r="J989" s="10"/>
      <c r="K989" s="10"/>
    </row>
    <row r="990" spans="1:11" x14ac:dyDescent="0.25">
      <c r="A990" s="14" t="str">
        <f>+'[1]BASE RED COMERCIAL'!$A988</f>
        <v>F0046</v>
      </c>
      <c r="B990" s="8" t="str">
        <f>+'[1]BASE RED COMERCIAL'!$H988</f>
        <v>PITUIL</v>
      </c>
      <c r="C990" s="7" t="s">
        <v>33</v>
      </c>
      <c r="D990" s="9" t="str">
        <f>+'[1]BASE RED COMERCIAL'!$E988</f>
        <v>SANTO DOMINGO</v>
      </c>
      <c r="E990" s="7">
        <f>+'[1]BASE RED COMERCIAL'!$F988</f>
        <v>0</v>
      </c>
      <c r="F990" s="14" t="str">
        <f>+'[1]BASE RED COMERCIAL'!$I988</f>
        <v>F5370ZAA</v>
      </c>
      <c r="G990" s="7" t="str">
        <f>+'[1]BASE RED COMERCIAL'!$D988</f>
        <v>PITUIL</v>
      </c>
      <c r="H990" s="7" t="str">
        <f>+'[1]BASE RED COMERCIAL'!$B988</f>
        <v>LA RIOJA</v>
      </c>
      <c r="I990" s="8" t="str">
        <f>+'[1]BASE RED COMERCIAL'!$C988</f>
        <v>FAMATINA</v>
      </c>
      <c r="J990" s="10"/>
      <c r="K990" s="10"/>
    </row>
    <row r="991" spans="1:11" x14ac:dyDescent="0.25">
      <c r="A991" s="14" t="str">
        <f>+'[1]BASE RED COMERCIAL'!$A989</f>
        <v>F0050</v>
      </c>
      <c r="B991" s="8" t="str">
        <f>+'[1]BASE RED COMERCIAL'!$H989</f>
        <v>SALICAS</v>
      </c>
      <c r="C991" s="7" t="s">
        <v>33</v>
      </c>
      <c r="D991" s="9">
        <f>+'[1]BASE RED COMERCIAL'!$E989</f>
        <v>0</v>
      </c>
      <c r="E991" s="7">
        <f>+'[1]BASE RED COMERCIAL'!$F989</f>
        <v>0</v>
      </c>
      <c r="F991" s="14" t="str">
        <f>+'[1]BASE RED COMERCIAL'!$I989</f>
        <v>F5327ZAA</v>
      </c>
      <c r="G991" s="7" t="str">
        <f>+'[1]BASE RED COMERCIAL'!$D989</f>
        <v>SALICAS</v>
      </c>
      <c r="H991" s="7" t="str">
        <f>+'[1]BASE RED COMERCIAL'!$B989</f>
        <v>LA RIOJA</v>
      </c>
      <c r="I991" s="8" t="str">
        <f>+'[1]BASE RED COMERCIAL'!$C989</f>
        <v>SAN BLAS DE LOS SAUCES</v>
      </c>
      <c r="J991" s="10"/>
      <c r="K991" s="10"/>
    </row>
    <row r="992" spans="1:11" x14ac:dyDescent="0.25">
      <c r="A992" s="14" t="str">
        <f>+'[1]BASE RED COMERCIAL'!$A990</f>
        <v>F0052</v>
      </c>
      <c r="B992" s="8" t="str">
        <f>+'[1]BASE RED COMERCIAL'!$H990</f>
        <v>TAMA</v>
      </c>
      <c r="C992" s="7" t="s">
        <v>33</v>
      </c>
      <c r="D992" s="9">
        <f>+'[1]BASE RED COMERCIAL'!$E990</f>
        <v>0</v>
      </c>
      <c r="E992" s="7">
        <f>+'[1]BASE RED COMERCIAL'!$F990</f>
        <v>0</v>
      </c>
      <c r="F992" s="14" t="str">
        <f>+'[1]BASE RED COMERCIAL'!$I990</f>
        <v>F5385ZAA</v>
      </c>
      <c r="G992" s="7" t="str">
        <f>+'[1]BASE RED COMERCIAL'!$D990</f>
        <v>EL CARRIZAL TAMA</v>
      </c>
      <c r="H992" s="7" t="str">
        <f>+'[1]BASE RED COMERCIAL'!$B990</f>
        <v>LA RIOJA</v>
      </c>
      <c r="I992" s="8" t="str">
        <f>+'[1]BASE RED COMERCIAL'!$C990</f>
        <v>GENERAL ANGEL VICENTE PEÃ‘ALOZA</v>
      </c>
      <c r="J992" s="10"/>
      <c r="K992" s="10"/>
    </row>
    <row r="993" spans="1:11" x14ac:dyDescent="0.25">
      <c r="A993" s="14" t="str">
        <f>+'[1]BASE RED COMERCIAL'!$A991</f>
        <v>F0054</v>
      </c>
      <c r="B993" s="8" t="str">
        <f>+'[1]BASE RED COMERCIAL'!$H991</f>
        <v>ULAPES</v>
      </c>
      <c r="C993" s="7" t="s">
        <v>33</v>
      </c>
      <c r="D993" s="9" t="str">
        <f>+'[1]BASE RED COMERCIAL'!$E991</f>
        <v>AV 25 DE MAYO</v>
      </c>
      <c r="E993" s="7">
        <f>+'[1]BASE RED COMERCIAL'!$F991</f>
        <v>10</v>
      </c>
      <c r="F993" s="14" t="str">
        <f>+'[1]BASE RED COMERCIAL'!$I991</f>
        <v>F5473ZAA</v>
      </c>
      <c r="G993" s="7" t="str">
        <f>+'[1]BASE RED COMERCIAL'!$D991</f>
        <v>ULAPES</v>
      </c>
      <c r="H993" s="7" t="str">
        <f>+'[1]BASE RED COMERCIAL'!$B991</f>
        <v>LA RIOJA</v>
      </c>
      <c r="I993" s="8" t="str">
        <f>+'[1]BASE RED COMERCIAL'!$C991</f>
        <v>GENERAL SAN MARTIN</v>
      </c>
      <c r="J993" s="10"/>
      <c r="K993" s="10"/>
    </row>
    <row r="994" spans="1:11" x14ac:dyDescent="0.25">
      <c r="A994" s="14" t="str">
        <f>+'[1]BASE RED COMERCIAL'!$A992</f>
        <v>F0056</v>
      </c>
      <c r="B994" s="8" t="str">
        <f>+'[1]BASE RED COMERCIAL'!$H992</f>
        <v>VILLA CASTELLI</v>
      </c>
      <c r="C994" s="7" t="s">
        <v>33</v>
      </c>
      <c r="D994" s="9" t="str">
        <f>+'[1]BASE RED COMERCIAL'!$E992</f>
        <v>SAN MARTIN</v>
      </c>
      <c r="E994" s="7">
        <f>+'[1]BASE RED COMERCIAL'!$F992</f>
        <v>150</v>
      </c>
      <c r="F994" s="14" t="str">
        <f>+'[1]BASE RED COMERCIAL'!$I992</f>
        <v>F5355ZAB</v>
      </c>
      <c r="G994" s="7" t="str">
        <f>+'[1]BASE RED COMERCIAL'!$D992</f>
        <v>VILLA CASTELLI</v>
      </c>
      <c r="H994" s="7" t="str">
        <f>+'[1]BASE RED COMERCIAL'!$B992</f>
        <v>LA RIOJA</v>
      </c>
      <c r="I994" s="8" t="str">
        <f>+'[1]BASE RED COMERCIAL'!$C992</f>
        <v>GENERAL LAMADRID</v>
      </c>
      <c r="J994" s="10"/>
      <c r="K994" s="10"/>
    </row>
    <row r="995" spans="1:11" x14ac:dyDescent="0.25">
      <c r="A995" s="14" t="str">
        <f>+'[1]BASE RED COMERCIAL'!$A993</f>
        <v>F0058</v>
      </c>
      <c r="B995" s="8" t="str">
        <f>+'[1]BASE RED COMERCIAL'!$H993</f>
        <v>VILLA MAZAN</v>
      </c>
      <c r="C995" s="7" t="s">
        <v>33</v>
      </c>
      <c r="D995" s="9" t="str">
        <f>+'[1]BASE RED COMERCIAL'!$E993</f>
        <v>S/C</v>
      </c>
      <c r="E995" s="7">
        <f>+'[1]BASE RED COMERCIAL'!$F993</f>
        <v>0</v>
      </c>
      <c r="F995" s="14" t="str">
        <f>+'[1]BASE RED COMERCIAL'!$I993</f>
        <v>F5314ZAA</v>
      </c>
      <c r="G995" s="7" t="str">
        <f>+'[1]BASE RED COMERCIAL'!$D993</f>
        <v>VILLA MAZAN</v>
      </c>
      <c r="H995" s="7" t="str">
        <f>+'[1]BASE RED COMERCIAL'!$B993</f>
        <v>LA RIOJA</v>
      </c>
      <c r="I995" s="8" t="str">
        <f>+'[1]BASE RED COMERCIAL'!$C993</f>
        <v>ARAUCO</v>
      </c>
      <c r="J995" s="10"/>
      <c r="K995" s="10"/>
    </row>
    <row r="996" spans="1:11" x14ac:dyDescent="0.25">
      <c r="A996" s="14" t="str">
        <f>+'[1]BASE RED COMERCIAL'!$A994</f>
        <v>F0060</v>
      </c>
      <c r="B996" s="8" t="str">
        <f>+'[1]BASE RED COMERCIAL'!$H994</f>
        <v>VILLA SANAGASTA</v>
      </c>
      <c r="C996" s="7" t="s">
        <v>33</v>
      </c>
      <c r="D996" s="9" t="str">
        <f>+'[1]BASE RED COMERCIAL'!$E994</f>
        <v>CARLOS MARIA ALVAREZ</v>
      </c>
      <c r="E996" s="7">
        <f>+'[1]BASE RED COMERCIAL'!$F994</f>
        <v>0</v>
      </c>
      <c r="F996" s="14" t="str">
        <f>+'[1]BASE RED COMERCIAL'!$I994</f>
        <v>F5379ZAA</v>
      </c>
      <c r="G996" s="7" t="str">
        <f>+'[1]BASE RED COMERCIAL'!$D994</f>
        <v>VILLA SANAGASTA</v>
      </c>
      <c r="H996" s="7" t="str">
        <f>+'[1]BASE RED COMERCIAL'!$B994</f>
        <v>LA RIOJA</v>
      </c>
      <c r="I996" s="8" t="str">
        <f>+'[1]BASE RED COMERCIAL'!$C994</f>
        <v>SANAGASTA</v>
      </c>
      <c r="J996" s="10"/>
      <c r="K996" s="10"/>
    </row>
    <row r="997" spans="1:11" x14ac:dyDescent="0.25">
      <c r="A997" s="14" t="str">
        <f>+'[1]BASE RED COMERCIAL'!$A995</f>
        <v>F0062</v>
      </c>
      <c r="B997" s="8" t="str">
        <f>+'[1]BASE RED COMERCIAL'!$H995</f>
        <v>VILLA DE SANTA RITA</v>
      </c>
      <c r="C997" s="7" t="s">
        <v>33</v>
      </c>
      <c r="D997" s="9" t="str">
        <f>+'[1]BASE RED COMERCIAL'!$E995</f>
        <v>DOMINGO SARMIENTO</v>
      </c>
      <c r="E997" s="7">
        <f>+'[1]BASE RED COMERCIAL'!$F995</f>
        <v>0</v>
      </c>
      <c r="F997" s="14" t="str">
        <f>+'[1]BASE RED COMERCIAL'!$I995</f>
        <v>F5275ZAA</v>
      </c>
      <c r="G997" s="7" t="str">
        <f>+'[1]BASE RED COMERCIAL'!$D995</f>
        <v>VILLA SANTA RITA</v>
      </c>
      <c r="H997" s="7" t="str">
        <f>+'[1]BASE RED COMERCIAL'!$B995</f>
        <v>LA RIOJA</v>
      </c>
      <c r="I997" s="8" t="str">
        <f>+'[1]BASE RED COMERCIAL'!$C995</f>
        <v>GENERAL OCAMPO</v>
      </c>
      <c r="J997" s="10"/>
      <c r="K997" s="10"/>
    </row>
    <row r="998" spans="1:11" x14ac:dyDescent="0.25">
      <c r="A998" s="14" t="str">
        <f>+'[1]BASE RED COMERCIAL'!$A996</f>
        <v>F0064</v>
      </c>
      <c r="B998" s="8" t="str">
        <f>+'[1]BASE RED COMERCIAL'!$H996</f>
        <v>VILLA UNION</v>
      </c>
      <c r="C998" s="7" t="s">
        <v>33</v>
      </c>
      <c r="D998" s="9" t="str">
        <f>+'[1]BASE RED COMERCIAL'!$E996</f>
        <v>CNEL NICOLAS DAVILA</v>
      </c>
      <c r="E998" s="7">
        <f>+'[1]BASE RED COMERCIAL'!$F996</f>
        <v>119</v>
      </c>
      <c r="F998" s="14" t="str">
        <f>+'[1]BASE RED COMERCIAL'!$I996</f>
        <v>F5350ZAA</v>
      </c>
      <c r="G998" s="7" t="str">
        <f>+'[1]BASE RED COMERCIAL'!$D996</f>
        <v>VILLA UNION</v>
      </c>
      <c r="H998" s="7" t="str">
        <f>+'[1]BASE RED COMERCIAL'!$B996</f>
        <v>LA RIOJA</v>
      </c>
      <c r="I998" s="8" t="str">
        <f>+'[1]BASE RED COMERCIAL'!$C996</f>
        <v>CORONEL FELIPE VARELA</v>
      </c>
      <c r="J998" s="10"/>
      <c r="K998" s="10"/>
    </row>
    <row r="999" spans="1:11" x14ac:dyDescent="0.25">
      <c r="A999" s="14" t="str">
        <f>+'[1]BASE RED COMERCIAL'!$A997</f>
        <v>F0066</v>
      </c>
      <c r="B999" s="8" t="str">
        <f>+'[1]BASE RED COMERCIAL'!$H997</f>
        <v>VINCHINA</v>
      </c>
      <c r="C999" s="7" t="s">
        <v>33</v>
      </c>
      <c r="D999" s="9" t="str">
        <f>+'[1]BASE RED COMERCIAL'!$E997</f>
        <v>SAN MARTIN</v>
      </c>
      <c r="E999" s="7">
        <f>+'[1]BASE RED COMERCIAL'!$F997</f>
        <v>0</v>
      </c>
      <c r="F999" s="14" t="str">
        <f>+'[1]BASE RED COMERCIAL'!$I997</f>
        <v>F5357ZAA</v>
      </c>
      <c r="G999" s="7" t="str">
        <f>+'[1]BASE RED COMERCIAL'!$D997</f>
        <v>VINCHINA</v>
      </c>
      <c r="H999" s="7" t="str">
        <f>+'[1]BASE RED COMERCIAL'!$B997</f>
        <v>LA RIOJA</v>
      </c>
      <c r="I999" s="8" t="str">
        <f>+'[1]BASE RED COMERCIAL'!$C997</f>
        <v>VINCHINA</v>
      </c>
      <c r="J999" s="10"/>
      <c r="K999" s="10"/>
    </row>
    <row r="1000" spans="1:11" x14ac:dyDescent="0.25">
      <c r="A1000" s="14" t="str">
        <f>+'[1]BASE RED COMERCIAL'!$A998</f>
        <v>F1128</v>
      </c>
      <c r="B1000" s="8" t="str">
        <f>+'[1]BASE RED COMERCIAL'!$H998</f>
        <v>LOS PALACIOS</v>
      </c>
      <c r="C1000" s="7" t="s">
        <v>33</v>
      </c>
      <c r="D1000" s="9" t="str">
        <f>+'[1]BASE RED COMERCIAL'!$E998</f>
        <v>PRINCIPAL</v>
      </c>
      <c r="E1000" s="7">
        <f>+'[1]BASE RED COMERCIAL'!$F998</f>
        <v>0</v>
      </c>
      <c r="F1000" s="14" t="str">
        <f>+'[1]BASE RED COMERCIAL'!$I998</f>
        <v>F5352ZAA</v>
      </c>
      <c r="G1000" s="7" t="str">
        <f>+'[1]BASE RED COMERCIAL'!$D998</f>
        <v>LOS PALACIOS</v>
      </c>
      <c r="H1000" s="7" t="str">
        <f>+'[1]BASE RED COMERCIAL'!$B998</f>
        <v>LA RIOJA</v>
      </c>
      <c r="I1000" s="8" t="str">
        <f>+'[1]BASE RED COMERCIAL'!$C998</f>
        <v>CORONEL FELIPE VARELA</v>
      </c>
      <c r="J1000" s="10"/>
      <c r="K1000" s="10"/>
    </row>
    <row r="1001" spans="1:11" x14ac:dyDescent="0.25">
      <c r="A1001" s="14" t="str">
        <f>+'[1]BASE RED COMERCIAL'!$A999</f>
        <v>F3045</v>
      </c>
      <c r="B1001" s="8" t="str">
        <f>+'[1]BASE RED COMERCIAL'!$H999</f>
        <v>LA RIOJA 2  -  9 DE JULIO</v>
      </c>
      <c r="C1001" s="7" t="s">
        <v>33</v>
      </c>
      <c r="D1001" s="9" t="str">
        <f>+'[1]BASE RED COMERCIAL'!$E999</f>
        <v>9 DE JULIO</v>
      </c>
      <c r="E1001" s="7">
        <f>+'[1]BASE RED COMERCIAL'!$F999</f>
        <v>13</v>
      </c>
      <c r="F1001" s="14" t="str">
        <f>+'[1]BASE RED COMERCIAL'!$I999</f>
        <v>F5300ZAC</v>
      </c>
      <c r="G1001" s="7" t="str">
        <f>+'[1]BASE RED COMERCIAL'!$D999</f>
        <v>LA RIOJA</v>
      </c>
      <c r="H1001" s="7" t="str">
        <f>+'[1]BASE RED COMERCIAL'!$B999</f>
        <v>LA RIOJA</v>
      </c>
      <c r="I1001" s="8" t="str">
        <f>+'[1]BASE RED COMERCIAL'!$C999</f>
        <v>CAPITAL</v>
      </c>
      <c r="J1001" s="10"/>
      <c r="K1001" s="10"/>
    </row>
    <row r="1002" spans="1:11" x14ac:dyDescent="0.25">
      <c r="A1002" s="14" t="str">
        <f>+'[1]BASE RED COMERCIAL'!$A1000</f>
        <v>F3047</v>
      </c>
      <c r="B1002" s="8" t="str">
        <f>+'[1]BASE RED COMERCIAL'!$H1000</f>
        <v>LA RIOJA 3  -  CEPAR SUR</v>
      </c>
      <c r="C1002" s="7" t="s">
        <v>33</v>
      </c>
      <c r="D1002" s="9" t="str">
        <f>+'[1]BASE RED COMERCIAL'!$E1000</f>
        <v>AV ORTIZ DE OCAMPO</v>
      </c>
      <c r="E1002" s="7">
        <f>+'[1]BASE RED COMERCIAL'!$F1000</f>
        <v>2247</v>
      </c>
      <c r="F1002" s="14" t="str">
        <f>+'[1]BASE RED COMERCIAL'!$I1000</f>
        <v>F5300ZAD</v>
      </c>
      <c r="G1002" s="7" t="str">
        <f>+'[1]BASE RED COMERCIAL'!$D1000</f>
        <v>LA RIOJA</v>
      </c>
      <c r="H1002" s="7" t="str">
        <f>+'[1]BASE RED COMERCIAL'!$B1000</f>
        <v>LA RIOJA</v>
      </c>
      <c r="I1002" s="8" t="str">
        <f>+'[1]BASE RED COMERCIAL'!$C1000</f>
        <v>CAPITAL</v>
      </c>
      <c r="J1002" s="10"/>
      <c r="K1002" s="10"/>
    </row>
    <row r="1003" spans="1:11" x14ac:dyDescent="0.25">
      <c r="A1003" s="14" t="str">
        <f>+'[1]BASE RED COMERCIAL'!$A1001</f>
        <v>M0000</v>
      </c>
      <c r="B1003" s="8" t="str">
        <f>+'[1]BASE RED COMERCIAL'!$H1001</f>
        <v>MENDOZA</v>
      </c>
      <c r="C1003" s="7" t="s">
        <v>33</v>
      </c>
      <c r="D1003" s="9" t="str">
        <f>+'[1]BASE RED COMERCIAL'!$E1001</f>
        <v>AV GRAL SAN MARTIN</v>
      </c>
      <c r="E1003" s="7">
        <f>+'[1]BASE RED COMERCIAL'!$F1001</f>
        <v>678</v>
      </c>
      <c r="F1003" s="14" t="str">
        <f>+'[1]BASE RED COMERCIAL'!$I1001</f>
        <v>M5500ZAA</v>
      </c>
      <c r="G1003" s="7" t="str">
        <f>+'[1]BASE RED COMERCIAL'!$D1001</f>
        <v>MENDOZA</v>
      </c>
      <c r="H1003" s="7" t="str">
        <f>+'[1]BASE RED COMERCIAL'!$B1001</f>
        <v>MENDOZA</v>
      </c>
      <c r="I1003" s="8" t="str">
        <f>+'[1]BASE RED COMERCIAL'!$C1001</f>
        <v>CAPITAL</v>
      </c>
      <c r="J1003" s="10"/>
      <c r="K1003" s="10"/>
    </row>
    <row r="1004" spans="1:11" x14ac:dyDescent="0.25">
      <c r="A1004" s="14" t="str">
        <f>+'[1]BASE RED COMERCIAL'!$A1002</f>
        <v>M0001</v>
      </c>
      <c r="B1004" s="8" t="str">
        <f>+'[1]BASE RED COMERCIAL'!$H1002</f>
        <v>MENDOZA 1</v>
      </c>
      <c r="C1004" s="7" t="s">
        <v>33</v>
      </c>
      <c r="D1004" s="9" t="str">
        <f>+'[1]BASE RED COMERCIAL'!$E1002</f>
        <v>GRAL GREGORIO PAZ</v>
      </c>
      <c r="E1004" s="7">
        <f>+'[1]BASE RED COMERCIAL'!$F1002</f>
        <v>501</v>
      </c>
      <c r="F1004" s="14" t="str">
        <f>+'[1]BASE RED COMERCIAL'!$I1002</f>
        <v>M5500ZAC</v>
      </c>
      <c r="G1004" s="7" t="str">
        <f>+'[1]BASE RED COMERCIAL'!$D1002</f>
        <v>MENDOZA</v>
      </c>
      <c r="H1004" s="7" t="str">
        <f>+'[1]BASE RED COMERCIAL'!$B1002</f>
        <v>MENDOZA</v>
      </c>
      <c r="I1004" s="8" t="str">
        <f>+'[1]BASE RED COMERCIAL'!$C1002</f>
        <v>CAPITAL</v>
      </c>
      <c r="J1004" s="10"/>
      <c r="K1004" s="10"/>
    </row>
    <row r="1005" spans="1:11" x14ac:dyDescent="0.25">
      <c r="A1005" s="14" t="str">
        <f>+'[1]BASE RED COMERCIAL'!$A1003</f>
        <v>M0002</v>
      </c>
      <c r="B1005" s="8" t="str">
        <f>+'[1]BASE RED COMERCIAL'!$H1003</f>
        <v>MENDOZA 2  DORREGO</v>
      </c>
      <c r="C1005" s="7" t="s">
        <v>33</v>
      </c>
      <c r="D1005" s="9" t="str">
        <f>+'[1]BASE RED COMERCIAL'!$E1003</f>
        <v>CNEL M DORREGO</v>
      </c>
      <c r="E1005" s="7">
        <f>+'[1]BASE RED COMERCIAL'!$F1003</f>
        <v>861</v>
      </c>
      <c r="F1005" s="14" t="str">
        <f>+'[1]BASE RED COMERCIAL'!$I1003</f>
        <v>M5626ZAF</v>
      </c>
      <c r="G1005" s="7" t="str">
        <f>+'[1]BASE RED COMERCIAL'!$D1003</f>
        <v>DORREGO</v>
      </c>
      <c r="H1005" s="7" t="str">
        <f>+'[1]BASE RED COMERCIAL'!$B1003</f>
        <v>MENDOZA</v>
      </c>
      <c r="I1005" s="8" t="str">
        <f>+'[1]BASE RED COMERCIAL'!$C1003</f>
        <v>GUAYMALLEN</v>
      </c>
      <c r="J1005" s="10"/>
      <c r="K1005" s="10"/>
    </row>
    <row r="1006" spans="1:11" x14ac:dyDescent="0.25">
      <c r="A1006" s="14" t="str">
        <f>+'[1]BASE RED COMERCIAL'!$A1004</f>
        <v>M0005</v>
      </c>
      <c r="B1006" s="8" t="str">
        <f>+'[1]BASE RED COMERCIAL'!$H1004</f>
        <v>BERMEJO</v>
      </c>
      <c r="C1006" s="7" t="s">
        <v>33</v>
      </c>
      <c r="D1006" s="9" t="str">
        <f>+'[1]BASE RED COMERCIAL'!$E1004</f>
        <v>MATHUS HOYOS</v>
      </c>
      <c r="E1006" s="7">
        <f>+'[1]BASE RED COMERCIAL'!$F1004</f>
        <v>3600</v>
      </c>
      <c r="F1006" s="14" t="str">
        <f>+'[1]BASE RED COMERCIAL'!$I1004</f>
        <v>M5533ZAA</v>
      </c>
      <c r="G1006" s="7" t="str">
        <f>+'[1]BASE RED COMERCIAL'!$D1004</f>
        <v>BERMEJO</v>
      </c>
      <c r="H1006" s="7" t="str">
        <f>+'[1]BASE RED COMERCIAL'!$B1004</f>
        <v>MENDOZA</v>
      </c>
      <c r="I1006" s="8" t="str">
        <f>+'[1]BASE RED COMERCIAL'!$C1004</f>
        <v>GUAYMALLEN</v>
      </c>
      <c r="J1006" s="10"/>
      <c r="K1006" s="10"/>
    </row>
    <row r="1007" spans="1:11" x14ac:dyDescent="0.25">
      <c r="A1007" s="14" t="str">
        <f>+'[1]BASE RED COMERCIAL'!$A1005</f>
        <v>M0006</v>
      </c>
      <c r="B1007" s="8" t="str">
        <f>+'[1]BASE RED COMERCIAL'!$H1005</f>
        <v>BOWEN</v>
      </c>
      <c r="C1007" s="7" t="s">
        <v>33</v>
      </c>
      <c r="D1007" s="9" t="str">
        <f>+'[1]BASE RED COMERCIAL'!$E1005</f>
        <v>AV DOMINGO SARMIENTO</v>
      </c>
      <c r="E1007" s="7">
        <f>+'[1]BASE RED COMERCIAL'!$F1005</f>
        <v>378</v>
      </c>
      <c r="F1007" s="14" t="str">
        <f>+'[1]BASE RED COMERCIAL'!$I1005</f>
        <v>M5634ZAA</v>
      </c>
      <c r="G1007" s="7" t="str">
        <f>+'[1]BASE RED COMERCIAL'!$D1005</f>
        <v>BOWEN</v>
      </c>
      <c r="H1007" s="7" t="str">
        <f>+'[1]BASE RED COMERCIAL'!$B1005</f>
        <v>MENDOZA</v>
      </c>
      <c r="I1007" s="8" t="str">
        <f>+'[1]BASE RED COMERCIAL'!$C1005</f>
        <v>GENERAL ALVEAR</v>
      </c>
      <c r="J1007" s="10"/>
      <c r="K1007" s="10"/>
    </row>
    <row r="1008" spans="1:11" x14ac:dyDescent="0.25">
      <c r="A1008" s="14" t="str">
        <f>+'[1]BASE RED COMERCIAL'!$A1006</f>
        <v>M0007</v>
      </c>
      <c r="B1008" s="8" t="str">
        <f>+'[1]BASE RED COMERCIAL'!$H1006</f>
        <v>CARRODILLA</v>
      </c>
      <c r="C1008" s="7" t="s">
        <v>33</v>
      </c>
      <c r="D1008" s="9" t="str">
        <f>+'[1]BASE RED COMERCIAL'!$E1006</f>
        <v>DR JUAN J PASO</v>
      </c>
      <c r="E1008" s="7">
        <f>+'[1]BASE RED COMERCIAL'!$F1006</f>
        <v>527</v>
      </c>
      <c r="F1008" s="14" t="str">
        <f>+'[1]BASE RED COMERCIAL'!$I1006</f>
        <v>M5505ZAA</v>
      </c>
      <c r="G1008" s="7" t="str">
        <f>+'[1]BASE RED COMERCIAL'!$D1006</f>
        <v>CARRODILLA LA PUNTILLA</v>
      </c>
      <c r="H1008" s="7" t="str">
        <f>+'[1]BASE RED COMERCIAL'!$B1006</f>
        <v>MENDOZA</v>
      </c>
      <c r="I1008" s="8" t="str">
        <f>+'[1]BASE RED COMERCIAL'!$C1006</f>
        <v>LUJAN DE CUYO</v>
      </c>
      <c r="J1008" s="10"/>
      <c r="K1008" s="10"/>
    </row>
    <row r="1009" spans="1:28" x14ac:dyDescent="0.25">
      <c r="A1009" s="14" t="str">
        <f>+'[1]BASE RED COMERCIAL'!$A1007</f>
        <v>M0008</v>
      </c>
      <c r="B1009" s="8" t="str">
        <f>+'[1]BASE RED COMERCIAL'!$H1007</f>
        <v>CAMPO DE  LOS ANDES</v>
      </c>
      <c r="C1009" s="7" t="s">
        <v>33</v>
      </c>
      <c r="D1009" s="9" t="str">
        <f>+'[1]BASE RED COMERCIAL'!$E1007</f>
        <v>CNEL GOULU</v>
      </c>
      <c r="E1009" s="7">
        <f>+'[1]BASE RED COMERCIAL'!$F1007</f>
        <v>0</v>
      </c>
      <c r="F1009" s="14" t="str">
        <f>+'[1]BASE RED COMERCIAL'!$I1007</f>
        <v>M5565ZAA</v>
      </c>
      <c r="G1009" s="7" t="str">
        <f>+'[1]BASE RED COMERCIAL'!$D1007</f>
        <v>CAMPO DE LOS ANDES</v>
      </c>
      <c r="H1009" s="7" t="str">
        <f>+'[1]BASE RED COMERCIAL'!$B1007</f>
        <v>MENDOZA</v>
      </c>
      <c r="I1009" s="8" t="str">
        <f>+'[1]BASE RED COMERCIAL'!$C1007</f>
        <v>TUNUYAN</v>
      </c>
      <c r="J1009" s="10"/>
      <c r="K1009" s="10"/>
    </row>
    <row r="1010" spans="1:28" x14ac:dyDescent="0.25">
      <c r="A1010" s="14" t="str">
        <f>+'[1]BASE RED COMERCIAL'!$A1008</f>
        <v>M0010</v>
      </c>
      <c r="B1010" s="8" t="str">
        <f>+'[1]BASE RED COMERCIAL'!$H1008</f>
        <v>CARMENSA</v>
      </c>
      <c r="C1010" s="7" t="s">
        <v>33</v>
      </c>
      <c r="D1010" s="9" t="str">
        <f>+'[1]BASE RED COMERCIAL'!$E1008</f>
        <v>BUENOS AIRES</v>
      </c>
      <c r="E1010" s="7">
        <f>+'[1]BASE RED COMERCIAL'!$F1008</f>
        <v>10</v>
      </c>
      <c r="F1010" s="14" t="str">
        <f>+'[1]BASE RED COMERCIAL'!$I1008</f>
        <v>M5621ZAA</v>
      </c>
      <c r="G1010" s="7" t="str">
        <f>+'[1]BASE RED COMERCIAL'!$D1008</f>
        <v>CARMENSA</v>
      </c>
      <c r="H1010" s="7" t="str">
        <f>+'[1]BASE RED COMERCIAL'!$B1008</f>
        <v>MENDOZA</v>
      </c>
      <c r="I1010" s="8" t="str">
        <f>+'[1]BASE RED COMERCIAL'!$C1008</f>
        <v>GENERAL ALVEAR</v>
      </c>
      <c r="J1010" s="10"/>
      <c r="K1010" s="10"/>
    </row>
    <row r="1011" spans="1:28" x14ac:dyDescent="0.25">
      <c r="A1011" s="14" t="str">
        <f>+'[1]BASE RED COMERCIAL'!$A1009</f>
        <v>M0012</v>
      </c>
      <c r="B1011" s="8" t="str">
        <f>+'[1]BASE RED COMERCIAL'!$H1009</f>
        <v>CHACRAS  DE CORIA</v>
      </c>
      <c r="C1011" s="7" t="s">
        <v>33</v>
      </c>
      <c r="D1011" s="9" t="str">
        <f>+'[1]BASE RED COMERCIAL'!$E1009</f>
        <v>AGUINAGA</v>
      </c>
      <c r="E1011" s="7">
        <f>+'[1]BASE RED COMERCIAL'!$F1009</f>
        <v>1337</v>
      </c>
      <c r="F1011" s="14" t="str">
        <f>+'[1]BASE RED COMERCIAL'!$I1009</f>
        <v>M5528ZAA</v>
      </c>
      <c r="G1011" s="7" t="str">
        <f>+'[1]BASE RED COMERCIAL'!$D1009</f>
        <v>CHACRAS DE CORIA</v>
      </c>
      <c r="H1011" s="7" t="str">
        <f>+'[1]BASE RED COMERCIAL'!$B1009</f>
        <v>MENDOZA</v>
      </c>
      <c r="I1011" s="8" t="str">
        <f>+'[1]BASE RED COMERCIAL'!$C1009</f>
        <v>LUJAN DE CUYO</v>
      </c>
      <c r="J1011" s="10"/>
      <c r="K1011" s="10"/>
    </row>
    <row r="1012" spans="1:28" x14ac:dyDescent="0.25">
      <c r="A1012" s="14" t="str">
        <f>+'[1]BASE RED COMERCIAL'!$A1010</f>
        <v>M0014</v>
      </c>
      <c r="B1012" s="8" t="str">
        <f>+'[1]BASE RED COMERCIAL'!$H1010</f>
        <v>COLONIA  ALVEAR OESTE</v>
      </c>
      <c r="C1012" s="7" t="s">
        <v>33</v>
      </c>
      <c r="D1012" s="9" t="str">
        <f>+'[1]BASE RED COMERCIAL'!$E1010</f>
        <v>LAPRIDA</v>
      </c>
      <c r="E1012" s="7">
        <f>+'[1]BASE RED COMERCIAL'!$F1010</f>
        <v>198</v>
      </c>
      <c r="F1012" s="14" t="str">
        <f>+'[1]BASE RED COMERCIAL'!$I1010</f>
        <v>M5632ZAA</v>
      </c>
      <c r="G1012" s="7" t="str">
        <f>+'[1]BASE RED COMERCIAL'!$D1010</f>
        <v>COLONIA ALVEAR OESTE</v>
      </c>
      <c r="H1012" s="7" t="str">
        <f>+'[1]BASE RED COMERCIAL'!$B1010</f>
        <v>MENDOZA</v>
      </c>
      <c r="I1012" s="8" t="str">
        <f>+'[1]BASE RED COMERCIAL'!$C1010</f>
        <v>GENERAL ALVEAR</v>
      </c>
      <c r="J1012" s="10"/>
      <c r="K1012" s="10"/>
    </row>
    <row r="1013" spans="1:28" x14ac:dyDescent="0.25">
      <c r="A1013" s="14" t="str">
        <f>+'[1]BASE RED COMERCIAL'!$A1011</f>
        <v>M0020</v>
      </c>
      <c r="B1013" s="8" t="str">
        <f>+'[1]BASE RED COMERCIAL'!$H1011</f>
        <v>EUGENIO  BUSTOS</v>
      </c>
      <c r="C1013" s="7" t="s">
        <v>33</v>
      </c>
      <c r="D1013" s="9" t="str">
        <f>+'[1]BASE RED COMERCIAL'!$E1011</f>
        <v>BERNARDO QUIROGA</v>
      </c>
      <c r="E1013" s="7">
        <f>+'[1]BASE RED COMERCIAL'!$F1011</f>
        <v>332</v>
      </c>
      <c r="F1013" s="14" t="str">
        <f>+'[1]BASE RED COMERCIAL'!$I1011</f>
        <v>M5569ZAA</v>
      </c>
      <c r="G1013" s="7" t="str">
        <f>+'[1]BASE RED COMERCIAL'!$D1011</f>
        <v>EUGENIO BUSTOS</v>
      </c>
      <c r="H1013" s="7" t="str">
        <f>+'[1]BASE RED COMERCIAL'!$B1011</f>
        <v>MENDOZA</v>
      </c>
      <c r="I1013" s="8" t="str">
        <f>+'[1]BASE RED COMERCIAL'!$C1011</f>
        <v>SAN CARLOS</v>
      </c>
      <c r="J1013" s="10"/>
      <c r="K1013" s="10"/>
    </row>
    <row r="1014" spans="1:28" x14ac:dyDescent="0.25">
      <c r="A1014" s="14" t="str">
        <f>+'[1]BASE RED COMERCIAL'!$A1012</f>
        <v>M0022</v>
      </c>
      <c r="B1014" s="8" t="str">
        <f>+'[1]BASE RED COMERCIAL'!$H1012</f>
        <v>FRAY LUIS  BELTRAN</v>
      </c>
      <c r="C1014" s="7" t="s">
        <v>33</v>
      </c>
      <c r="D1014" s="9" t="str">
        <f>+'[1]BASE RED COMERCIAL'!$E1012</f>
        <v>JUAN B ALBERDI</v>
      </c>
      <c r="E1014" s="7">
        <f>+'[1]BASE RED COMERCIAL'!$F1012</f>
        <v>590</v>
      </c>
      <c r="F1014" s="14" t="str">
        <f>+'[1]BASE RED COMERCIAL'!$I1012</f>
        <v>M5531ZAA</v>
      </c>
      <c r="G1014" s="7" t="str">
        <f>+'[1]BASE RED COMERCIAL'!$D1012</f>
        <v>FRAY LUIS BELTRAN</v>
      </c>
      <c r="H1014" s="7" t="str">
        <f>+'[1]BASE RED COMERCIAL'!$B1012</f>
        <v>MENDOZA</v>
      </c>
      <c r="I1014" s="8" t="str">
        <f>+'[1]BASE RED COMERCIAL'!$C1012</f>
        <v>MAIPU</v>
      </c>
      <c r="J1014" s="10"/>
      <c r="K1014" s="10"/>
    </row>
    <row r="1015" spans="1:28" x14ac:dyDescent="0.25">
      <c r="A1015" s="14" t="str">
        <f>+'[1]BASE RED COMERCIAL'!$A1013</f>
        <v>M0024</v>
      </c>
      <c r="B1015" s="8" t="str">
        <f>+'[1]BASE RED COMERCIAL'!$H1013</f>
        <v>GRAL. ALVEAR</v>
      </c>
      <c r="C1015" s="7" t="s">
        <v>33</v>
      </c>
      <c r="D1015" s="9" t="str">
        <f>+'[1]BASE RED COMERCIAL'!$E1013</f>
        <v>CHAPEAUROUGE</v>
      </c>
      <c r="E1015" s="7">
        <f>+'[1]BASE RED COMERCIAL'!$F1013</f>
        <v>20</v>
      </c>
      <c r="F1015" s="14" t="str">
        <f>+'[1]BASE RED COMERCIAL'!$I1013</f>
        <v>M5620ZAC</v>
      </c>
      <c r="G1015" s="7" t="str">
        <f>+'[1]BASE RED COMERCIAL'!$D1013</f>
        <v>GENERAL ALVEAR</v>
      </c>
      <c r="H1015" s="7" t="str">
        <f>+'[1]BASE RED COMERCIAL'!$B1013</f>
        <v>MENDOZA</v>
      </c>
      <c r="I1015" s="8" t="str">
        <f>+'[1]BASE RED COMERCIAL'!$C1013</f>
        <v>GENERAL ALVEAR</v>
      </c>
      <c r="J1015" s="10"/>
      <c r="K1015" s="10"/>
    </row>
    <row r="1016" spans="1:28" x14ac:dyDescent="0.25">
      <c r="A1016" s="14" t="str">
        <f>+'[1]BASE RED COMERCIAL'!$A1014</f>
        <v>M0028</v>
      </c>
      <c r="B1016" s="8" t="str">
        <f>+'[1]BASE RED COMERCIAL'!$H1014</f>
        <v>GRAL. SAN MARTIN</v>
      </c>
      <c r="C1016" s="7" t="s">
        <v>33</v>
      </c>
      <c r="D1016" s="9" t="str">
        <f>+'[1]BASE RED COMERCIAL'!$E1014</f>
        <v>25 DE MAYO</v>
      </c>
      <c r="E1016" s="7">
        <f>+'[1]BASE RED COMERCIAL'!$F1014</f>
        <v>389</v>
      </c>
      <c r="F1016" s="14" t="str">
        <f>+'[1]BASE RED COMERCIAL'!$I1014</f>
        <v>M5570ZAA</v>
      </c>
      <c r="G1016" s="7" t="str">
        <f>+'[1]BASE RED COMERCIAL'!$D1014</f>
        <v>SAN MARTIN</v>
      </c>
      <c r="H1016" s="7" t="str">
        <f>+'[1]BASE RED COMERCIAL'!$B1014</f>
        <v>MENDOZA</v>
      </c>
      <c r="I1016" s="8" t="str">
        <f>+'[1]BASE RED COMERCIAL'!$C1014</f>
        <v>SAN MARTIN</v>
      </c>
      <c r="J1016" s="10"/>
      <c r="K1016" s="10"/>
    </row>
    <row r="1017" spans="1:28" x14ac:dyDescent="0.25">
      <c r="A1017" s="14" t="str">
        <f>+'[1]BASE RED COMERCIAL'!$A1015</f>
        <v>M0030</v>
      </c>
      <c r="B1017" s="8" t="str">
        <f>+'[1]BASE RED COMERCIAL'!$H1015</f>
        <v>GODOY CRUZ</v>
      </c>
      <c r="C1017" s="7" t="s">
        <v>33</v>
      </c>
      <c r="D1017" s="9" t="str">
        <f>+'[1]BASE RED COMERCIAL'!$E1015</f>
        <v>AV PERITO FRANCISCO P MORENO</v>
      </c>
      <c r="E1017" s="7">
        <f>+'[1]BASE RED COMERCIAL'!$F1015</f>
        <v>50</v>
      </c>
      <c r="F1017" s="14" t="str">
        <f>+'[1]BASE RED COMERCIAL'!$I1015</f>
        <v>M5501ZAA</v>
      </c>
      <c r="G1017" s="7" t="str">
        <f>+'[1]BASE RED COMERCIAL'!$D1015</f>
        <v>GODOY CRUZ</v>
      </c>
      <c r="H1017" s="7" t="str">
        <f>+'[1]BASE RED COMERCIAL'!$B1015</f>
        <v>MENDOZA</v>
      </c>
      <c r="I1017" s="8" t="str">
        <f>+'[1]BASE RED COMERCIAL'!$C1015</f>
        <v>GODOY CRUZ</v>
      </c>
      <c r="J1017" s="10"/>
      <c r="K1017" s="10"/>
    </row>
    <row r="1018" spans="1:28" x14ac:dyDescent="0.25">
      <c r="A1018" s="14" t="str">
        <f>+'[1]BASE RED COMERCIAL'!$A1016</f>
        <v>M0032</v>
      </c>
      <c r="B1018" s="8" t="str">
        <f>+'[1]BASE RED COMERCIAL'!$H1016</f>
        <v>ING. GIAGNONI</v>
      </c>
      <c r="C1018" s="7" t="s">
        <v>33</v>
      </c>
      <c r="D1018" s="9" t="str">
        <f>+'[1]BASE RED COMERCIAL'!$E1016</f>
        <v>JOSE MILORDO</v>
      </c>
      <c r="E1018" s="7">
        <f>+'[1]BASE RED COMERCIAL'!$F1016</f>
        <v>0</v>
      </c>
      <c r="F1018" s="14" t="str">
        <f>+'[1]BASE RED COMERCIAL'!$I1016</f>
        <v>M5582ZAA</v>
      </c>
      <c r="G1018" s="7" t="str">
        <f>+'[1]BASE RED COMERCIAL'!$D1016</f>
        <v>INGENIERO GIAGNONI</v>
      </c>
      <c r="H1018" s="7" t="str">
        <f>+'[1]BASE RED COMERCIAL'!$B1016</f>
        <v>MENDOZA</v>
      </c>
      <c r="I1018" s="8" t="str">
        <f>+'[1]BASE RED COMERCIAL'!$C1016</f>
        <v>JUNIN</v>
      </c>
      <c r="J1018" s="10"/>
      <c r="K1018" s="10"/>
    </row>
    <row r="1019" spans="1:28" x14ac:dyDescent="0.25">
      <c r="A1019" s="14" t="str">
        <f>+'[1]BASE RED COMERCIAL'!$A1017</f>
        <v>M0036</v>
      </c>
      <c r="B1019" s="8" t="str">
        <f>+'[1]BASE RED COMERCIAL'!$H1017</f>
        <v>LA CONSULTA</v>
      </c>
      <c r="C1019" s="7" t="s">
        <v>33</v>
      </c>
      <c r="D1019" s="9" t="str">
        <f>+'[1]BASE RED COMERCIAL'!$E1017</f>
        <v>AV GRAL SAN MARTIN</v>
      </c>
      <c r="E1019" s="7">
        <f>+'[1]BASE RED COMERCIAL'!$F1017</f>
        <v>410</v>
      </c>
      <c r="F1019" s="14" t="str">
        <f>+'[1]BASE RED COMERCIAL'!$I1017</f>
        <v>M5567ZAA</v>
      </c>
      <c r="G1019" s="7" t="str">
        <f>+'[1]BASE RED COMERCIAL'!$D1017</f>
        <v>LA CONSULTA</v>
      </c>
      <c r="H1019" s="7" t="str">
        <f>+'[1]BASE RED COMERCIAL'!$B1017</f>
        <v>MENDOZA</v>
      </c>
      <c r="I1019" s="8" t="str">
        <f>+'[1]BASE RED COMERCIAL'!$C1017</f>
        <v>SAN CARLOS</v>
      </c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</row>
    <row r="1020" spans="1:28" x14ac:dyDescent="0.25">
      <c r="A1020" s="14" t="str">
        <f>+'[1]BASE RED COMERCIAL'!$A1018</f>
        <v>M0038</v>
      </c>
      <c r="B1020" s="8" t="str">
        <f>+'[1]BASE RED COMERCIAL'!$H1018</f>
        <v>LA DORMIDA</v>
      </c>
      <c r="C1020" s="7" t="s">
        <v>33</v>
      </c>
      <c r="D1020" s="9" t="str">
        <f>+'[1]BASE RED COMERCIAL'!$E1018</f>
        <v>LOS DAMASCOS</v>
      </c>
      <c r="E1020" s="7">
        <f>+'[1]BASE RED COMERCIAL'!$F1018</f>
        <v>76</v>
      </c>
      <c r="F1020" s="14" t="str">
        <f>+'[1]BASE RED COMERCIAL'!$I1018</f>
        <v>M5592ZAA</v>
      </c>
      <c r="G1020" s="7" t="str">
        <f>+'[1]BASE RED COMERCIAL'!$D1018</f>
        <v>LA DORMIDA</v>
      </c>
      <c r="H1020" s="7" t="str">
        <f>+'[1]BASE RED COMERCIAL'!$B1018</f>
        <v>MENDOZA</v>
      </c>
      <c r="I1020" s="8" t="str">
        <f>+'[1]BASE RED COMERCIAL'!$C1018</f>
        <v>SANTA ROSA</v>
      </c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</row>
    <row r="1021" spans="1:28" x14ac:dyDescent="0.25">
      <c r="A1021" s="14" t="str">
        <f>+'[1]BASE RED COMERCIAL'!$A1019</f>
        <v>M0040</v>
      </c>
      <c r="B1021" s="8" t="str">
        <f>+'[1]BASE RED COMERCIAL'!$H1019</f>
        <v>LA PAZ</v>
      </c>
      <c r="C1021" s="7" t="s">
        <v>33</v>
      </c>
      <c r="D1021" s="9" t="str">
        <f>+'[1]BASE RED COMERCIAL'!$E1019</f>
        <v>GRAL M BELGRANO</v>
      </c>
      <c r="E1021" s="7">
        <f>+'[1]BASE RED COMERCIAL'!$F1019</f>
        <v>200</v>
      </c>
      <c r="F1021" s="14" t="str">
        <f>+'[1]BASE RED COMERCIAL'!$I1019</f>
        <v>M5590ZAA</v>
      </c>
      <c r="G1021" s="7" t="str">
        <f>+'[1]BASE RED COMERCIAL'!$D1019</f>
        <v>LA PAZ</v>
      </c>
      <c r="H1021" s="7" t="str">
        <f>+'[1]BASE RED COMERCIAL'!$B1019</f>
        <v>MENDOZA</v>
      </c>
      <c r="I1021" s="8" t="str">
        <f>+'[1]BASE RED COMERCIAL'!$C1019</f>
        <v>LA PAZ</v>
      </c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</row>
    <row r="1022" spans="1:28" x14ac:dyDescent="0.25">
      <c r="A1022" s="14" t="str">
        <f>+'[1]BASE RED COMERCIAL'!$A1020</f>
        <v>M0042</v>
      </c>
      <c r="B1022" s="8" t="str">
        <f>+'[1]BASE RED COMERCIAL'!$H1020</f>
        <v>LAS CATITAS</v>
      </c>
      <c r="C1022" s="7" t="s">
        <v>33</v>
      </c>
      <c r="D1022" s="9" t="str">
        <f>+'[1]BASE RED COMERCIAL'!$E1020</f>
        <v>CADETES ARGENTINOS</v>
      </c>
      <c r="E1022" s="7">
        <f>+'[1]BASE RED COMERCIAL'!$F1020</f>
        <v>256</v>
      </c>
      <c r="F1022" s="14" t="str">
        <f>+'[1]BASE RED COMERCIAL'!$I1020</f>
        <v>M5594ZAA</v>
      </c>
      <c r="G1022" s="7" t="str">
        <f>+'[1]BASE RED COMERCIAL'!$D1020</f>
        <v>LAS CATITAS</v>
      </c>
      <c r="H1022" s="7" t="str">
        <f>+'[1]BASE RED COMERCIAL'!$B1020</f>
        <v>MENDOZA</v>
      </c>
      <c r="I1022" s="8" t="str">
        <f>+'[1]BASE RED COMERCIAL'!$C1020</f>
        <v>SANTA ROSA</v>
      </c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</row>
    <row r="1023" spans="1:28" x14ac:dyDescent="0.25">
      <c r="A1023" s="14" t="str">
        <f>+'[1]BASE RED COMERCIAL'!$A1021</f>
        <v>M0046</v>
      </c>
      <c r="B1023" s="8" t="str">
        <f>+'[1]BASE RED COMERCIAL'!$H1021</f>
        <v>LAS HERAS</v>
      </c>
      <c r="C1023" s="7" t="s">
        <v>33</v>
      </c>
      <c r="D1023" s="9" t="str">
        <f>+'[1]BASE RED COMERCIAL'!$E1021</f>
        <v>DOMINGO SARMIENTO</v>
      </c>
      <c r="E1023" s="7">
        <f>+'[1]BASE RED COMERCIAL'!$F1021</f>
        <v>1494</v>
      </c>
      <c r="F1023" s="14" t="str">
        <f>+'[1]BASE RED COMERCIAL'!$I1021</f>
        <v>M5540ZAA</v>
      </c>
      <c r="G1023" s="7" t="str">
        <f>+'[1]BASE RED COMERCIAL'!$D1021</f>
        <v>LAS HERAS</v>
      </c>
      <c r="H1023" s="7" t="str">
        <f>+'[1]BASE RED COMERCIAL'!$B1021</f>
        <v>MENDOZA</v>
      </c>
      <c r="I1023" s="8" t="str">
        <f>+'[1]BASE RED COMERCIAL'!$C1021</f>
        <v>LAS HERAS</v>
      </c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</row>
    <row r="1024" spans="1:28" x14ac:dyDescent="0.25">
      <c r="A1024" s="14" t="str">
        <f>+'[1]BASE RED COMERCIAL'!$A1022</f>
        <v>M0048</v>
      </c>
      <c r="B1024" s="8" t="str">
        <f>+'[1]BASE RED COMERCIAL'!$H1022</f>
        <v>LAVALLE</v>
      </c>
      <c r="C1024" s="7" t="s">
        <v>33</v>
      </c>
      <c r="D1024" s="9" t="str">
        <f>+'[1]BASE RED COMERCIAL'!$E1022</f>
        <v>FRAY L BELTRAN</v>
      </c>
      <c r="E1024" s="7">
        <f>+'[1]BASE RED COMERCIAL'!$F1022</f>
        <v>11</v>
      </c>
      <c r="F1024" s="14" t="str">
        <f>+'[1]BASE RED COMERCIAL'!$I1022</f>
        <v>M5664ZAA</v>
      </c>
      <c r="G1024" s="7" t="str">
        <f>+'[1]BASE RED COMERCIAL'!$D1022</f>
        <v>VILLA TULUMAYA</v>
      </c>
      <c r="H1024" s="7" t="str">
        <f>+'[1]BASE RED COMERCIAL'!$B1022</f>
        <v>MENDOZA</v>
      </c>
      <c r="I1024" s="8" t="str">
        <f>+'[1]BASE RED COMERCIAL'!$C1022</f>
        <v>LAVALLE</v>
      </c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</row>
    <row r="1025" spans="1:28" x14ac:dyDescent="0.25">
      <c r="A1025" s="14" t="str">
        <f>+'[1]BASE RED COMERCIAL'!$A1023</f>
        <v>M0052</v>
      </c>
      <c r="B1025" s="8" t="str">
        <f>+'[1]BASE RED COMERCIAL'!$H1023</f>
        <v>LUJAN DE CUYO</v>
      </c>
      <c r="C1025" s="7" t="s">
        <v>33</v>
      </c>
      <c r="D1025" s="9" t="str">
        <f>+'[1]BASE RED COMERCIAL'!$E1023</f>
        <v>GRAL ALVEAR</v>
      </c>
      <c r="E1025" s="7">
        <f>+'[1]BASE RED COMERCIAL'!$F1023</f>
        <v>18</v>
      </c>
      <c r="F1025" s="14" t="str">
        <f>+'[1]BASE RED COMERCIAL'!$I1023</f>
        <v>M5507ZAA</v>
      </c>
      <c r="G1025" s="7" t="str">
        <f>+'[1]BASE RED COMERCIAL'!$D1023</f>
        <v>LUJAN DE CUYO</v>
      </c>
      <c r="H1025" s="7" t="str">
        <f>+'[1]BASE RED COMERCIAL'!$B1023</f>
        <v>MENDOZA</v>
      </c>
      <c r="I1025" s="8" t="str">
        <f>+'[1]BASE RED COMERCIAL'!$C1023</f>
        <v>LUJAN DE CUYO</v>
      </c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</row>
    <row r="1026" spans="1:28" x14ac:dyDescent="0.25">
      <c r="A1026" s="14" t="str">
        <f>+'[1]BASE RED COMERCIAL'!$A1024</f>
        <v>M0056</v>
      </c>
      <c r="B1026" s="8" t="str">
        <f>+'[1]BASE RED COMERCIAL'!$H1024</f>
        <v>MAIPU</v>
      </c>
      <c r="C1026" s="7" t="s">
        <v>33</v>
      </c>
      <c r="D1026" s="9" t="str">
        <f>+'[1]BASE RED COMERCIAL'!$E1024</f>
        <v>GRAL SAN MARTIN</v>
      </c>
      <c r="E1026" s="7">
        <f>+'[1]BASE RED COMERCIAL'!$F1024</f>
        <v>335</v>
      </c>
      <c r="F1026" s="14" t="str">
        <f>+'[1]BASE RED COMERCIAL'!$I1024</f>
        <v>M5515ZAA</v>
      </c>
      <c r="G1026" s="7" t="str">
        <f>+'[1]BASE RED COMERCIAL'!$D1024</f>
        <v>MAIPU</v>
      </c>
      <c r="H1026" s="7" t="str">
        <f>+'[1]BASE RED COMERCIAL'!$B1024</f>
        <v>MENDOZA</v>
      </c>
      <c r="I1026" s="8" t="str">
        <f>+'[1]BASE RED COMERCIAL'!$C1024</f>
        <v>MAIPU</v>
      </c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</row>
    <row r="1027" spans="1:28" x14ac:dyDescent="0.25">
      <c r="A1027" s="14" t="str">
        <f>+'[1]BASE RED COMERCIAL'!$A1025</f>
        <v>M0058</v>
      </c>
      <c r="B1027" s="8" t="str">
        <f>+'[1]BASE RED COMERCIAL'!$H1025</f>
        <v>MALARGÃœE</v>
      </c>
      <c r="C1027" s="7" t="s">
        <v>33</v>
      </c>
      <c r="D1027" s="9" t="str">
        <f>+'[1]BASE RED COMERCIAL'!$E1025</f>
        <v>ADOLFO PUEBLA</v>
      </c>
      <c r="E1027" s="7">
        <f>+'[1]BASE RED COMERCIAL'!$F1025</f>
        <v>203</v>
      </c>
      <c r="F1027" s="14" t="str">
        <f>+'[1]BASE RED COMERCIAL'!$I1025</f>
        <v>M5613ZAA</v>
      </c>
      <c r="G1027" s="7" t="str">
        <f>+'[1]BASE RED COMERCIAL'!$D1025</f>
        <v>MALARGUE</v>
      </c>
      <c r="H1027" s="7" t="str">
        <f>+'[1]BASE RED COMERCIAL'!$B1025</f>
        <v>MENDOZA</v>
      </c>
      <c r="I1027" s="8" t="str">
        <f>+'[1]BASE RED COMERCIAL'!$C1025</f>
        <v>MALARGUE</v>
      </c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</row>
    <row r="1028" spans="1:28" x14ac:dyDescent="0.25">
      <c r="A1028" s="14" t="str">
        <f>+'[1]BASE RED COMERCIAL'!$A1026</f>
        <v>M0060</v>
      </c>
      <c r="B1028" s="8" t="str">
        <f>+'[1]BASE RED COMERCIAL'!$H1026</f>
        <v>MEDRANO</v>
      </c>
      <c r="C1028" s="7" t="s">
        <v>33</v>
      </c>
      <c r="D1028" s="9" t="str">
        <f>+'[1]BASE RED COMERCIAL'!$E1026</f>
        <v>COLON</v>
      </c>
      <c r="E1028" s="7">
        <f>+'[1]BASE RED COMERCIAL'!$F1026</f>
        <v>0</v>
      </c>
      <c r="F1028" s="14" t="str">
        <f>+'[1]BASE RED COMERCIAL'!$I1026</f>
        <v>M5633ZAA</v>
      </c>
      <c r="G1028" s="7" t="str">
        <f>+'[1]BASE RED COMERCIAL'!$D1026</f>
        <v>MEDRANO</v>
      </c>
      <c r="H1028" s="7" t="str">
        <f>+'[1]BASE RED COMERCIAL'!$B1026</f>
        <v>MENDOZA</v>
      </c>
      <c r="I1028" s="8" t="str">
        <f>+'[1]BASE RED COMERCIAL'!$C1026</f>
        <v>RIVADAVIA</v>
      </c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</row>
    <row r="1029" spans="1:28" x14ac:dyDescent="0.25">
      <c r="A1029" s="14" t="str">
        <f>+'[1]BASE RED COMERCIAL'!$A1027</f>
        <v>M0068</v>
      </c>
      <c r="B1029" s="8" t="str">
        <f>+'[1]BASE RED COMERCIAL'!$H1027</f>
        <v>MONTE COMAN</v>
      </c>
      <c r="C1029" s="7" t="s">
        <v>33</v>
      </c>
      <c r="D1029" s="9" t="str">
        <f>+'[1]BASE RED COMERCIAL'!$E1027</f>
        <v>BUENOS AIRES</v>
      </c>
      <c r="E1029" s="7">
        <f>+'[1]BASE RED COMERCIAL'!$F1027</f>
        <v>201</v>
      </c>
      <c r="F1029" s="14" t="str">
        <f>+'[1]BASE RED COMERCIAL'!$I1027</f>
        <v>M5609ZAA</v>
      </c>
      <c r="G1029" s="7" t="str">
        <f>+'[1]BASE RED COMERCIAL'!$D1027</f>
        <v>MONTE COMAN</v>
      </c>
      <c r="H1029" s="7" t="str">
        <f>+'[1]BASE RED COMERCIAL'!$B1027</f>
        <v>MENDOZA</v>
      </c>
      <c r="I1029" s="8" t="str">
        <f>+'[1]BASE RED COMERCIAL'!$C1027</f>
        <v>SAN RAFAEL</v>
      </c>
      <c r="J1029" s="10"/>
      <c r="K1029" s="10"/>
    </row>
    <row r="1030" spans="1:28" x14ac:dyDescent="0.25">
      <c r="A1030" s="14" t="str">
        <f>+'[1]BASE RED COMERCIAL'!$A1028</f>
        <v>M0072</v>
      </c>
      <c r="B1030" s="8" t="str">
        <f>+'[1]BASE RED COMERCIAL'!$H1028</f>
        <v>PALMIRA</v>
      </c>
      <c r="C1030" s="7" t="s">
        <v>33</v>
      </c>
      <c r="D1030" s="9" t="str">
        <f>+'[1]BASE RED COMERCIAL'!$E1028</f>
        <v>JUAN DI PAOLA</v>
      </c>
      <c r="E1030" s="7">
        <f>+'[1]BASE RED COMERCIAL'!$F1028</f>
        <v>200</v>
      </c>
      <c r="F1030" s="14" t="str">
        <f>+'[1]BASE RED COMERCIAL'!$I1028</f>
        <v>M5584ZAA</v>
      </c>
      <c r="G1030" s="7" t="str">
        <f>+'[1]BASE RED COMERCIAL'!$D1028</f>
        <v>PALMIRA</v>
      </c>
      <c r="H1030" s="7" t="str">
        <f>+'[1]BASE RED COMERCIAL'!$B1028</f>
        <v>MENDOZA</v>
      </c>
      <c r="I1030" s="8" t="str">
        <f>+'[1]BASE RED COMERCIAL'!$C1028</f>
        <v>SAN MARTIN</v>
      </c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</row>
    <row r="1031" spans="1:28" x14ac:dyDescent="0.25">
      <c r="A1031" s="14" t="str">
        <f>+'[1]BASE RED COMERCIAL'!$A1029</f>
        <v>M0076</v>
      </c>
      <c r="B1031" s="8" t="str">
        <f>+'[1]BASE RED COMERCIAL'!$H1029</f>
        <v>PUNTA DE VACAS</v>
      </c>
      <c r="C1031" s="7" t="s">
        <v>33</v>
      </c>
      <c r="D1031" s="9" t="str">
        <f>+'[1]BASE RED COMERCIAL'!$E1029</f>
        <v>RUTA 7 S N</v>
      </c>
      <c r="E1031" s="7">
        <f>+'[1]BASE RED COMERCIAL'!$F1029</f>
        <v>0</v>
      </c>
      <c r="F1031" s="14" t="str">
        <f>+'[1]BASE RED COMERCIAL'!$I1029</f>
        <v>M5553ZAA</v>
      </c>
      <c r="G1031" s="7" t="str">
        <f>+'[1]BASE RED COMERCIAL'!$D1029</f>
        <v>PUNTA DE VACAS</v>
      </c>
      <c r="H1031" s="7" t="str">
        <f>+'[1]BASE RED COMERCIAL'!$B1029</f>
        <v>MENDOZA</v>
      </c>
      <c r="I1031" s="8" t="str">
        <f>+'[1]BASE RED COMERCIAL'!$C1029</f>
        <v>LAS HERAS</v>
      </c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</row>
    <row r="1032" spans="1:28" x14ac:dyDescent="0.25">
      <c r="A1032" s="14" t="str">
        <f>+'[1]BASE RED COMERCIAL'!$A1030</f>
        <v>M0078</v>
      </c>
      <c r="B1032" s="8" t="str">
        <f>+'[1]BASE RED COMERCIAL'!$H1030</f>
        <v>REAL DEL PADRE</v>
      </c>
      <c r="C1032" s="7" t="s">
        <v>33</v>
      </c>
      <c r="D1032" s="9" t="str">
        <f>+'[1]BASE RED COMERCIAL'!$E1030</f>
        <v>SAN MARTIN</v>
      </c>
      <c r="E1032" s="7">
        <f>+'[1]BASE RED COMERCIAL'!$F1030</f>
        <v>280</v>
      </c>
      <c r="F1032" s="14" t="str">
        <f>+'[1]BASE RED COMERCIAL'!$I1030</f>
        <v>M5624ZAA</v>
      </c>
      <c r="G1032" s="7" t="str">
        <f>+'[1]BASE RED COMERCIAL'!$D1030</f>
        <v>REAL DEL PADRE</v>
      </c>
      <c r="H1032" s="7" t="str">
        <f>+'[1]BASE RED COMERCIAL'!$B1030</f>
        <v>MENDOZA</v>
      </c>
      <c r="I1032" s="8" t="str">
        <f>+'[1]BASE RED COMERCIAL'!$C1030</f>
        <v>SAN RAFAEL</v>
      </c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</row>
    <row r="1033" spans="1:28" x14ac:dyDescent="0.25">
      <c r="A1033" s="14" t="str">
        <f>+'[1]BASE RED COMERCIAL'!$A1031</f>
        <v>M0080</v>
      </c>
      <c r="B1033" s="8" t="str">
        <f>+'[1]BASE RED COMERCIAL'!$H1031</f>
        <v>RIVADAVIA</v>
      </c>
      <c r="C1033" s="7" t="s">
        <v>33</v>
      </c>
      <c r="D1033" s="9" t="str">
        <f>+'[1]BASE RED COMERCIAL'!$E1031</f>
        <v>ARISTOBULO DEL VALLE</v>
      </c>
      <c r="E1033" s="7">
        <f>+'[1]BASE RED COMERCIAL'!$F1031</f>
        <v>189</v>
      </c>
      <c r="F1033" s="14" t="str">
        <f>+'[1]BASE RED COMERCIAL'!$I1031</f>
        <v>M5577ZAA</v>
      </c>
      <c r="G1033" s="7" t="str">
        <f>+'[1]BASE RED COMERCIAL'!$D1031</f>
        <v>RIVADAVIA</v>
      </c>
      <c r="H1033" s="7" t="str">
        <f>+'[1]BASE RED COMERCIAL'!$B1031</f>
        <v>MENDOZA</v>
      </c>
      <c r="I1033" s="8" t="str">
        <f>+'[1]BASE RED COMERCIAL'!$C1031</f>
        <v>RIVADAVIA</v>
      </c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</row>
    <row r="1034" spans="1:28" x14ac:dyDescent="0.25">
      <c r="A1034" s="14" t="str">
        <f>+'[1]BASE RED COMERCIAL'!$A1032</f>
        <v>M0082</v>
      </c>
      <c r="B1034" s="8" t="str">
        <f>+'[1]BASE RED COMERCIAL'!$H1032</f>
        <v>RODEO  DE LA CRUZ</v>
      </c>
      <c r="C1034" s="7" t="s">
        <v>33</v>
      </c>
      <c r="D1034" s="9" t="str">
        <f>+'[1]BASE RED COMERCIAL'!$E1032</f>
        <v>AV BANDERA DE LOS ANDES</v>
      </c>
      <c r="E1034" s="7">
        <f>+'[1]BASE RED COMERCIAL'!$F1032</f>
        <v>10523</v>
      </c>
      <c r="F1034" s="14" t="str">
        <f>+'[1]BASE RED COMERCIAL'!$I1032</f>
        <v>M5525ZAA</v>
      </c>
      <c r="G1034" s="7" t="str">
        <f>+'[1]BASE RED COMERCIAL'!$D1032</f>
        <v>KILOMETRO 11</v>
      </c>
      <c r="H1034" s="7" t="str">
        <f>+'[1]BASE RED COMERCIAL'!$B1032</f>
        <v>MENDOZA</v>
      </c>
      <c r="I1034" s="8" t="str">
        <f>+'[1]BASE RED COMERCIAL'!$C1032</f>
        <v>GUAYMALLEN</v>
      </c>
      <c r="J1034" s="10"/>
      <c r="K1034" s="10"/>
    </row>
    <row r="1035" spans="1:28" x14ac:dyDescent="0.25">
      <c r="A1035" s="14" t="str">
        <f>+'[1]BASE RED COMERCIAL'!$A1033</f>
        <v>M0084</v>
      </c>
      <c r="B1035" s="8" t="str">
        <f>+'[1]BASE RED COMERCIAL'!$H1033</f>
        <v>RODEO DEL MEDIO</v>
      </c>
      <c r="C1035" s="7" t="s">
        <v>33</v>
      </c>
      <c r="D1035" s="9" t="str">
        <f>+'[1]BASE RED COMERCIAL'!$E1033</f>
        <v>R PROV 50</v>
      </c>
      <c r="E1035" s="7">
        <f>+'[1]BASE RED COMERCIAL'!$F1033</f>
        <v>4387</v>
      </c>
      <c r="F1035" s="14" t="str">
        <f>+'[1]BASE RED COMERCIAL'!$I1033</f>
        <v>M5529ZAB</v>
      </c>
      <c r="G1035" s="7" t="str">
        <f>+'[1]BASE RED COMERCIAL'!$D1033</f>
        <v>RODEO DEL MEDIO</v>
      </c>
      <c r="H1035" s="7" t="str">
        <f>+'[1]BASE RED COMERCIAL'!$B1033</f>
        <v>MENDOZA</v>
      </c>
      <c r="I1035" s="8" t="str">
        <f>+'[1]BASE RED COMERCIAL'!$C1033</f>
        <v>MAIPU</v>
      </c>
      <c r="J1035" s="10"/>
      <c r="K1035" s="10"/>
    </row>
    <row r="1036" spans="1:28" x14ac:dyDescent="0.25">
      <c r="A1036" s="14" t="str">
        <f>+'[1]BASE RED COMERCIAL'!$A1034</f>
        <v>M0088</v>
      </c>
      <c r="B1036" s="8" t="str">
        <f>+'[1]BASE RED COMERCIAL'!$H1034</f>
        <v>SAN CARLOS</v>
      </c>
      <c r="C1036" s="7" t="s">
        <v>33</v>
      </c>
      <c r="D1036" s="9" t="str">
        <f>+'[1]BASE RED COMERCIAL'!$E1034</f>
        <v>SAN MARTIN</v>
      </c>
      <c r="E1036" s="7">
        <f>+'[1]BASE RED COMERCIAL'!$F1034</f>
        <v>169</v>
      </c>
      <c r="F1036" s="14" t="str">
        <f>+'[1]BASE RED COMERCIAL'!$I1034</f>
        <v>M5512ZAA</v>
      </c>
      <c r="G1036" s="7" t="str">
        <f>+'[1]BASE RED COMERCIAL'!$D1034</f>
        <v>SAN CARLOS</v>
      </c>
      <c r="H1036" s="7" t="str">
        <f>+'[1]BASE RED COMERCIAL'!$B1034</f>
        <v>MENDOZA</v>
      </c>
      <c r="I1036" s="8" t="str">
        <f>+'[1]BASE RED COMERCIAL'!$C1034</f>
        <v>SAN CARLOS</v>
      </c>
      <c r="J1036" s="10"/>
      <c r="K1036" s="10"/>
    </row>
    <row r="1037" spans="1:28" x14ac:dyDescent="0.25">
      <c r="A1037" s="14" t="str">
        <f>+'[1]BASE RED COMERCIAL'!$A1035</f>
        <v>M0090</v>
      </c>
      <c r="B1037" s="8" t="str">
        <f>+'[1]BASE RED COMERCIAL'!$H1035</f>
        <v>SAN JOSE</v>
      </c>
      <c r="C1037" s="7" t="s">
        <v>33</v>
      </c>
      <c r="D1037" s="9" t="str">
        <f>+'[1]BASE RED COMERCIAL'!$E1035</f>
        <v>DR TOMAS GODOY CRUZ</v>
      </c>
      <c r="E1037" s="7">
        <f>+'[1]BASE RED COMERCIAL'!$F1035</f>
        <v>1116</v>
      </c>
      <c r="F1037" s="14" t="str">
        <f>+'[1]BASE RED COMERCIAL'!$I1035</f>
        <v>M5535ZAA</v>
      </c>
      <c r="G1037" s="7" t="str">
        <f>+'[1]BASE RED COMERCIAL'!$D1035</f>
        <v>SAN JOSE</v>
      </c>
      <c r="H1037" s="7" t="str">
        <f>+'[1]BASE RED COMERCIAL'!$B1035</f>
        <v>MENDOZA</v>
      </c>
      <c r="I1037" s="8" t="str">
        <f>+'[1]BASE RED COMERCIAL'!$C1035</f>
        <v>GUAYMALLEN</v>
      </c>
      <c r="J1037" s="10"/>
      <c r="K1037" s="10"/>
    </row>
    <row r="1038" spans="1:28" x14ac:dyDescent="0.25">
      <c r="A1038" s="14" t="str">
        <f>+'[1]BASE RED COMERCIAL'!$A1036</f>
        <v>M0092</v>
      </c>
      <c r="B1038" s="8" t="str">
        <f>+'[1]BASE RED COMERCIAL'!$H1036</f>
        <v>SAN RAFAEL</v>
      </c>
      <c r="C1038" s="7" t="s">
        <v>33</v>
      </c>
      <c r="D1038" s="9" t="str">
        <f>+'[1]BASE RED COMERCIAL'!$E1036</f>
        <v>SAN LORENZO</v>
      </c>
      <c r="E1038" s="7">
        <f>+'[1]BASE RED COMERCIAL'!$F1036</f>
        <v>69</v>
      </c>
      <c r="F1038" s="14" t="str">
        <f>+'[1]BASE RED COMERCIAL'!$I1036</f>
        <v>M5600ZAA</v>
      </c>
      <c r="G1038" s="7" t="str">
        <f>+'[1]BASE RED COMERCIAL'!$D1036</f>
        <v>SAN RAFAEL</v>
      </c>
      <c r="H1038" s="7" t="str">
        <f>+'[1]BASE RED COMERCIAL'!$B1036</f>
        <v>MENDOZA</v>
      </c>
      <c r="I1038" s="8" t="str">
        <f>+'[1]BASE RED COMERCIAL'!$C1036</f>
        <v>SAN RAFAEL</v>
      </c>
      <c r="J1038" s="10"/>
      <c r="K1038" s="10"/>
    </row>
    <row r="1039" spans="1:28" x14ac:dyDescent="0.25">
      <c r="A1039" s="14" t="str">
        <f>+'[1]BASE RED COMERCIAL'!$A1037</f>
        <v>M0094</v>
      </c>
      <c r="B1039" s="8" t="str">
        <f>+'[1]BASE RED COMERCIAL'!$H1037</f>
        <v>SANTA ROSA</v>
      </c>
      <c r="C1039" s="7" t="s">
        <v>33</v>
      </c>
      <c r="D1039" s="9" t="str">
        <f>+'[1]BASE RED COMERCIAL'!$E1037</f>
        <v>PTE GRAL JULIO A ROCA</v>
      </c>
      <c r="E1039" s="7">
        <f>+'[1]BASE RED COMERCIAL'!$F1037</f>
        <v>269</v>
      </c>
      <c r="F1039" s="14" t="str">
        <f>+'[1]BASE RED COMERCIAL'!$I1037</f>
        <v>M5596ZAA</v>
      </c>
      <c r="G1039" s="7" t="str">
        <f>+'[1]BASE RED COMERCIAL'!$D1037</f>
        <v>SANTA ROSA</v>
      </c>
      <c r="H1039" s="7" t="str">
        <f>+'[1]BASE RED COMERCIAL'!$B1037</f>
        <v>MENDOZA</v>
      </c>
      <c r="I1039" s="8" t="str">
        <f>+'[1]BASE RED COMERCIAL'!$C1037</f>
        <v>SANTA ROSA</v>
      </c>
      <c r="J1039" s="10"/>
      <c r="K1039" s="10"/>
    </row>
    <row r="1040" spans="1:28" x14ac:dyDescent="0.25">
      <c r="A1040" s="14" t="str">
        <f>+'[1]BASE RED COMERCIAL'!$A1038</f>
        <v>M0096</v>
      </c>
      <c r="B1040" s="8" t="str">
        <f>+'[1]BASE RED COMERCIAL'!$H1038</f>
        <v>TUNUYAN</v>
      </c>
      <c r="C1040" s="7" t="s">
        <v>33</v>
      </c>
      <c r="D1040" s="9" t="str">
        <f>+'[1]BASE RED COMERCIAL'!$E1038</f>
        <v>PTE H YRIGOYEN</v>
      </c>
      <c r="E1040" s="7">
        <f>+'[1]BASE RED COMERCIAL'!$F1038</f>
        <v>721</v>
      </c>
      <c r="F1040" s="14" t="str">
        <f>+'[1]BASE RED COMERCIAL'!$I1038</f>
        <v>M5560ZAA</v>
      </c>
      <c r="G1040" s="7" t="str">
        <f>+'[1]BASE RED COMERCIAL'!$D1038</f>
        <v>TUNUYAN</v>
      </c>
      <c r="H1040" s="7" t="str">
        <f>+'[1]BASE RED COMERCIAL'!$B1038</f>
        <v>MENDOZA</v>
      </c>
      <c r="I1040" s="8" t="str">
        <f>+'[1]BASE RED COMERCIAL'!$C1038</f>
        <v>TUNUYAN</v>
      </c>
      <c r="J1040" s="10"/>
      <c r="K1040" s="10"/>
    </row>
    <row r="1041" spans="1:28" x14ac:dyDescent="0.25">
      <c r="A1041" s="14" t="str">
        <f>+'[1]BASE RED COMERCIAL'!$A1039</f>
        <v>M0098</v>
      </c>
      <c r="B1041" s="8" t="str">
        <f>+'[1]BASE RED COMERCIAL'!$H1039</f>
        <v>TUPUNGATO</v>
      </c>
      <c r="C1041" s="7" t="s">
        <v>33</v>
      </c>
      <c r="D1041" s="9" t="str">
        <f>+'[1]BASE RED COMERCIAL'!$E1039</f>
        <v>ALTE G BROWN</v>
      </c>
      <c r="E1041" s="7">
        <f>+'[1]BASE RED COMERCIAL'!$F1039</f>
        <v>100</v>
      </c>
      <c r="F1041" s="14" t="str">
        <f>+'[1]BASE RED COMERCIAL'!$I1039</f>
        <v>M5561ZAA</v>
      </c>
      <c r="G1041" s="7" t="str">
        <f>+'[1]BASE RED COMERCIAL'!$D1039</f>
        <v>TUPUNGATO</v>
      </c>
      <c r="H1041" s="7" t="str">
        <f>+'[1]BASE RED COMERCIAL'!$B1039</f>
        <v>MENDOZA</v>
      </c>
      <c r="I1041" s="8" t="str">
        <f>+'[1]BASE RED COMERCIAL'!$C1039</f>
        <v>TUPUNGATO</v>
      </c>
      <c r="J1041" s="10"/>
      <c r="K1041" s="10"/>
    </row>
    <row r="1042" spans="1:28" x14ac:dyDescent="0.25">
      <c r="A1042" s="14" t="str">
        <f>+'[1]BASE RED COMERCIAL'!$A1040</f>
        <v>M0100</v>
      </c>
      <c r="B1042" s="8" t="str">
        <f>+'[1]BASE RED COMERCIAL'!$H1040</f>
        <v>USPALLATA</v>
      </c>
      <c r="C1042" s="7" t="s">
        <v>33</v>
      </c>
      <c r="D1042" s="9" t="str">
        <f>+'[1]BASE RED COMERCIAL'!$E1040</f>
        <v>R NAC 7</v>
      </c>
      <c r="E1042" s="7">
        <f>+'[1]BASE RED COMERCIAL'!$F1040</f>
        <v>0</v>
      </c>
      <c r="F1042" s="14" t="str">
        <f>+'[1]BASE RED COMERCIAL'!$I1040</f>
        <v>M5545ZAA</v>
      </c>
      <c r="G1042" s="7" t="str">
        <f>+'[1]BASE RED COMERCIAL'!$D1040</f>
        <v>USPALLATA</v>
      </c>
      <c r="H1042" s="7" t="str">
        <f>+'[1]BASE RED COMERCIAL'!$B1040</f>
        <v>MENDOZA</v>
      </c>
      <c r="I1042" s="8" t="str">
        <f>+'[1]BASE RED COMERCIAL'!$C1040</f>
        <v>LAS HERAS</v>
      </c>
      <c r="J1042" s="10"/>
      <c r="K1042" s="10"/>
    </row>
    <row r="1043" spans="1:28" x14ac:dyDescent="0.25">
      <c r="A1043" s="14" t="str">
        <f>+'[1]BASE RED COMERCIAL'!$A1041</f>
        <v>M0102</v>
      </c>
      <c r="B1043" s="8" t="str">
        <f>+'[1]BASE RED COMERCIAL'!$H1041</f>
        <v>V. DE LAS LEÃ‘AS</v>
      </c>
      <c r="C1043" s="7" t="s">
        <v>33</v>
      </c>
      <c r="D1043" s="9" t="str">
        <f>+'[1]BASE RED COMERCIAL'!$E1041</f>
        <v>COMPLEJO TURÃSTICO LAS LEÃ‘AS</v>
      </c>
      <c r="E1043" s="7">
        <f>+'[1]BASE RED COMERCIAL'!$F1041</f>
        <v>0</v>
      </c>
      <c r="F1043" s="14" t="str">
        <f>+'[1]BASE RED COMERCIAL'!$I1041</f>
        <v>M5612ZAA</v>
      </c>
      <c r="G1043" s="7" t="str">
        <f>+'[1]BASE RED COMERCIAL'!$D1041</f>
        <v>VALLE DE LAS LEÃ‘AS</v>
      </c>
      <c r="H1043" s="7" t="str">
        <f>+'[1]BASE RED COMERCIAL'!$B1041</f>
        <v>MENDOZA</v>
      </c>
      <c r="I1043" s="8" t="str">
        <f>+'[1]BASE RED COMERCIAL'!$C1041</f>
        <v>MALARGUE</v>
      </c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</row>
    <row r="1044" spans="1:28" x14ac:dyDescent="0.25">
      <c r="A1044" s="14" t="str">
        <f>+'[1]BASE RED COMERCIAL'!$A1042</f>
        <v>M0106</v>
      </c>
      <c r="B1044" s="8" t="str">
        <f>+'[1]BASE RED COMERCIAL'!$H1042</f>
        <v>VILLA ATUEL</v>
      </c>
      <c r="C1044" s="7" t="s">
        <v>33</v>
      </c>
      <c r="D1044" s="9" t="str">
        <f>+'[1]BASE RED COMERCIAL'!$E1042</f>
        <v>DOMINGO SARMIENTO</v>
      </c>
      <c r="E1044" s="7">
        <f>+'[1]BASE RED COMERCIAL'!$F1042</f>
        <v>32</v>
      </c>
      <c r="F1044" s="14" t="str">
        <f>+'[1]BASE RED COMERCIAL'!$I1042</f>
        <v>M5622ZAA</v>
      </c>
      <c r="G1044" s="7" t="str">
        <f>+'[1]BASE RED COMERCIAL'!$D1042</f>
        <v>VILLA ATUEL</v>
      </c>
      <c r="H1044" s="7" t="str">
        <f>+'[1]BASE RED COMERCIAL'!$B1042</f>
        <v>MENDOZA</v>
      </c>
      <c r="I1044" s="8" t="str">
        <f>+'[1]BASE RED COMERCIAL'!$C1042</f>
        <v>SAN RAFAEL</v>
      </c>
      <c r="J1044" s="10"/>
      <c r="K1044" s="10"/>
    </row>
    <row r="1045" spans="1:28" x14ac:dyDescent="0.25">
      <c r="A1045" s="14" t="str">
        <f>+'[1]BASE RED COMERCIAL'!$A1043</f>
        <v>M0108</v>
      </c>
      <c r="B1045" s="8" t="str">
        <f>+'[1]BASE RED COMERCIAL'!$H1043</f>
        <v>CDAD. DE JUNIN</v>
      </c>
      <c r="C1045" s="7" t="s">
        <v>33</v>
      </c>
      <c r="D1045" s="9" t="str">
        <f>+'[1]BASE RED COMERCIAL'!$E1043</f>
        <v>DOMINGO SARMIENTO</v>
      </c>
      <c r="E1045" s="7">
        <f>+'[1]BASE RED COMERCIAL'!$F1043</f>
        <v>93</v>
      </c>
      <c r="F1045" s="14" t="str">
        <f>+'[1]BASE RED COMERCIAL'!$I1043</f>
        <v>M5573ZAB</v>
      </c>
      <c r="G1045" s="7" t="str">
        <f>+'[1]BASE RED COMERCIAL'!$D1043</f>
        <v>JUNIN</v>
      </c>
      <c r="H1045" s="7" t="str">
        <f>+'[1]BASE RED COMERCIAL'!$B1043</f>
        <v>MENDOZA</v>
      </c>
      <c r="I1045" s="8" t="str">
        <f>+'[1]BASE RED COMERCIAL'!$C1043</f>
        <v>JUNIN</v>
      </c>
      <c r="J1045" s="10"/>
      <c r="K1045" s="10"/>
    </row>
    <row r="1046" spans="1:28" x14ac:dyDescent="0.25">
      <c r="A1046" s="14" t="str">
        <f>+'[1]BASE RED COMERCIAL'!$A1044</f>
        <v>M0112</v>
      </c>
      <c r="B1046" s="8" t="str">
        <f>+'[1]BASE RED COMERCIAL'!$H1044</f>
        <v>VILLA NUEVA</v>
      </c>
      <c r="C1046" s="7" t="s">
        <v>33</v>
      </c>
      <c r="D1046" s="9" t="str">
        <f>+'[1]BASE RED COMERCIAL'!$E1044</f>
        <v>BANDERA DE LOS ANDES</v>
      </c>
      <c r="E1046" s="7">
        <f>+'[1]BASE RED COMERCIAL'!$F1044</f>
        <v>4190</v>
      </c>
      <c r="F1046" s="14" t="str">
        <f>+'[1]BASE RED COMERCIAL'!$I1044</f>
        <v>M5521ZAA</v>
      </c>
      <c r="G1046" s="7" t="str">
        <f>+'[1]BASE RED COMERCIAL'!$D1044</f>
        <v>VILLA NUEVA</v>
      </c>
      <c r="H1046" s="7" t="str">
        <f>+'[1]BASE RED COMERCIAL'!$B1044</f>
        <v>MENDOZA</v>
      </c>
      <c r="I1046" s="8" t="str">
        <f>+'[1]BASE RED COMERCIAL'!$C1044</f>
        <v>GUAYMALLEN</v>
      </c>
      <c r="J1046" s="10"/>
      <c r="K1046" s="10"/>
    </row>
    <row r="1047" spans="1:28" x14ac:dyDescent="0.25">
      <c r="A1047" s="14" t="str">
        <f>+'[1]BASE RED COMERCIAL'!$A1045</f>
        <v>M0114</v>
      </c>
      <c r="B1047" s="8" t="str">
        <f>+'[1]BASE RED COMERCIAL'!$H1045</f>
        <v>VISTA FLORES</v>
      </c>
      <c r="C1047" s="7" t="s">
        <v>33</v>
      </c>
      <c r="D1047" s="9" t="str">
        <f>+'[1]BASE RED COMERCIAL'!$E1045</f>
        <v>DR MARIANO MORENO</v>
      </c>
      <c r="E1047" s="7">
        <f>+'[1]BASE RED COMERCIAL'!$F1045</f>
        <v>131</v>
      </c>
      <c r="F1047" s="14" t="str">
        <f>+'[1]BASE RED COMERCIAL'!$I1045</f>
        <v>M5665ZAA</v>
      </c>
      <c r="G1047" s="7" t="str">
        <f>+'[1]BASE RED COMERCIAL'!$D1045</f>
        <v>VISTA FLORES</v>
      </c>
      <c r="H1047" s="7" t="str">
        <f>+'[1]BASE RED COMERCIAL'!$B1045</f>
        <v>MENDOZA</v>
      </c>
      <c r="I1047" s="8" t="str">
        <f>+'[1]BASE RED COMERCIAL'!$C1045</f>
        <v>TUNUYAN</v>
      </c>
      <c r="J1047" s="10"/>
      <c r="K1047" s="10"/>
    </row>
    <row r="1048" spans="1:28" x14ac:dyDescent="0.25">
      <c r="A1048" s="14" t="str">
        <f>+'[1]BASE RED COMERCIAL'!$A1046</f>
        <v>M1325</v>
      </c>
      <c r="B1048" s="8" t="str">
        <f>+'[1]BASE RED COMERCIAL'!$H1046</f>
        <v>NÂº 7 EL RETAMO</v>
      </c>
      <c r="C1048" s="7" t="s">
        <v>33</v>
      </c>
      <c r="D1048" s="9" t="str">
        <f>+'[1]BASE RED COMERCIAL'!$E1046</f>
        <v>NÂº 7 EL RETAMO- LAVALLE</v>
      </c>
      <c r="E1048" s="7">
        <f>+'[1]BASE RED COMERCIAL'!$F1046</f>
        <v>0</v>
      </c>
      <c r="F1048" s="14" t="str">
        <f>+'[1]BASE RED COMERCIAL'!$I1046</f>
        <v>M5537ZAB</v>
      </c>
      <c r="G1048" s="7" t="str">
        <f>+'[1]BASE RED COMERCIAL'!$D1046</f>
        <v>EL RETAMO</v>
      </c>
      <c r="H1048" s="7" t="str">
        <f>+'[1]BASE RED COMERCIAL'!$B1046</f>
        <v>MENDOZA</v>
      </c>
      <c r="I1048" s="8" t="str">
        <f>+'[1]BASE RED COMERCIAL'!$C1046</f>
        <v>LAVALLE</v>
      </c>
      <c r="J1048" s="10"/>
      <c r="K1048" s="10"/>
    </row>
    <row r="1049" spans="1:28" x14ac:dyDescent="0.25">
      <c r="A1049" s="14" t="str">
        <f>+'[1]BASE RED COMERCIAL'!$A1047</f>
        <v>M1326</v>
      </c>
      <c r="B1049" s="8" t="str">
        <f>+'[1]BASE RED COMERCIAL'!$H1047</f>
        <v>EL MANZANO</v>
      </c>
      <c r="C1049" s="7" t="s">
        <v>33</v>
      </c>
      <c r="D1049" s="9" t="str">
        <f>+'[1]BASE RED COMERCIAL'!$E1047</f>
        <v>RUTA 40 S/N</v>
      </c>
      <c r="E1049" s="7">
        <f>+'[1]BASE RED COMERCIAL'!$F1047</f>
        <v>0</v>
      </c>
      <c r="F1049" s="14" t="str">
        <f>+'[1]BASE RED COMERCIAL'!$I1047</f>
        <v>M5611ZAB</v>
      </c>
      <c r="G1049" s="7" t="str">
        <f>+'[1]BASE RED COMERCIAL'!$D1047</f>
        <v>EL MANZANO</v>
      </c>
      <c r="H1049" s="7" t="str">
        <f>+'[1]BASE RED COMERCIAL'!$B1047</f>
        <v>MENDOZA</v>
      </c>
      <c r="I1049" s="8" t="str">
        <f>+'[1]BASE RED COMERCIAL'!$C1047</f>
        <v>MALARGUE</v>
      </c>
      <c r="J1049" s="10"/>
      <c r="K1049" s="10"/>
    </row>
    <row r="1050" spans="1:28" x14ac:dyDescent="0.25">
      <c r="A1050" s="14" t="str">
        <f>+'[1]BASE RED COMERCIAL'!$A1048</f>
        <v>M1378</v>
      </c>
      <c r="B1050" s="8" t="str">
        <f>+'[1]BASE RED COMERCIAL'!$H1048</f>
        <v>LA LIBERTAD</v>
      </c>
      <c r="C1050" s="7" t="s">
        <v>33</v>
      </c>
      <c r="D1050" s="9" t="str">
        <f>+'[1]BASE RED COMERCIAL'!$E1048</f>
        <v>R PROV 62</v>
      </c>
      <c r="E1050" s="7">
        <f>+'[1]BASE RED COMERCIAL'!$F1048</f>
        <v>0</v>
      </c>
      <c r="F1050" s="14" t="str">
        <f>+'[1]BASE RED COMERCIAL'!$I1048</f>
        <v>M5558ZAA</v>
      </c>
      <c r="G1050" s="7" t="str">
        <f>+'[1]BASE RED COMERCIAL'!$D1048</f>
        <v>LA LIBERTAD</v>
      </c>
      <c r="H1050" s="7" t="str">
        <f>+'[1]BASE RED COMERCIAL'!$B1048</f>
        <v>MENDOZA</v>
      </c>
      <c r="I1050" s="8" t="str">
        <f>+'[1]BASE RED COMERCIAL'!$C1048</f>
        <v>RIVADAVIA</v>
      </c>
      <c r="J1050" s="10"/>
      <c r="K1050" s="10"/>
    </row>
    <row r="1051" spans="1:28" x14ac:dyDescent="0.25">
      <c r="A1051" s="14" t="str">
        <f>+'[1]BASE RED COMERCIAL'!$A1049</f>
        <v>M1388</v>
      </c>
      <c r="B1051" s="8" t="str">
        <f>+'[1]BASE RED COMERCIAL'!$H1049</f>
        <v>EL BORBOLLON</v>
      </c>
      <c r="C1051" s="7" t="s">
        <v>33</v>
      </c>
      <c r="D1051" s="9" t="str">
        <f>+'[1]BASE RED COMERCIAL'!$E1049</f>
        <v>EL BORBOLLON</v>
      </c>
      <c r="E1051" s="7">
        <f>+'[1]BASE RED COMERCIAL'!$F1049</f>
        <v>0</v>
      </c>
      <c r="F1051" s="14" t="str">
        <f>+'[1]BASE RED COMERCIAL'!$I1049</f>
        <v>M5666ZAA</v>
      </c>
      <c r="G1051" s="7" t="str">
        <f>+'[1]BASE RED COMERCIAL'!$D1049</f>
        <v>ALGARROBAL ABAJO</v>
      </c>
      <c r="H1051" s="7" t="str">
        <f>+'[1]BASE RED COMERCIAL'!$B1049</f>
        <v>MENDOZA</v>
      </c>
      <c r="I1051" s="8" t="str">
        <f>+'[1]BASE RED COMERCIAL'!$C1049</f>
        <v>LAS HERAS</v>
      </c>
      <c r="J1051" s="10"/>
      <c r="K1051" s="10"/>
    </row>
    <row r="1052" spans="1:28" x14ac:dyDescent="0.25">
      <c r="A1052" s="14" t="str">
        <f>+'[1]BASE RED COMERCIAL'!$A1050</f>
        <v>N0000</v>
      </c>
      <c r="B1052" s="8" t="str">
        <f>+'[1]BASE RED COMERCIAL'!$H1050</f>
        <v>POSADAS</v>
      </c>
      <c r="C1052" s="7" t="s">
        <v>33</v>
      </c>
      <c r="D1052" s="9" t="str">
        <f>+'[1]BASE RED COMERCIAL'!$E1050</f>
        <v>GRAL SIMON BOLIVAR</v>
      </c>
      <c r="E1052" s="7">
        <f>+'[1]BASE RED COMERCIAL'!$F1050</f>
        <v>2112</v>
      </c>
      <c r="F1052" s="14" t="str">
        <f>+'[1]BASE RED COMERCIAL'!$I1050</f>
        <v>N3300ZAA</v>
      </c>
      <c r="G1052" s="7" t="str">
        <f>+'[1]BASE RED COMERCIAL'!$D1050</f>
        <v>POSADAS</v>
      </c>
      <c r="H1052" s="7" t="str">
        <f>+'[1]BASE RED COMERCIAL'!$B1050</f>
        <v>MISIONES</v>
      </c>
      <c r="I1052" s="8" t="str">
        <f>+'[1]BASE RED COMERCIAL'!$C1050</f>
        <v>CAPITAL</v>
      </c>
      <c r="J1052" s="10"/>
      <c r="K1052" s="10"/>
    </row>
    <row r="1053" spans="1:28" x14ac:dyDescent="0.25">
      <c r="A1053" s="14" t="str">
        <f>+'[1]BASE RED COMERCIAL'!$A1051</f>
        <v>N0002</v>
      </c>
      <c r="B1053" s="8" t="str">
        <f>+'[1]BASE RED COMERCIAL'!$H1051</f>
        <v>ALBA POSSE</v>
      </c>
      <c r="C1053" s="7" t="s">
        <v>33</v>
      </c>
      <c r="D1053" s="9" t="str">
        <f>+'[1]BASE RED COMERCIAL'!$E1051</f>
        <v>GRAL SAN MARTIN</v>
      </c>
      <c r="E1053" s="7">
        <f>+'[1]BASE RED COMERCIAL'!$F1051</f>
        <v>0</v>
      </c>
      <c r="F1053" s="14" t="str">
        <f>+'[1]BASE RED COMERCIAL'!$I1051</f>
        <v>N3363ZAA</v>
      </c>
      <c r="G1053" s="7" t="str">
        <f>+'[1]BASE RED COMERCIAL'!$D1051</f>
        <v>ALBA POSSE</v>
      </c>
      <c r="H1053" s="7" t="str">
        <f>+'[1]BASE RED COMERCIAL'!$B1051</f>
        <v>MISIONES</v>
      </c>
      <c r="I1053" s="8" t="str">
        <f>+'[1]BASE RED COMERCIAL'!$C1051</f>
        <v>25 DE MAYO</v>
      </c>
      <c r="J1053" s="10"/>
      <c r="K1053" s="10"/>
    </row>
    <row r="1054" spans="1:28" x14ac:dyDescent="0.25">
      <c r="A1054" s="14" t="str">
        <f>+'[1]BASE RED COMERCIAL'!$A1052</f>
        <v>N0004</v>
      </c>
      <c r="B1054" s="8" t="str">
        <f>+'[1]BASE RED COMERCIAL'!$H1052</f>
        <v>APOSTOLES</v>
      </c>
      <c r="C1054" s="7" t="s">
        <v>33</v>
      </c>
      <c r="D1054" s="9" t="str">
        <f>+'[1]BASE RED COMERCIAL'!$E1052</f>
        <v>AV SARMIENTO</v>
      </c>
      <c r="E1054" s="7">
        <f>+'[1]BASE RED COMERCIAL'!$F1052</f>
        <v>334</v>
      </c>
      <c r="F1054" s="14" t="str">
        <f>+'[1]BASE RED COMERCIAL'!$I1052</f>
        <v>N3350ZAA</v>
      </c>
      <c r="G1054" s="7" t="str">
        <f>+'[1]BASE RED COMERCIAL'!$D1052</f>
        <v>APOSTOLES</v>
      </c>
      <c r="H1054" s="7" t="str">
        <f>+'[1]BASE RED COMERCIAL'!$B1052</f>
        <v>MISIONES</v>
      </c>
      <c r="I1054" s="8" t="str">
        <f>+'[1]BASE RED COMERCIAL'!$C1052</f>
        <v>APOSTOLES</v>
      </c>
      <c r="J1054" s="10"/>
      <c r="K1054" s="10"/>
    </row>
    <row r="1055" spans="1:28" x14ac:dyDescent="0.25">
      <c r="A1055" s="14" t="str">
        <f>+'[1]BASE RED COMERCIAL'!$A1053</f>
        <v>N0006</v>
      </c>
      <c r="B1055" s="8" t="str">
        <f>+'[1]BASE RED COMERCIAL'!$H1053</f>
        <v>A. DEL VALLE</v>
      </c>
      <c r="C1055" s="7" t="s">
        <v>33</v>
      </c>
      <c r="D1055" s="9" t="str">
        <f>+'[1]BASE RED COMERCIAL'!$E1053</f>
        <v>AV DE LAS AMERICAS</v>
      </c>
      <c r="E1055" s="7">
        <f>+'[1]BASE RED COMERCIAL'!$F1053</f>
        <v>877</v>
      </c>
      <c r="F1055" s="14" t="str">
        <f>+'[1]BASE RED COMERCIAL'!$I1053</f>
        <v>N3364ZAA</v>
      </c>
      <c r="G1055" s="7" t="str">
        <f>+'[1]BASE RED COMERCIAL'!$D1053</f>
        <v>ARISTOBULO DEL VALLE</v>
      </c>
      <c r="H1055" s="7" t="str">
        <f>+'[1]BASE RED COMERCIAL'!$B1053</f>
        <v>MISIONES</v>
      </c>
      <c r="I1055" s="8" t="str">
        <f>+'[1]BASE RED COMERCIAL'!$C1053</f>
        <v>CAINGUAS</v>
      </c>
      <c r="J1055" s="10"/>
      <c r="K1055" s="10"/>
    </row>
    <row r="1056" spans="1:28" x14ac:dyDescent="0.25">
      <c r="A1056" s="14" t="str">
        <f>+'[1]BASE RED COMERCIAL'!$A1054</f>
        <v>N0008</v>
      </c>
      <c r="B1056" s="8" t="str">
        <f>+'[1]BASE RED COMERCIAL'!$H1054</f>
        <v>AZARA</v>
      </c>
      <c r="C1056" s="7" t="s">
        <v>33</v>
      </c>
      <c r="D1056" s="9" t="str">
        <f>+'[1]BASE RED COMERCIAL'!$E1054</f>
        <v>AV SARMIENTO</v>
      </c>
      <c r="E1056" s="7">
        <f>+'[1]BASE RED COMERCIAL'!$F1054</f>
        <v>0</v>
      </c>
      <c r="F1056" s="14" t="str">
        <f>+'[1]BASE RED COMERCIAL'!$I1054</f>
        <v>N3351ZAA</v>
      </c>
      <c r="G1056" s="7" t="str">
        <f>+'[1]BASE RED COMERCIAL'!$D1054</f>
        <v>AZARA</v>
      </c>
      <c r="H1056" s="7" t="str">
        <f>+'[1]BASE RED COMERCIAL'!$B1054</f>
        <v>MISIONES</v>
      </c>
      <c r="I1056" s="8" t="str">
        <f>+'[1]BASE RED COMERCIAL'!$C1054</f>
        <v>APOSTOLES</v>
      </c>
      <c r="J1056" s="10"/>
      <c r="K1056" s="10"/>
    </row>
    <row r="1057" spans="1:11" x14ac:dyDescent="0.25">
      <c r="A1057" s="14" t="str">
        <f>+'[1]BASE RED COMERCIAL'!$A1055</f>
        <v>N0010</v>
      </c>
      <c r="B1057" s="8" t="str">
        <f>+'[1]BASE RED COMERCIAL'!$H1055</f>
        <v>B. DE IRIGOYEN</v>
      </c>
      <c r="C1057" s="7" t="s">
        <v>33</v>
      </c>
      <c r="D1057" s="9" t="str">
        <f>+'[1]BASE RED COMERCIAL'!$E1055</f>
        <v>LIBERTAD</v>
      </c>
      <c r="E1057" s="7">
        <f>+'[1]BASE RED COMERCIAL'!$F1055</f>
        <v>0</v>
      </c>
      <c r="F1057" s="14" t="str">
        <f>+'[1]BASE RED COMERCIAL'!$I1055</f>
        <v>N3366ZAA</v>
      </c>
      <c r="G1057" s="7" t="str">
        <f>+'[1]BASE RED COMERCIAL'!$D1055</f>
        <v>BERNARDO DE IRIGOYEN</v>
      </c>
      <c r="H1057" s="7" t="str">
        <f>+'[1]BASE RED COMERCIAL'!$B1055</f>
        <v>MISIONES</v>
      </c>
      <c r="I1057" s="8" t="str">
        <f>+'[1]BASE RED COMERCIAL'!$C1055</f>
        <v>GENERAL MANUEL BELGRANO</v>
      </c>
      <c r="J1057" s="10"/>
      <c r="K1057" s="10"/>
    </row>
    <row r="1058" spans="1:11" x14ac:dyDescent="0.25">
      <c r="A1058" s="14" t="str">
        <f>+'[1]BASE RED COMERCIAL'!$A1056</f>
        <v>N0012</v>
      </c>
      <c r="B1058" s="8" t="str">
        <f>+'[1]BASE RED COMERCIAL'!$H1056</f>
        <v>BONPLAND</v>
      </c>
      <c r="C1058" s="7" t="s">
        <v>33</v>
      </c>
      <c r="D1058" s="9" t="str">
        <f>+'[1]BASE RED COMERCIAL'!$E1056</f>
        <v>CALLE 1</v>
      </c>
      <c r="E1058" s="7">
        <f>+'[1]BASE RED COMERCIAL'!$F1056</f>
        <v>0</v>
      </c>
      <c r="F1058" s="14" t="str">
        <f>+'[1]BASE RED COMERCIAL'!$I1056</f>
        <v>N3317ZAA</v>
      </c>
      <c r="G1058" s="7" t="str">
        <f>+'[1]BASE RED COMERCIAL'!$D1056</f>
        <v>BONPLAND</v>
      </c>
      <c r="H1058" s="7" t="str">
        <f>+'[1]BASE RED COMERCIAL'!$B1056</f>
        <v>MISIONES</v>
      </c>
      <c r="I1058" s="8" t="str">
        <f>+'[1]BASE RED COMERCIAL'!$C1056</f>
        <v>CANDELARIA</v>
      </c>
      <c r="J1058" s="10"/>
      <c r="K1058" s="10"/>
    </row>
    <row r="1059" spans="1:11" x14ac:dyDescent="0.25">
      <c r="A1059" s="14" t="str">
        <f>+'[1]BASE RED COMERCIAL'!$A1057</f>
        <v>N0014</v>
      </c>
      <c r="B1059" s="8" t="str">
        <f>+'[1]BASE RED COMERCIAL'!$H1057</f>
        <v>CAMPO GRANDE</v>
      </c>
      <c r="C1059" s="7" t="s">
        <v>33</v>
      </c>
      <c r="D1059" s="9" t="str">
        <f>+'[1]BASE RED COMERCIAL'!$E1057</f>
        <v>JUAN B ALBERDI</v>
      </c>
      <c r="E1059" s="7">
        <f>+'[1]BASE RED COMERCIAL'!$F1057</f>
        <v>200</v>
      </c>
      <c r="F1059" s="14" t="str">
        <f>+'[1]BASE RED COMERCIAL'!$I1057</f>
        <v>N3362ZAA</v>
      </c>
      <c r="G1059" s="7" t="str">
        <f>+'[1]BASE RED COMERCIAL'!$D1057</f>
        <v>CAMPO GRANDE</v>
      </c>
      <c r="H1059" s="7" t="str">
        <f>+'[1]BASE RED COMERCIAL'!$B1057</f>
        <v>MISIONES</v>
      </c>
      <c r="I1059" s="8" t="str">
        <f>+'[1]BASE RED COMERCIAL'!$C1057</f>
        <v>CAINGUAS</v>
      </c>
      <c r="J1059" s="10"/>
      <c r="K1059" s="10"/>
    </row>
    <row r="1060" spans="1:11" x14ac:dyDescent="0.25">
      <c r="A1060" s="14" t="str">
        <f>+'[1]BASE RED COMERCIAL'!$A1058</f>
        <v>N0016</v>
      </c>
      <c r="B1060" s="8" t="str">
        <f>+'[1]BASE RED COMERCIAL'!$H1058</f>
        <v>CAMPO VIERA</v>
      </c>
      <c r="C1060" s="7" t="s">
        <v>33</v>
      </c>
      <c r="D1060" s="9" t="str">
        <f>+'[1]BASE RED COMERCIAL'!$E1058</f>
        <v>AV DEL TE</v>
      </c>
      <c r="E1060" s="7">
        <f>+'[1]BASE RED COMERCIAL'!$F1058</f>
        <v>376</v>
      </c>
      <c r="F1060" s="14" t="str">
        <f>+'[1]BASE RED COMERCIAL'!$I1058</f>
        <v>N3375ZAA</v>
      </c>
      <c r="G1060" s="7" t="str">
        <f>+'[1]BASE RED COMERCIAL'!$D1058</f>
        <v>CAMPO VIERA</v>
      </c>
      <c r="H1060" s="7" t="str">
        <f>+'[1]BASE RED COMERCIAL'!$B1058</f>
        <v>MISIONES</v>
      </c>
      <c r="I1060" s="8" t="str">
        <f>+'[1]BASE RED COMERCIAL'!$C1058</f>
        <v>OBERA</v>
      </c>
      <c r="J1060" s="10"/>
      <c r="K1060" s="10"/>
    </row>
    <row r="1061" spans="1:11" x14ac:dyDescent="0.25">
      <c r="A1061" s="14" t="str">
        <f>+'[1]BASE RED COMERCIAL'!$A1059</f>
        <v>N0018</v>
      </c>
      <c r="B1061" s="8" t="str">
        <f>+'[1]BASE RED COMERCIAL'!$H1059</f>
        <v>CANDELARIA</v>
      </c>
      <c r="C1061" s="7" t="s">
        <v>33</v>
      </c>
      <c r="D1061" s="9" t="str">
        <f>+'[1]BASE RED COMERCIAL'!$E1059</f>
        <v>CARLOS TARELLI</v>
      </c>
      <c r="E1061" s="7">
        <f>+'[1]BASE RED COMERCIAL'!$F1059</f>
        <v>710</v>
      </c>
      <c r="F1061" s="14" t="str">
        <f>+'[1]BASE RED COMERCIAL'!$I1059</f>
        <v>N3308ZAA</v>
      </c>
      <c r="G1061" s="7" t="str">
        <f>+'[1]BASE RED COMERCIAL'!$D1059</f>
        <v>CANDELARIA</v>
      </c>
      <c r="H1061" s="7" t="str">
        <f>+'[1]BASE RED COMERCIAL'!$B1059</f>
        <v>MISIONES</v>
      </c>
      <c r="I1061" s="8" t="str">
        <f>+'[1]BASE RED COMERCIAL'!$C1059</f>
        <v>CANDELARIA</v>
      </c>
      <c r="J1061" s="10"/>
      <c r="K1061" s="10"/>
    </row>
    <row r="1062" spans="1:11" x14ac:dyDescent="0.25">
      <c r="A1062" s="14" t="str">
        <f>+'[1]BASE RED COMERCIAL'!$A1060</f>
        <v>N0020</v>
      </c>
      <c r="B1062" s="8" t="str">
        <f>+'[1]BASE RED COMERCIAL'!$H1060</f>
        <v>CERRO AZUL</v>
      </c>
      <c r="C1062" s="7" t="s">
        <v>33</v>
      </c>
      <c r="D1062" s="9" t="str">
        <f>+'[1]BASE RED COMERCIAL'!$E1060</f>
        <v>YAPEYU</v>
      </c>
      <c r="E1062" s="7">
        <f>+'[1]BASE RED COMERCIAL'!$F1060</f>
        <v>584</v>
      </c>
      <c r="F1062" s="14" t="str">
        <f>+'[1]BASE RED COMERCIAL'!$I1060</f>
        <v>N3313ZAA</v>
      </c>
      <c r="G1062" s="7" t="str">
        <f>+'[1]BASE RED COMERCIAL'!$D1060</f>
        <v>CERRO AZUL</v>
      </c>
      <c r="H1062" s="7" t="str">
        <f>+'[1]BASE RED COMERCIAL'!$B1060</f>
        <v>MISIONES</v>
      </c>
      <c r="I1062" s="8" t="str">
        <f>+'[1]BASE RED COMERCIAL'!$C1060</f>
        <v>LEANDRO N ALEM</v>
      </c>
      <c r="J1062" s="10"/>
      <c r="K1062" s="10"/>
    </row>
    <row r="1063" spans="1:11" x14ac:dyDescent="0.25">
      <c r="A1063" s="14" t="str">
        <f>+'[1]BASE RED COMERCIAL'!$A1061</f>
        <v>N0022</v>
      </c>
      <c r="B1063" s="8" t="str">
        <f>+'[1]BASE RED COMERCIAL'!$H1061</f>
        <v>CAPIOVI</v>
      </c>
      <c r="C1063" s="7" t="s">
        <v>33</v>
      </c>
      <c r="D1063" s="9" t="str">
        <f>+'[1]BASE RED COMERCIAL'!$E1061</f>
        <v>DE LOS JESUITAS</v>
      </c>
      <c r="E1063" s="7">
        <f>+'[1]BASE RED COMERCIAL'!$F1061</f>
        <v>254</v>
      </c>
      <c r="F1063" s="14" t="str">
        <f>+'[1]BASE RED COMERCIAL'!$I1061</f>
        <v>N3332ZAA</v>
      </c>
      <c r="G1063" s="7" t="str">
        <f>+'[1]BASE RED COMERCIAL'!$D1061</f>
        <v>CAPIOVI</v>
      </c>
      <c r="H1063" s="7" t="str">
        <f>+'[1]BASE RED COMERCIAL'!$B1061</f>
        <v>MISIONES</v>
      </c>
      <c r="I1063" s="8" t="str">
        <f>+'[1]BASE RED COMERCIAL'!$C1061</f>
        <v>LIBERTADOR GRAL SAN MARTIN</v>
      </c>
      <c r="J1063" s="10"/>
      <c r="K1063" s="10"/>
    </row>
    <row r="1064" spans="1:11" x14ac:dyDescent="0.25">
      <c r="A1064" s="14" t="str">
        <f>+'[1]BASE RED COMERCIAL'!$A1062</f>
        <v>N0024</v>
      </c>
      <c r="B1064" s="8" t="str">
        <f>+'[1]BASE RED COMERCIAL'!$H1062</f>
        <v>25 DE MAYO [AG. 1 ALBA POSSE]</v>
      </c>
      <c r="C1064" s="7" t="s">
        <v>33</v>
      </c>
      <c r="D1064" s="9" t="str">
        <f>+'[1]BASE RED COMERCIAL'!$E1062</f>
        <v>AV GRAL SAN MARTIN</v>
      </c>
      <c r="E1064" s="7">
        <f>+'[1]BASE RED COMERCIAL'!$F1062</f>
        <v>0</v>
      </c>
      <c r="F1064" s="14" t="str">
        <f>+'[1]BASE RED COMERCIAL'!$I1062</f>
        <v>N3363ZAB</v>
      </c>
      <c r="G1064" s="7" t="str">
        <f>+'[1]BASE RED COMERCIAL'!$D1062</f>
        <v>25 DE MAYO</v>
      </c>
      <c r="H1064" s="7" t="str">
        <f>+'[1]BASE RED COMERCIAL'!$B1062</f>
        <v>MISIONES</v>
      </c>
      <c r="I1064" s="8" t="str">
        <f>+'[1]BASE RED COMERCIAL'!$C1062</f>
        <v>25 DE MAYO</v>
      </c>
      <c r="J1064" s="10"/>
      <c r="K1064" s="10"/>
    </row>
    <row r="1065" spans="1:11" x14ac:dyDescent="0.25">
      <c r="A1065" s="14" t="str">
        <f>+'[1]BASE RED COMERCIAL'!$A1063</f>
        <v>N0026</v>
      </c>
      <c r="B1065" s="8" t="str">
        <f>+'[1]BASE RED COMERCIAL'!$H1063</f>
        <v>COLONIA WANDA</v>
      </c>
      <c r="C1065" s="7" t="s">
        <v>33</v>
      </c>
      <c r="D1065" s="9" t="str">
        <f>+'[1]BASE RED COMERCIAL'!$E1063</f>
        <v>LAS MARGARITAS</v>
      </c>
      <c r="E1065" s="7">
        <f>+'[1]BASE RED COMERCIAL'!$F1063</f>
        <v>133</v>
      </c>
      <c r="F1065" s="14" t="str">
        <f>+'[1]BASE RED COMERCIAL'!$I1063</f>
        <v>N3376ZAA</v>
      </c>
      <c r="G1065" s="7" t="str">
        <f>+'[1]BASE RED COMERCIAL'!$D1063</f>
        <v>WANDA</v>
      </c>
      <c r="H1065" s="7" t="str">
        <f>+'[1]BASE RED COMERCIAL'!$B1063</f>
        <v>MISIONES</v>
      </c>
      <c r="I1065" s="8" t="str">
        <f>+'[1]BASE RED COMERCIAL'!$C1063</f>
        <v>IGUAZU</v>
      </c>
      <c r="J1065" s="10"/>
      <c r="K1065" s="10"/>
    </row>
    <row r="1066" spans="1:11" x14ac:dyDescent="0.25">
      <c r="A1066" s="14" t="str">
        <f>+'[1]BASE RED COMERCIAL'!$A1064</f>
        <v>N0028</v>
      </c>
      <c r="B1066" s="8" t="str">
        <f>+'[1]BASE RED COMERCIAL'!$H1064</f>
        <v>CONCEPCION DE LA SIERRA</v>
      </c>
      <c r="C1066" s="7" t="s">
        <v>33</v>
      </c>
      <c r="D1066" s="9" t="str">
        <f>+'[1]BASE RED COMERCIAL'!$E1064</f>
        <v>AMBROSETTI</v>
      </c>
      <c r="E1066" s="7">
        <f>+'[1]BASE RED COMERCIAL'!$F1064</f>
        <v>0</v>
      </c>
      <c r="F1066" s="14" t="str">
        <f>+'[1]BASE RED COMERCIAL'!$I1064</f>
        <v>N3371ZAA</v>
      </c>
      <c r="G1066" s="7" t="str">
        <f>+'[1]BASE RED COMERCIAL'!$D1064</f>
        <v>CONCEPCION DE LA SIERRA</v>
      </c>
      <c r="H1066" s="7" t="str">
        <f>+'[1]BASE RED COMERCIAL'!$B1064</f>
        <v>MISIONES</v>
      </c>
      <c r="I1066" s="8" t="str">
        <f>+'[1]BASE RED COMERCIAL'!$C1064</f>
        <v>CONCEPCION</v>
      </c>
      <c r="J1066" s="10"/>
      <c r="K1066" s="10"/>
    </row>
    <row r="1067" spans="1:11" x14ac:dyDescent="0.25">
      <c r="A1067" s="14" t="str">
        <f>+'[1]BASE RED COMERCIAL'!$A1065</f>
        <v>N0030</v>
      </c>
      <c r="B1067" s="8" t="str">
        <f>+'[1]BASE RED COMERCIAL'!$H1065</f>
        <v>CORPUS</v>
      </c>
      <c r="C1067" s="7" t="s">
        <v>33</v>
      </c>
      <c r="D1067" s="9" t="str">
        <f>+'[1]BASE RED COMERCIAL'!$E1065</f>
        <v>AV CMTE ANDRES GUAYCURARI</v>
      </c>
      <c r="E1067" s="7">
        <f>+'[1]BASE RED COMERCIAL'!$F1065</f>
        <v>0</v>
      </c>
      <c r="F1067" s="14" t="str">
        <f>+'[1]BASE RED COMERCIAL'!$I1065</f>
        <v>N3327ZAA</v>
      </c>
      <c r="G1067" s="7" t="str">
        <f>+'[1]BASE RED COMERCIAL'!$D1065</f>
        <v>CORPUS</v>
      </c>
      <c r="H1067" s="7" t="str">
        <f>+'[1]BASE RED COMERCIAL'!$B1065</f>
        <v>MISIONES</v>
      </c>
      <c r="I1067" s="8" t="str">
        <f>+'[1]BASE RED COMERCIAL'!$C1065</f>
        <v>SAN IGNACIO</v>
      </c>
      <c r="J1067" s="10"/>
      <c r="K1067" s="10"/>
    </row>
    <row r="1068" spans="1:11" x14ac:dyDescent="0.25">
      <c r="A1068" s="14" t="str">
        <f>+'[1]BASE RED COMERCIAL'!$A1066</f>
        <v>N0032</v>
      </c>
      <c r="B1068" s="8" t="str">
        <f>+'[1]BASE RED COMERCIAL'!$H1066</f>
        <v>DOS DE MAYO</v>
      </c>
      <c r="C1068" s="7" t="s">
        <v>33</v>
      </c>
      <c r="D1068" s="9" t="str">
        <f>+'[1]BASE RED COMERCIAL'!$E1066</f>
        <v>9 DE JULIO</v>
      </c>
      <c r="E1068" s="7">
        <f>+'[1]BASE RED COMERCIAL'!$F1066</f>
        <v>1000</v>
      </c>
      <c r="F1068" s="14" t="str">
        <f>+'[1]BASE RED COMERCIAL'!$I1066</f>
        <v>N3337ZAA</v>
      </c>
      <c r="G1068" s="7" t="str">
        <f>+'[1]BASE RED COMERCIAL'!$D1066</f>
        <v>2 DE MAYO</v>
      </c>
      <c r="H1068" s="7" t="str">
        <f>+'[1]BASE RED COMERCIAL'!$B1066</f>
        <v>MISIONES</v>
      </c>
      <c r="I1068" s="8" t="str">
        <f>+'[1]BASE RED COMERCIAL'!$C1066</f>
        <v>CAINGUAS</v>
      </c>
      <c r="J1068" s="10"/>
      <c r="K1068" s="10"/>
    </row>
    <row r="1069" spans="1:11" x14ac:dyDescent="0.25">
      <c r="A1069" s="14" t="str">
        <f>+'[1]BASE RED COMERCIAL'!$A1067</f>
        <v>N0034</v>
      </c>
      <c r="B1069" s="8" t="str">
        <f>+'[1]BASE RED COMERCIAL'!$H1067</f>
        <v>EL DORADO</v>
      </c>
      <c r="C1069" s="7" t="s">
        <v>33</v>
      </c>
      <c r="D1069" s="9" t="str">
        <f>+'[1]BASE RED COMERCIAL'!$E1067</f>
        <v>AV GRAL SAN MARTIN</v>
      </c>
      <c r="E1069" s="7">
        <f>+'[1]BASE RED COMERCIAL'!$F1067</f>
        <v>1690</v>
      </c>
      <c r="F1069" s="14" t="str">
        <f>+'[1]BASE RED COMERCIAL'!$I1067</f>
        <v>N3380ZAA</v>
      </c>
      <c r="G1069" s="7" t="str">
        <f>+'[1]BASE RED COMERCIAL'!$D1067</f>
        <v>ELDORADO</v>
      </c>
      <c r="H1069" s="7" t="str">
        <f>+'[1]BASE RED COMERCIAL'!$B1067</f>
        <v>MISIONES</v>
      </c>
      <c r="I1069" s="8" t="str">
        <f>+'[1]BASE RED COMERCIAL'!$C1067</f>
        <v>ELDORADO</v>
      </c>
      <c r="J1069" s="10"/>
      <c r="K1069" s="10"/>
    </row>
    <row r="1070" spans="1:11" x14ac:dyDescent="0.25">
      <c r="A1070" s="14" t="str">
        <f>+'[1]BASE RED COMERCIAL'!$A1068</f>
        <v>N0038</v>
      </c>
      <c r="B1070" s="8" t="str">
        <f>+'[1]BASE RED COMERCIAL'!$H1068</f>
        <v>EL SOBERBIO</v>
      </c>
      <c r="C1070" s="7" t="s">
        <v>33</v>
      </c>
      <c r="D1070" s="9" t="str">
        <f>+'[1]BASE RED COMERCIAL'!$E1068</f>
        <v>AV PRES BERNARDINO RIVADAVIA</v>
      </c>
      <c r="E1070" s="7">
        <f>+'[1]BASE RED COMERCIAL'!$F1068</f>
        <v>0</v>
      </c>
      <c r="F1070" s="14" t="str">
        <f>+'[1]BASE RED COMERCIAL'!$I1068</f>
        <v>N3338ZAA</v>
      </c>
      <c r="G1070" s="7" t="str">
        <f>+'[1]BASE RED COMERCIAL'!$D1068</f>
        <v>EL SOBERBIO</v>
      </c>
      <c r="H1070" s="7" t="str">
        <f>+'[1]BASE RED COMERCIAL'!$B1068</f>
        <v>MISIONES</v>
      </c>
      <c r="I1070" s="8" t="str">
        <f>+'[1]BASE RED COMERCIAL'!$C1068</f>
        <v>GUARANI</v>
      </c>
      <c r="J1070" s="10"/>
      <c r="K1070" s="10"/>
    </row>
    <row r="1071" spans="1:11" x14ac:dyDescent="0.25">
      <c r="A1071" s="14" t="str">
        <f>+'[1]BASE RED COMERCIAL'!$A1069</f>
        <v>N0040</v>
      </c>
      <c r="B1071" s="8" t="str">
        <f>+'[1]BASE RED COMERCIAL'!$H1069</f>
        <v>GDOR. ROCA</v>
      </c>
      <c r="C1071" s="7" t="s">
        <v>33</v>
      </c>
      <c r="D1071" s="9" t="str">
        <f>+'[1]BASE RED COMERCIAL'!$E1069</f>
        <v>AV DR MANUEL BELGRANO</v>
      </c>
      <c r="E1071" s="7">
        <f>+'[1]BASE RED COMERCIAL'!$F1069</f>
        <v>1842</v>
      </c>
      <c r="F1071" s="14" t="str">
        <f>+'[1]BASE RED COMERCIAL'!$I1069</f>
        <v>N3324ZAA</v>
      </c>
      <c r="G1071" s="7" t="str">
        <f>+'[1]BASE RED COMERCIAL'!$D1069</f>
        <v>GOBERNADOR ROCA</v>
      </c>
      <c r="H1071" s="7" t="str">
        <f>+'[1]BASE RED COMERCIAL'!$B1069</f>
        <v>MISIONES</v>
      </c>
      <c r="I1071" s="8" t="str">
        <f>+'[1]BASE RED COMERCIAL'!$C1069</f>
        <v>SAN IGNACIO</v>
      </c>
      <c r="J1071" s="10"/>
      <c r="K1071" s="10"/>
    </row>
    <row r="1072" spans="1:11" x14ac:dyDescent="0.25">
      <c r="A1072" s="14" t="str">
        <f>+'[1]BASE RED COMERCIAL'!$A1070</f>
        <v>N0042</v>
      </c>
      <c r="B1072" s="8" t="str">
        <f>+'[1]BASE RED COMERCIAL'!$H1070</f>
        <v>IGUAZU</v>
      </c>
      <c r="C1072" s="7" t="s">
        <v>33</v>
      </c>
      <c r="D1072" s="9" t="str">
        <f>+'[1]BASE RED COMERCIAL'!$E1070</f>
        <v>AV GRAL SAN MARTIN</v>
      </c>
      <c r="E1072" s="7">
        <f>+'[1]BASE RED COMERCIAL'!$F1070</f>
        <v>384</v>
      </c>
      <c r="F1072" s="14" t="str">
        <f>+'[1]BASE RED COMERCIAL'!$I1070</f>
        <v>N3370ZAA</v>
      </c>
      <c r="G1072" s="7" t="str">
        <f>+'[1]BASE RED COMERCIAL'!$D1070</f>
        <v>PUERTO IGUAZU</v>
      </c>
      <c r="H1072" s="7" t="str">
        <f>+'[1]BASE RED COMERCIAL'!$B1070</f>
        <v>MISIONES</v>
      </c>
      <c r="I1072" s="8" t="str">
        <f>+'[1]BASE RED COMERCIAL'!$C1070</f>
        <v>IGUAZU</v>
      </c>
      <c r="J1072" s="10"/>
      <c r="K1072" s="10"/>
    </row>
    <row r="1073" spans="1:11" x14ac:dyDescent="0.25">
      <c r="A1073" s="14" t="str">
        <f>+'[1]BASE RED COMERCIAL'!$A1071</f>
        <v>N0044</v>
      </c>
      <c r="B1073" s="8" t="str">
        <f>+'[1]BASE RED COMERCIAL'!$H1071</f>
        <v>ITACARUARE</v>
      </c>
      <c r="C1073" s="7" t="s">
        <v>33</v>
      </c>
      <c r="D1073" s="9" t="str">
        <f>+'[1]BASE RED COMERCIAL'!$E1071</f>
        <v>AV SAN MARTIN</v>
      </c>
      <c r="E1073" s="7">
        <f>+'[1]BASE RED COMERCIAL'!$F1071</f>
        <v>100</v>
      </c>
      <c r="F1073" s="14" t="str">
        <f>+'[1]BASE RED COMERCIAL'!$I1071</f>
        <v>N3353ZAA</v>
      </c>
      <c r="G1073" s="7" t="str">
        <f>+'[1]BASE RED COMERCIAL'!$D1071</f>
        <v>ITACARUARE</v>
      </c>
      <c r="H1073" s="7" t="str">
        <f>+'[1]BASE RED COMERCIAL'!$B1071</f>
        <v>MISIONES</v>
      </c>
      <c r="I1073" s="8" t="str">
        <f>+'[1]BASE RED COMERCIAL'!$C1071</f>
        <v>SAN JAVIER</v>
      </c>
      <c r="J1073" s="10"/>
      <c r="K1073" s="10"/>
    </row>
    <row r="1074" spans="1:11" x14ac:dyDescent="0.25">
      <c r="A1074" s="14" t="str">
        <f>+'[1]BASE RED COMERCIAL'!$A1072</f>
        <v>N0046</v>
      </c>
      <c r="B1074" s="8" t="str">
        <f>+'[1]BASE RED COMERCIAL'!$H1072</f>
        <v>JARDIN AMERICA</v>
      </c>
      <c r="C1074" s="7" t="s">
        <v>33</v>
      </c>
      <c r="D1074" s="9" t="str">
        <f>+'[1]BASE RED COMERCIAL'!$E1072</f>
        <v>AV ARGENTINA</v>
      </c>
      <c r="E1074" s="7">
        <f>+'[1]BASE RED COMERCIAL'!$F1072</f>
        <v>650</v>
      </c>
      <c r="F1074" s="14" t="str">
        <f>+'[1]BASE RED COMERCIAL'!$I1072</f>
        <v>N3328ZAA</v>
      </c>
      <c r="G1074" s="7" t="str">
        <f>+'[1]BASE RED COMERCIAL'!$D1072</f>
        <v>JARDIN AMERICA</v>
      </c>
      <c r="H1074" s="7" t="str">
        <f>+'[1]BASE RED COMERCIAL'!$B1072</f>
        <v>MISIONES</v>
      </c>
      <c r="I1074" s="8" t="str">
        <f>+'[1]BASE RED COMERCIAL'!$C1072</f>
        <v>SAN IGNACIO</v>
      </c>
      <c r="J1074" s="10"/>
      <c r="K1074" s="10"/>
    </row>
    <row r="1075" spans="1:11" x14ac:dyDescent="0.25">
      <c r="A1075" s="14" t="str">
        <f>+'[1]BASE RED COMERCIAL'!$A1073</f>
        <v>N0048</v>
      </c>
      <c r="B1075" s="8" t="str">
        <f>+'[1]BASE RED COMERCIAL'!$H1073</f>
        <v>L. N. ALEM</v>
      </c>
      <c r="C1075" s="7" t="s">
        <v>33</v>
      </c>
      <c r="D1075" s="9" t="str">
        <f>+'[1]BASE RED COMERCIAL'!$E1073</f>
        <v>AV GRAL MARTIN M GUEMES</v>
      </c>
      <c r="E1075" s="7">
        <f>+'[1]BASE RED COMERCIAL'!$F1073</f>
        <v>1</v>
      </c>
      <c r="F1075" s="14" t="str">
        <f>+'[1]BASE RED COMERCIAL'!$I1073</f>
        <v>N3315ZAA</v>
      </c>
      <c r="G1075" s="7" t="str">
        <f>+'[1]BASE RED COMERCIAL'!$D1073</f>
        <v>LEANDRO N ALEM</v>
      </c>
      <c r="H1075" s="7" t="str">
        <f>+'[1]BASE RED COMERCIAL'!$B1073</f>
        <v>MISIONES</v>
      </c>
      <c r="I1075" s="8" t="str">
        <f>+'[1]BASE RED COMERCIAL'!$C1073</f>
        <v>LEANDRO N ALEM</v>
      </c>
      <c r="J1075" s="10"/>
      <c r="K1075" s="10"/>
    </row>
    <row r="1076" spans="1:11" x14ac:dyDescent="0.25">
      <c r="A1076" s="14" t="str">
        <f>+'[1]BASE RED COMERCIAL'!$A1074</f>
        <v>N0050</v>
      </c>
      <c r="B1076" s="8" t="str">
        <f>+'[1]BASE RED COMERCIAL'!$H1074</f>
        <v>LIBERTAD</v>
      </c>
      <c r="C1076" s="7" t="s">
        <v>33</v>
      </c>
      <c r="D1076" s="9" t="str">
        <f>+'[1]BASE RED COMERCIAL'!$E1074</f>
        <v>SAN LUIS</v>
      </c>
      <c r="E1076" s="7">
        <f>+'[1]BASE RED COMERCIAL'!$F1074</f>
        <v>351</v>
      </c>
      <c r="F1076" s="14" t="str">
        <f>+'[1]BASE RED COMERCIAL'!$I1074</f>
        <v>N3374ZAA</v>
      </c>
      <c r="G1076" s="7" t="str">
        <f>+'[1]BASE RED COMERCIAL'!$D1074</f>
        <v>LIBERTAD</v>
      </c>
      <c r="H1076" s="7" t="str">
        <f>+'[1]BASE RED COMERCIAL'!$B1074</f>
        <v>MISIONES</v>
      </c>
      <c r="I1076" s="8" t="str">
        <f>+'[1]BASE RED COMERCIAL'!$C1074</f>
        <v>IGUAZU</v>
      </c>
      <c r="J1076" s="10"/>
      <c r="K1076" s="10"/>
    </row>
    <row r="1077" spans="1:11" x14ac:dyDescent="0.25">
      <c r="A1077" s="14" t="str">
        <f>+'[1]BASE RED COMERCIAL'!$A1075</f>
        <v>N0052</v>
      </c>
      <c r="B1077" s="8" t="str">
        <f>+'[1]BASE RED COMERCIAL'!$H1075</f>
        <v>MONTECARLO</v>
      </c>
      <c r="C1077" s="7" t="s">
        <v>33</v>
      </c>
      <c r="D1077" s="9" t="str">
        <f>+'[1]BASE RED COMERCIAL'!$E1075</f>
        <v>CMTE ANDRES GUAYCURARI</v>
      </c>
      <c r="E1077" s="7">
        <f>+'[1]BASE RED COMERCIAL'!$F1075</f>
        <v>1</v>
      </c>
      <c r="F1077" s="14" t="str">
        <f>+'[1]BASE RED COMERCIAL'!$I1075</f>
        <v>N3384ZAA</v>
      </c>
      <c r="G1077" s="7" t="str">
        <f>+'[1]BASE RED COMERCIAL'!$D1075</f>
        <v>MONTECARLO</v>
      </c>
      <c r="H1077" s="7" t="str">
        <f>+'[1]BASE RED COMERCIAL'!$B1075</f>
        <v>MISIONES</v>
      </c>
      <c r="I1077" s="8" t="str">
        <f>+'[1]BASE RED COMERCIAL'!$C1075</f>
        <v>MONTECARLO</v>
      </c>
      <c r="J1077" s="10"/>
      <c r="K1077" s="10"/>
    </row>
    <row r="1078" spans="1:11" x14ac:dyDescent="0.25">
      <c r="A1078" s="14" t="str">
        <f>+'[1]BASE RED COMERCIAL'!$A1076</f>
        <v>N0054</v>
      </c>
      <c r="B1078" s="8" t="str">
        <f>+'[1]BASE RED COMERCIAL'!$H1076</f>
        <v>OBERÃ</v>
      </c>
      <c r="C1078" s="7" t="s">
        <v>33</v>
      </c>
      <c r="D1078" s="9" t="str">
        <f>+'[1]BASE RED COMERCIAL'!$E1076</f>
        <v>SANTA FE</v>
      </c>
      <c r="E1078" s="7">
        <f>+'[1]BASE RED COMERCIAL'!$F1076</f>
        <v>205</v>
      </c>
      <c r="F1078" s="14" t="str">
        <f>+'[1]BASE RED COMERCIAL'!$I1076</f>
        <v>N3361ZAA</v>
      </c>
      <c r="G1078" s="7" t="str">
        <f>+'[1]BASE RED COMERCIAL'!$D1076</f>
        <v>OBERA</v>
      </c>
      <c r="H1078" s="7" t="str">
        <f>+'[1]BASE RED COMERCIAL'!$B1076</f>
        <v>MISIONES</v>
      </c>
      <c r="I1078" s="8" t="str">
        <f>+'[1]BASE RED COMERCIAL'!$C1076</f>
        <v>OBERA</v>
      </c>
      <c r="J1078" s="10"/>
      <c r="K1078" s="10"/>
    </row>
    <row r="1079" spans="1:11" x14ac:dyDescent="0.25">
      <c r="A1079" s="14" t="str">
        <f>+'[1]BASE RED COMERCIAL'!$A1077</f>
        <v>N0056</v>
      </c>
      <c r="B1079" s="8" t="str">
        <f>+'[1]BASE RED COMERCIAL'!$H1077</f>
        <v>SUCURSAL 2 POSADAS</v>
      </c>
      <c r="C1079" s="7" t="s">
        <v>33</v>
      </c>
      <c r="D1079" s="9" t="str">
        <f>+'[1]BASE RED COMERCIAL'!$E1077</f>
        <v>CHACRA 148</v>
      </c>
      <c r="E1079" s="7">
        <f>+'[1]BASE RED COMERCIAL'!$F1077</f>
        <v>0</v>
      </c>
      <c r="F1079" s="14" t="str">
        <f>+'[1]BASE RED COMERCIAL'!$I1077</f>
        <v>N3301ZAB</v>
      </c>
      <c r="G1079" s="7" t="str">
        <f>+'[1]BASE RED COMERCIAL'!$D1077</f>
        <v>POSADAS</v>
      </c>
      <c r="H1079" s="7" t="str">
        <f>+'[1]BASE RED COMERCIAL'!$B1077</f>
        <v>MISIONES</v>
      </c>
      <c r="I1079" s="8" t="str">
        <f>+'[1]BASE RED COMERCIAL'!$C1077</f>
        <v>CAPITAL</v>
      </c>
      <c r="J1079" s="10"/>
      <c r="K1079" s="10"/>
    </row>
    <row r="1080" spans="1:11" x14ac:dyDescent="0.25">
      <c r="A1080" s="14" t="str">
        <f>+'[1]BASE RED COMERCIAL'!$A1078</f>
        <v>N0058</v>
      </c>
      <c r="B1080" s="8" t="str">
        <f>+'[1]BASE RED COMERCIAL'!$H1078</f>
        <v>SUCURSAL 1 POSADAS</v>
      </c>
      <c r="C1080" s="7" t="s">
        <v>33</v>
      </c>
      <c r="D1080" s="9" t="str">
        <f>+'[1]BASE RED COMERCIAL'!$E1078</f>
        <v>AV REP ORIENTAL DEL URUGUAY</v>
      </c>
      <c r="E1080" s="7">
        <f>+'[1]BASE RED COMERCIAL'!$F1078</f>
        <v>3842</v>
      </c>
      <c r="F1080" s="14" t="str">
        <f>+'[1]BASE RED COMERCIAL'!$I1078</f>
        <v>N3300ZAB</v>
      </c>
      <c r="G1080" s="7" t="str">
        <f>+'[1]BASE RED COMERCIAL'!$D1078</f>
        <v>POSADAS</v>
      </c>
      <c r="H1080" s="7" t="str">
        <f>+'[1]BASE RED COMERCIAL'!$B1078</f>
        <v>MISIONES</v>
      </c>
      <c r="I1080" s="8" t="str">
        <f>+'[1]BASE RED COMERCIAL'!$C1078</f>
        <v>CAPITAL</v>
      </c>
      <c r="J1080" s="10"/>
      <c r="K1080" s="10"/>
    </row>
    <row r="1081" spans="1:11" x14ac:dyDescent="0.25">
      <c r="A1081" s="14" t="str">
        <f>+'[1]BASE RED COMERCIAL'!$A1079</f>
        <v>N0060</v>
      </c>
      <c r="B1081" s="8" t="str">
        <f>+'[1]BASE RED COMERCIAL'!$H1079</f>
        <v>PTO. ESPERANZA</v>
      </c>
      <c r="C1081" s="7" t="s">
        <v>33</v>
      </c>
      <c r="D1081" s="9" t="str">
        <f>+'[1]BASE RED COMERCIAL'!$E1079</f>
        <v>SAN JUAN</v>
      </c>
      <c r="E1081" s="7">
        <f>+'[1]BASE RED COMERCIAL'!$F1079</f>
        <v>100</v>
      </c>
      <c r="F1081" s="14" t="str">
        <f>+'[1]BASE RED COMERCIAL'!$I1079</f>
        <v>N3378ZAA</v>
      </c>
      <c r="G1081" s="7" t="str">
        <f>+'[1]BASE RED COMERCIAL'!$D1079</f>
        <v>PUERTO ESPERANZA</v>
      </c>
      <c r="H1081" s="7" t="str">
        <f>+'[1]BASE RED COMERCIAL'!$B1079</f>
        <v>MISIONES</v>
      </c>
      <c r="I1081" s="8" t="str">
        <f>+'[1]BASE RED COMERCIAL'!$C1079</f>
        <v>IGUAZU</v>
      </c>
      <c r="J1081" s="10"/>
      <c r="K1081" s="10"/>
    </row>
    <row r="1082" spans="1:11" x14ac:dyDescent="0.25">
      <c r="A1082" s="14" t="str">
        <f>+'[1]BASE RED COMERCIAL'!$A1080</f>
        <v>N0062</v>
      </c>
      <c r="B1082" s="8" t="str">
        <f>+'[1]BASE RED COMERCIAL'!$H1080</f>
        <v>PUERTO PIRAY</v>
      </c>
      <c r="C1082" s="7" t="s">
        <v>33</v>
      </c>
      <c r="D1082" s="9" t="str">
        <f>+'[1]BASE RED COMERCIAL'!$E1080</f>
        <v>SAN LORENZO</v>
      </c>
      <c r="E1082" s="7">
        <f>+'[1]BASE RED COMERCIAL'!$F1080</f>
        <v>0</v>
      </c>
      <c r="F1082" s="14" t="str">
        <f>+'[1]BASE RED COMERCIAL'!$I1080</f>
        <v>N3381ZAA</v>
      </c>
      <c r="G1082" s="7" t="str">
        <f>+'[1]BASE RED COMERCIAL'!$D1080</f>
        <v>PUERTO PIRAY</v>
      </c>
      <c r="H1082" s="7" t="str">
        <f>+'[1]BASE RED COMERCIAL'!$B1080</f>
        <v>MISIONES</v>
      </c>
      <c r="I1082" s="8" t="str">
        <f>+'[1]BASE RED COMERCIAL'!$C1080</f>
        <v>MONTECARLO</v>
      </c>
      <c r="J1082" s="10"/>
      <c r="K1082" s="10"/>
    </row>
    <row r="1083" spans="1:11" x14ac:dyDescent="0.25">
      <c r="A1083" s="14" t="str">
        <f>+'[1]BASE RED COMERCIAL'!$A1081</f>
        <v>N0064</v>
      </c>
      <c r="B1083" s="8" t="str">
        <f>+'[1]BASE RED COMERCIAL'!$H1081</f>
        <v>PUERTO RICO</v>
      </c>
      <c r="C1083" s="7" t="s">
        <v>33</v>
      </c>
      <c r="D1083" s="9" t="str">
        <f>+'[1]BASE RED COMERCIAL'!$E1081</f>
        <v>POSTA DE YATASTO</v>
      </c>
      <c r="E1083" s="7">
        <f>+'[1]BASE RED COMERCIAL'!$F1081</f>
        <v>115</v>
      </c>
      <c r="F1083" s="14" t="str">
        <f>+'[1]BASE RED COMERCIAL'!$I1081</f>
        <v>N3334ZAA</v>
      </c>
      <c r="G1083" s="7" t="str">
        <f>+'[1]BASE RED COMERCIAL'!$D1081</f>
        <v>PUERTO RICO</v>
      </c>
      <c r="H1083" s="7" t="str">
        <f>+'[1]BASE RED COMERCIAL'!$B1081</f>
        <v>MISIONES</v>
      </c>
      <c r="I1083" s="8" t="str">
        <f>+'[1]BASE RED COMERCIAL'!$C1081</f>
        <v>LIBERTADOR GRAL SAN MARTIN</v>
      </c>
      <c r="J1083" s="10"/>
      <c r="K1083" s="10"/>
    </row>
    <row r="1084" spans="1:11" x14ac:dyDescent="0.25">
      <c r="A1084" s="14" t="str">
        <f>+'[1]BASE RED COMERCIAL'!$A1082</f>
        <v>N0068</v>
      </c>
      <c r="B1084" s="8" t="str">
        <f>+'[1]BASE RED COMERCIAL'!$H1082</f>
        <v>SAN IGNACIO</v>
      </c>
      <c r="C1084" s="7" t="s">
        <v>33</v>
      </c>
      <c r="D1084" s="9" t="str">
        <f>+'[1]BASE RED COMERCIAL'!$E1082</f>
        <v>AV SAN MARTIN</v>
      </c>
      <c r="E1084" s="7">
        <f>+'[1]BASE RED COMERCIAL'!$F1082</f>
        <v>500</v>
      </c>
      <c r="F1084" s="14" t="str">
        <f>+'[1]BASE RED COMERCIAL'!$I1082</f>
        <v>N3322ZAC</v>
      </c>
      <c r="G1084" s="7" t="str">
        <f>+'[1]BASE RED COMERCIAL'!$D1082</f>
        <v>SAN IGNACIO</v>
      </c>
      <c r="H1084" s="7" t="str">
        <f>+'[1]BASE RED COMERCIAL'!$B1082</f>
        <v>MISIONES</v>
      </c>
      <c r="I1084" s="8" t="str">
        <f>+'[1]BASE RED COMERCIAL'!$C1082</f>
        <v>SAN IGNACIO</v>
      </c>
      <c r="J1084" s="10"/>
      <c r="K1084" s="10"/>
    </row>
    <row r="1085" spans="1:11" x14ac:dyDescent="0.25">
      <c r="A1085" s="14" t="str">
        <f>+'[1]BASE RED COMERCIAL'!$A1083</f>
        <v>N0070</v>
      </c>
      <c r="B1085" s="8" t="str">
        <f>+'[1]BASE RED COMERCIAL'!$H1083</f>
        <v>SAN JAVIER</v>
      </c>
      <c r="C1085" s="7" t="s">
        <v>33</v>
      </c>
      <c r="D1085" s="9" t="str">
        <f>+'[1]BASE RED COMERCIAL'!$E1083</f>
        <v>GASPAR GAUPARES</v>
      </c>
      <c r="E1085" s="7">
        <f>+'[1]BASE RED COMERCIAL'!$F1083</f>
        <v>691</v>
      </c>
      <c r="F1085" s="14" t="str">
        <f>+'[1]BASE RED COMERCIAL'!$I1083</f>
        <v>N3357ZAA</v>
      </c>
      <c r="G1085" s="7" t="str">
        <f>+'[1]BASE RED COMERCIAL'!$D1083</f>
        <v>SAN JAVIER</v>
      </c>
      <c r="H1085" s="7" t="str">
        <f>+'[1]BASE RED COMERCIAL'!$B1083</f>
        <v>MISIONES</v>
      </c>
      <c r="I1085" s="8" t="str">
        <f>+'[1]BASE RED COMERCIAL'!$C1083</f>
        <v>SAN JAVIER</v>
      </c>
      <c r="J1085" s="10"/>
      <c r="K1085" s="10"/>
    </row>
    <row r="1086" spans="1:11" x14ac:dyDescent="0.25">
      <c r="A1086" s="14" t="str">
        <f>+'[1]BASE RED COMERCIAL'!$A1084</f>
        <v>N0072</v>
      </c>
      <c r="B1086" s="8" t="str">
        <f>+'[1]BASE RED COMERCIAL'!$H1084</f>
        <v>SAN JOSE</v>
      </c>
      <c r="C1086" s="7" t="s">
        <v>33</v>
      </c>
      <c r="D1086" s="9" t="str">
        <f>+'[1]BASE RED COMERCIAL'!$E1084</f>
        <v>SARMIENTO</v>
      </c>
      <c r="E1086" s="7">
        <f>+'[1]BASE RED COMERCIAL'!$F1084</f>
        <v>200</v>
      </c>
      <c r="F1086" s="14" t="str">
        <f>+'[1]BASE RED COMERCIAL'!$I1084</f>
        <v>N3307ZAA</v>
      </c>
      <c r="G1086" s="7" t="str">
        <f>+'[1]BASE RED COMERCIAL'!$D1084</f>
        <v>SAN JOSE</v>
      </c>
      <c r="H1086" s="7" t="str">
        <f>+'[1]BASE RED COMERCIAL'!$B1084</f>
        <v>MISIONES</v>
      </c>
      <c r="I1086" s="8" t="str">
        <f>+'[1]BASE RED COMERCIAL'!$C1084</f>
        <v>APOSTOLES</v>
      </c>
      <c r="J1086" s="10"/>
      <c r="K1086" s="10"/>
    </row>
    <row r="1087" spans="1:11" x14ac:dyDescent="0.25">
      <c r="A1087" s="14" t="str">
        <f>+'[1]BASE RED COMERCIAL'!$A1085</f>
        <v>N0074</v>
      </c>
      <c r="B1087" s="8" t="str">
        <f>+'[1]BASE RED COMERCIAL'!$H1085</f>
        <v>SAN PEDRO</v>
      </c>
      <c r="C1087" s="7" t="s">
        <v>33</v>
      </c>
      <c r="D1087" s="9" t="str">
        <f>+'[1]BASE RED COMERCIAL'!$E1085</f>
        <v>AV 25 DE MAYO</v>
      </c>
      <c r="E1087" s="7">
        <f>+'[1]BASE RED COMERCIAL'!$F1085</f>
        <v>561</v>
      </c>
      <c r="F1087" s="14" t="str">
        <f>+'[1]BASE RED COMERCIAL'!$I1085</f>
        <v>N3352ZAA</v>
      </c>
      <c r="G1087" s="7" t="str">
        <f>+'[1]BASE RED COMERCIAL'!$D1085</f>
        <v>SAN PEDRO</v>
      </c>
      <c r="H1087" s="7" t="str">
        <f>+'[1]BASE RED COMERCIAL'!$B1085</f>
        <v>MISIONES</v>
      </c>
      <c r="I1087" s="8" t="str">
        <f>+'[1]BASE RED COMERCIAL'!$C1085</f>
        <v>SAN PEDRO</v>
      </c>
      <c r="J1087" s="10"/>
      <c r="K1087" s="10"/>
    </row>
    <row r="1088" spans="1:11" x14ac:dyDescent="0.25">
      <c r="A1088" s="14" t="str">
        <f>+'[1]BASE RED COMERCIAL'!$A1086</f>
        <v>N0078</v>
      </c>
      <c r="B1088" s="8" t="str">
        <f>+'[1]BASE RED COMERCIAL'!$H1086</f>
        <v>SANTO PIPO</v>
      </c>
      <c r="C1088" s="7" t="s">
        <v>33</v>
      </c>
      <c r="D1088" s="9" t="str">
        <f>+'[1]BASE RED COMERCIAL'!$E1086</f>
        <v>AV SAN MARTIN</v>
      </c>
      <c r="E1088" s="7">
        <f>+'[1]BASE RED COMERCIAL'!$F1086</f>
        <v>0</v>
      </c>
      <c r="F1088" s="14" t="str">
        <f>+'[1]BASE RED COMERCIAL'!$I1086</f>
        <v>N3322ZAB</v>
      </c>
      <c r="G1088" s="7" t="str">
        <f>+'[1]BASE RED COMERCIAL'!$D1086</f>
        <v>SANTO PIPO</v>
      </c>
      <c r="H1088" s="7" t="str">
        <f>+'[1]BASE RED COMERCIAL'!$B1086</f>
        <v>MISIONES</v>
      </c>
      <c r="I1088" s="8" t="str">
        <f>+'[1]BASE RED COMERCIAL'!$C1086</f>
        <v>SAN IGNACIO</v>
      </c>
      <c r="J1088" s="10"/>
      <c r="K1088" s="10"/>
    </row>
    <row r="1089" spans="1:11" x14ac:dyDescent="0.25">
      <c r="A1089" s="14" t="str">
        <f>+'[1]BASE RED COMERCIAL'!$A1087</f>
        <v>N0080</v>
      </c>
      <c r="B1089" s="8" t="str">
        <f>+'[1]BASE RED COMERCIAL'!$H1087</f>
        <v>SAN VICENTE</v>
      </c>
      <c r="C1089" s="7" t="s">
        <v>33</v>
      </c>
      <c r="D1089" s="9" t="str">
        <f>+'[1]BASE RED COMERCIAL'!$E1087</f>
        <v>DEMOCRACIA</v>
      </c>
      <c r="E1089" s="7">
        <f>+'[1]BASE RED COMERCIAL'!$F1087</f>
        <v>297</v>
      </c>
      <c r="F1089" s="14" t="str">
        <f>+'[1]BASE RED COMERCIAL'!$I1087</f>
        <v>N3356ZAB</v>
      </c>
      <c r="G1089" s="7" t="str">
        <f>+'[1]BASE RED COMERCIAL'!$D1087</f>
        <v>SAN VICENTE</v>
      </c>
      <c r="H1089" s="7" t="str">
        <f>+'[1]BASE RED COMERCIAL'!$B1087</f>
        <v>MISIONES</v>
      </c>
      <c r="I1089" s="8" t="str">
        <f>+'[1]BASE RED COMERCIAL'!$C1087</f>
        <v>GUARANI</v>
      </c>
      <c r="J1089" s="10"/>
      <c r="K1089" s="10"/>
    </row>
    <row r="1090" spans="1:11" x14ac:dyDescent="0.25">
      <c r="A1090" s="14" t="str">
        <f>+'[1]BASE RED COMERCIAL'!$A1088</f>
        <v>N1100</v>
      </c>
      <c r="B1090" s="8" t="str">
        <f>+'[1]BASE RED COMERCIAL'!$H1088</f>
        <v>ALMIRANTE BROWN</v>
      </c>
      <c r="C1090" s="7" t="s">
        <v>33</v>
      </c>
      <c r="D1090" s="9" t="str">
        <f>+'[1]BASE RED COMERCIAL'!$E1088</f>
        <v>HOMERO JAUREGUI</v>
      </c>
      <c r="E1090" s="7">
        <f>+'[1]BASE RED COMERCIAL'!$F1088</f>
        <v>0</v>
      </c>
      <c r="F1090" s="14" t="str">
        <f>+'[1]BASE RED COMERCIAL'!$I1088</f>
        <v>N3385ZAB</v>
      </c>
      <c r="G1090" s="7" t="str">
        <f>+'[1]BASE RED COMERCIAL'!$D1088</f>
        <v>ALMIRANTE BROWN</v>
      </c>
      <c r="H1090" s="7" t="str">
        <f>+'[1]BASE RED COMERCIAL'!$B1088</f>
        <v>MISIONES</v>
      </c>
      <c r="I1090" s="8" t="str">
        <f>+'[1]BASE RED COMERCIAL'!$C1088</f>
        <v>GENERAL MANUEL BELGRANO</v>
      </c>
      <c r="J1090" s="10"/>
      <c r="K1090" s="10"/>
    </row>
    <row r="1091" spans="1:11" x14ac:dyDescent="0.25">
      <c r="A1091" s="14" t="str">
        <f>+'[1]BASE RED COMERCIAL'!$A1089</f>
        <v>N1180</v>
      </c>
      <c r="B1091" s="8" t="str">
        <f>+'[1]BASE RED COMERCIAL'!$H1089</f>
        <v>SANTA ANA</v>
      </c>
      <c r="C1091" s="7" t="s">
        <v>33</v>
      </c>
      <c r="D1091" s="9" t="str">
        <f>+'[1]BASE RED COMERCIAL'!$E1089</f>
        <v>HNO JOSE BRASANELLI</v>
      </c>
      <c r="E1091" s="7">
        <f>+'[1]BASE RED COMERCIAL'!$F1089</f>
        <v>0</v>
      </c>
      <c r="F1091" s="14" t="str">
        <f>+'[1]BASE RED COMERCIAL'!$I1089</f>
        <v>N3316ZAA</v>
      </c>
      <c r="G1091" s="7" t="str">
        <f>+'[1]BASE RED COMERCIAL'!$D1089</f>
        <v>SANTA ANA</v>
      </c>
      <c r="H1091" s="7" t="str">
        <f>+'[1]BASE RED COMERCIAL'!$B1089</f>
        <v>MISIONES</v>
      </c>
      <c r="I1091" s="8" t="str">
        <f>+'[1]BASE RED COMERCIAL'!$C1089</f>
        <v>CANDELARIA</v>
      </c>
      <c r="J1091" s="10"/>
      <c r="K1091" s="10"/>
    </row>
    <row r="1092" spans="1:11" x14ac:dyDescent="0.25">
      <c r="A1092" s="14" t="str">
        <f>+'[1]BASE RED COMERCIAL'!$A1090</f>
        <v>Q0000</v>
      </c>
      <c r="B1092" s="8" t="str">
        <f>+'[1]BASE RED COMERCIAL'!$H1090</f>
        <v>NEUQUEN</v>
      </c>
      <c r="C1092" s="7" t="s">
        <v>33</v>
      </c>
      <c r="D1092" s="9" t="str">
        <f>+'[1]BASE RED COMERCIAL'!$E1090</f>
        <v>SANTA FE</v>
      </c>
      <c r="E1092" s="7">
        <f>+'[1]BASE RED COMERCIAL'!$F1090</f>
        <v>101</v>
      </c>
      <c r="F1092" s="14" t="str">
        <f>+'[1]BASE RED COMERCIAL'!$I1090</f>
        <v>Q8300ZAA</v>
      </c>
      <c r="G1092" s="7" t="str">
        <f>+'[1]BASE RED COMERCIAL'!$D1090</f>
        <v>NEUQUEN</v>
      </c>
      <c r="H1092" s="7" t="str">
        <f>+'[1]BASE RED COMERCIAL'!$B1090</f>
        <v>NEUQUEN</v>
      </c>
      <c r="I1092" s="8" t="str">
        <f>+'[1]BASE RED COMERCIAL'!$C1090</f>
        <v>CONFLUENCIA</v>
      </c>
      <c r="J1092" s="10"/>
      <c r="K1092" s="10"/>
    </row>
    <row r="1093" spans="1:11" x14ac:dyDescent="0.25">
      <c r="A1093" s="14" t="str">
        <f>+'[1]BASE RED COMERCIAL'!$A1091</f>
        <v>Q0002</v>
      </c>
      <c r="B1093" s="8" t="str">
        <f>+'[1]BASE RED COMERCIAL'!$H1091</f>
        <v>ALUMINE</v>
      </c>
      <c r="C1093" s="7" t="s">
        <v>33</v>
      </c>
      <c r="D1093" s="9" t="str">
        <f>+'[1]BASE RED COMERCIAL'!$E1091</f>
        <v>GRAL CONRADO VILLEGAS</v>
      </c>
      <c r="E1093" s="7">
        <f>+'[1]BASE RED COMERCIAL'!$F1091</f>
        <v>560</v>
      </c>
      <c r="F1093" s="14" t="str">
        <f>+'[1]BASE RED COMERCIAL'!$I1091</f>
        <v>Q8345ZAA</v>
      </c>
      <c r="G1093" s="7" t="str">
        <f>+'[1]BASE RED COMERCIAL'!$D1091</f>
        <v>ALUMINE</v>
      </c>
      <c r="H1093" s="7" t="str">
        <f>+'[1]BASE RED COMERCIAL'!$B1091</f>
        <v>NEUQUEN</v>
      </c>
      <c r="I1093" s="8" t="str">
        <f>+'[1]BASE RED COMERCIAL'!$C1091</f>
        <v>ALUMINE</v>
      </c>
      <c r="J1093" s="10"/>
      <c r="K1093" s="10"/>
    </row>
    <row r="1094" spans="1:11" x14ac:dyDescent="0.25">
      <c r="A1094" s="14" t="str">
        <f>+'[1]BASE RED COMERCIAL'!$A1092</f>
        <v>Q0004</v>
      </c>
      <c r="B1094" s="8" t="str">
        <f>+'[1]BASE RED COMERCIAL'!$H1092</f>
        <v>ANDACOLLO</v>
      </c>
      <c r="C1094" s="7" t="s">
        <v>33</v>
      </c>
      <c r="D1094" s="9" t="str">
        <f>+'[1]BASE RED COMERCIAL'!$E1092</f>
        <v>AV FELIPE SAPAG</v>
      </c>
      <c r="E1094" s="7">
        <f>+'[1]BASE RED COMERCIAL'!$F1092</f>
        <v>202</v>
      </c>
      <c r="F1094" s="14" t="str">
        <f>+'[1]BASE RED COMERCIAL'!$I1092</f>
        <v>Q8354ZAA</v>
      </c>
      <c r="G1094" s="7" t="str">
        <f>+'[1]BASE RED COMERCIAL'!$D1092</f>
        <v>ANDACOLLO</v>
      </c>
      <c r="H1094" s="7" t="str">
        <f>+'[1]BASE RED COMERCIAL'!$B1092</f>
        <v>NEUQUEN</v>
      </c>
      <c r="I1094" s="8" t="str">
        <f>+'[1]BASE RED COMERCIAL'!$C1092</f>
        <v>MINAS</v>
      </c>
      <c r="J1094" s="10"/>
      <c r="K1094" s="10"/>
    </row>
    <row r="1095" spans="1:11" x14ac:dyDescent="0.25">
      <c r="A1095" s="14" t="str">
        <f>+'[1]BASE RED COMERCIAL'!$A1093</f>
        <v>Q0008</v>
      </c>
      <c r="B1095" s="8" t="str">
        <f>+'[1]BASE RED COMERCIAL'!$H1093</f>
        <v>CENTENARIO</v>
      </c>
      <c r="C1095" s="7" t="s">
        <v>33</v>
      </c>
      <c r="D1095" s="9" t="str">
        <f>+'[1]BASE RED COMERCIAL'!$E1093</f>
        <v>SAN MARTIN</v>
      </c>
      <c r="E1095" s="7">
        <f>+'[1]BASE RED COMERCIAL'!$F1093</f>
        <v>370</v>
      </c>
      <c r="F1095" s="14" t="str">
        <f>+'[1]BASE RED COMERCIAL'!$I1093</f>
        <v>Q8309ZAA</v>
      </c>
      <c r="G1095" s="7" t="str">
        <f>+'[1]BASE RED COMERCIAL'!$D1093</f>
        <v>CENTENARIO</v>
      </c>
      <c r="H1095" s="7" t="str">
        <f>+'[1]BASE RED COMERCIAL'!$B1093</f>
        <v>NEUQUEN</v>
      </c>
      <c r="I1095" s="8" t="str">
        <f>+'[1]BASE RED COMERCIAL'!$C1093</f>
        <v>CONFLUENCIA</v>
      </c>
      <c r="J1095" s="10"/>
      <c r="K1095" s="10"/>
    </row>
    <row r="1096" spans="1:11" x14ac:dyDescent="0.25">
      <c r="A1096" s="14" t="str">
        <f>+'[1]BASE RED COMERCIAL'!$A1094</f>
        <v>Q0010</v>
      </c>
      <c r="B1096" s="8" t="str">
        <f>+'[1]BASE RED COMERCIAL'!$H1094</f>
        <v>CHOS MALAL</v>
      </c>
      <c r="C1096" s="7" t="s">
        <v>33</v>
      </c>
      <c r="D1096" s="9" t="str">
        <f>+'[1]BASE RED COMERCIAL'!$E1094</f>
        <v>GRAL PAZ</v>
      </c>
      <c r="E1096" s="7">
        <f>+'[1]BASE RED COMERCIAL'!$F1094</f>
        <v>518</v>
      </c>
      <c r="F1096" s="14" t="str">
        <f>+'[1]BASE RED COMERCIAL'!$I1094</f>
        <v>Q8353ZAA</v>
      </c>
      <c r="G1096" s="7" t="str">
        <f>+'[1]BASE RED COMERCIAL'!$D1094</f>
        <v>CHOS MALAL</v>
      </c>
      <c r="H1096" s="7" t="str">
        <f>+'[1]BASE RED COMERCIAL'!$B1094</f>
        <v>NEUQUEN</v>
      </c>
      <c r="I1096" s="8" t="str">
        <f>+'[1]BASE RED COMERCIAL'!$C1094</f>
        <v>CHOS MALAL</v>
      </c>
      <c r="J1096" s="10"/>
      <c r="K1096" s="10"/>
    </row>
    <row r="1097" spans="1:11" x14ac:dyDescent="0.25">
      <c r="A1097" s="14" t="str">
        <f>+'[1]BASE RED COMERCIAL'!$A1095</f>
        <v>Q0012</v>
      </c>
      <c r="B1097" s="8" t="str">
        <f>+'[1]BASE RED COMERCIAL'!$H1095</f>
        <v>MARIANO MORENO</v>
      </c>
      <c r="C1097" s="7" t="s">
        <v>33</v>
      </c>
      <c r="D1097" s="9" t="str">
        <f>+'[1]BASE RED COMERCIAL'!$E1095</f>
        <v>GRAL SAN MARTIN</v>
      </c>
      <c r="E1097" s="7">
        <f>+'[1]BASE RED COMERCIAL'!$F1095</f>
        <v>0</v>
      </c>
      <c r="F1097" s="14" t="str">
        <f>+'[1]BASE RED COMERCIAL'!$I1095</f>
        <v>Q8352ZAA</v>
      </c>
      <c r="G1097" s="7" t="str">
        <f>+'[1]BASE RED COMERCIAL'!$D1095</f>
        <v>MARIANO MORENO</v>
      </c>
      <c r="H1097" s="7" t="str">
        <f>+'[1]BASE RED COMERCIAL'!$B1095</f>
        <v>NEUQUEN</v>
      </c>
      <c r="I1097" s="8" t="str">
        <f>+'[1]BASE RED COMERCIAL'!$C1095</f>
        <v>ZAPALA</v>
      </c>
      <c r="J1097" s="10"/>
      <c r="K1097" s="10"/>
    </row>
    <row r="1098" spans="1:11" x14ac:dyDescent="0.25">
      <c r="A1098" s="14" t="str">
        <f>+'[1]BASE RED COMERCIAL'!$A1096</f>
        <v>Q0014</v>
      </c>
      <c r="B1098" s="8" t="str">
        <f>+'[1]BASE RED COMERCIAL'!$H1096</f>
        <v>CUTRAL CO</v>
      </c>
      <c r="C1098" s="7" t="s">
        <v>33</v>
      </c>
      <c r="D1098" s="9" t="str">
        <f>+'[1]BASE RED COMERCIAL'!$E1096</f>
        <v>AV PTE GRAL JULIO A ROCA</v>
      </c>
      <c r="E1098" s="7">
        <f>+'[1]BASE RED COMERCIAL'!$F1096</f>
        <v>660</v>
      </c>
      <c r="F1098" s="14" t="str">
        <f>+'[1]BASE RED COMERCIAL'!$I1096</f>
        <v>Q8322ZAB</v>
      </c>
      <c r="G1098" s="7" t="str">
        <f>+'[1]BASE RED COMERCIAL'!$D1096</f>
        <v>CUTRAL CO</v>
      </c>
      <c r="H1098" s="7" t="str">
        <f>+'[1]BASE RED COMERCIAL'!$B1096</f>
        <v>NEUQUEN</v>
      </c>
      <c r="I1098" s="8" t="str">
        <f>+'[1]BASE RED COMERCIAL'!$C1096</f>
        <v>CONFLUENCIA</v>
      </c>
      <c r="J1098" s="10"/>
      <c r="K1098" s="10"/>
    </row>
    <row r="1099" spans="1:11" x14ac:dyDescent="0.25">
      <c r="A1099" s="14" t="str">
        <f>+'[1]BASE RED COMERCIAL'!$A1097</f>
        <v>Q0018</v>
      </c>
      <c r="B1099" s="8" t="str">
        <f>+'[1]BASE RED COMERCIAL'!$H1097</f>
        <v>EL HUECU</v>
      </c>
      <c r="C1099" s="7" t="s">
        <v>33</v>
      </c>
      <c r="D1099" s="9" t="str">
        <f>+'[1]BASE RED COMERCIAL'!$E1097</f>
        <v>PTE GRAL JULIO A ROCA</v>
      </c>
      <c r="E1099" s="7">
        <f>+'[1]BASE RED COMERCIAL'!$F1097</f>
        <v>0</v>
      </c>
      <c r="F1099" s="14" t="str">
        <f>+'[1]BASE RED COMERCIAL'!$I1097</f>
        <v>Q8350ZAA</v>
      </c>
      <c r="G1099" s="7" t="str">
        <f>+'[1]BASE RED COMERCIAL'!$D1097</f>
        <v>EL HUECU</v>
      </c>
      <c r="H1099" s="7" t="str">
        <f>+'[1]BASE RED COMERCIAL'!$B1097</f>
        <v>NEUQUEN</v>
      </c>
      <c r="I1099" s="8" t="str">
        <f>+'[1]BASE RED COMERCIAL'!$C1097</f>
        <v>Ã‘ORQUIN</v>
      </c>
      <c r="J1099" s="10"/>
      <c r="K1099" s="10"/>
    </row>
    <row r="1100" spans="1:11" x14ac:dyDescent="0.25">
      <c r="A1100" s="14" t="str">
        <f>+'[1]BASE RED COMERCIAL'!$A1098</f>
        <v>Q0022</v>
      </c>
      <c r="B1100" s="8" t="str">
        <f>+'[1]BASE RED COMERCIAL'!$H1098</f>
        <v>LAS LAJAS</v>
      </c>
      <c r="C1100" s="7" t="s">
        <v>33</v>
      </c>
      <c r="D1100" s="9" t="str">
        <f>+'[1]BASE RED COMERCIAL'!$E1098</f>
        <v>M J OLASCOAGA</v>
      </c>
      <c r="E1100" s="7">
        <f>+'[1]BASE RED COMERCIAL'!$F1098</f>
        <v>305</v>
      </c>
      <c r="F1100" s="14" t="str">
        <f>+'[1]BASE RED COMERCIAL'!$I1098</f>
        <v>Q8347ZAA</v>
      </c>
      <c r="G1100" s="7" t="str">
        <f>+'[1]BASE RED COMERCIAL'!$D1098</f>
        <v>LAS LAJAS</v>
      </c>
      <c r="H1100" s="7" t="str">
        <f>+'[1]BASE RED COMERCIAL'!$B1098</f>
        <v>NEUQUEN</v>
      </c>
      <c r="I1100" s="8" t="str">
        <f>+'[1]BASE RED COMERCIAL'!$C1098</f>
        <v>PICUNCHES</v>
      </c>
      <c r="J1100" s="10"/>
      <c r="K1100" s="10"/>
    </row>
    <row r="1101" spans="1:11" x14ac:dyDescent="0.25">
      <c r="A1101" s="14" t="str">
        <f>+'[1]BASE RED COMERCIAL'!$A1099</f>
        <v>Q0024</v>
      </c>
      <c r="B1101" s="8" t="str">
        <f>+'[1]BASE RED COMERCIAL'!$H1099</f>
        <v>LONCOPUE</v>
      </c>
      <c r="C1101" s="7" t="s">
        <v>33</v>
      </c>
      <c r="D1101" s="9" t="str">
        <f>+'[1]BASE RED COMERCIAL'!$E1099</f>
        <v>AV PADRE MASCARDI</v>
      </c>
      <c r="E1101" s="7">
        <f>+'[1]BASE RED COMERCIAL'!$F1099</f>
        <v>0</v>
      </c>
      <c r="F1101" s="14" t="str">
        <f>+'[1]BASE RED COMERCIAL'!$I1099</f>
        <v>Q8349ZAA</v>
      </c>
      <c r="G1101" s="7" t="str">
        <f>+'[1]BASE RED COMERCIAL'!$D1099</f>
        <v>LONCOPUE</v>
      </c>
      <c r="H1101" s="7" t="str">
        <f>+'[1]BASE RED COMERCIAL'!$B1099</f>
        <v>NEUQUEN</v>
      </c>
      <c r="I1101" s="8" t="str">
        <f>+'[1]BASE RED COMERCIAL'!$C1099</f>
        <v>LONCOPUE</v>
      </c>
      <c r="J1101" s="10"/>
      <c r="K1101" s="10"/>
    </row>
    <row r="1102" spans="1:11" x14ac:dyDescent="0.25">
      <c r="A1102" s="14" t="str">
        <f>+'[1]BASE RED COMERCIAL'!$A1100</f>
        <v>Q0026</v>
      </c>
      <c r="B1102" s="8" t="str">
        <f>+'[1]BASE RED COMERCIAL'!$H1100</f>
        <v>RINCON DE LOS SAUCES</v>
      </c>
      <c r="C1102" s="7" t="s">
        <v>33</v>
      </c>
      <c r="D1102" s="9" t="str">
        <f>+'[1]BASE RED COMERCIAL'!$E1100</f>
        <v>AV GRAL E MOSCONI</v>
      </c>
      <c r="E1102" s="7">
        <f>+'[1]BASE RED COMERCIAL'!$F1100</f>
        <v>168</v>
      </c>
      <c r="F1102" s="14" t="str">
        <f>+'[1]BASE RED COMERCIAL'!$I1100</f>
        <v>Q8319ZAA</v>
      </c>
      <c r="G1102" s="7" t="str">
        <f>+'[1]BASE RED COMERCIAL'!$D1100</f>
        <v>RINCON DE LOS SAUCES</v>
      </c>
      <c r="H1102" s="7" t="str">
        <f>+'[1]BASE RED COMERCIAL'!$B1100</f>
        <v>NEUQUEN</v>
      </c>
      <c r="I1102" s="8" t="str">
        <f>+'[1]BASE RED COMERCIAL'!$C1100</f>
        <v>PEHUENCHES</v>
      </c>
      <c r="J1102" s="10"/>
      <c r="K1102" s="10"/>
    </row>
    <row r="1103" spans="1:11" x14ac:dyDescent="0.25">
      <c r="A1103" s="14" t="str">
        <f>+'[1]BASE RED COMERCIAL'!$A1101</f>
        <v>Q0028</v>
      </c>
      <c r="B1103" s="8" t="str">
        <f>+'[1]BASE RED COMERCIAL'!$H1101</f>
        <v>PICUN LEUFU</v>
      </c>
      <c r="C1103" s="7" t="s">
        <v>33</v>
      </c>
      <c r="D1103" s="9" t="str">
        <f>+'[1]BASE RED COMERCIAL'!$E1101</f>
        <v>AV PRIMEROS POBLADORES</v>
      </c>
      <c r="E1103" s="7">
        <f>+'[1]BASE RED COMERCIAL'!$F1101</f>
        <v>0</v>
      </c>
      <c r="F1103" s="14" t="str">
        <f>+'[1]BASE RED COMERCIAL'!$I1101</f>
        <v>Q8313ZAA</v>
      </c>
      <c r="G1103" s="7" t="str">
        <f>+'[1]BASE RED COMERCIAL'!$D1101</f>
        <v>PICUN LEUFU</v>
      </c>
      <c r="H1103" s="7" t="str">
        <f>+'[1]BASE RED COMERCIAL'!$B1101</f>
        <v>NEUQUEN</v>
      </c>
      <c r="I1103" s="8" t="str">
        <f>+'[1]BASE RED COMERCIAL'!$C1101</f>
        <v>PICUN LEUFU</v>
      </c>
      <c r="J1103" s="10"/>
      <c r="K1103" s="10"/>
    </row>
    <row r="1104" spans="1:11" x14ac:dyDescent="0.25">
      <c r="A1104" s="14" t="str">
        <f>+'[1]BASE RED COMERCIAL'!$A1102</f>
        <v>Q0032</v>
      </c>
      <c r="B1104" s="8" t="str">
        <f>+'[1]BASE RED COMERCIAL'!$H1102</f>
        <v>PLAZA HUINCUL</v>
      </c>
      <c r="C1104" s="7" t="s">
        <v>33</v>
      </c>
      <c r="D1104" s="9" t="str">
        <f>+'[1]BASE RED COMERCIAL'!$E1102</f>
        <v>AV SAN MARTIN</v>
      </c>
      <c r="E1104" s="7">
        <f>+'[1]BASE RED COMERCIAL'!$F1102</f>
        <v>497</v>
      </c>
      <c r="F1104" s="14" t="str">
        <f>+'[1]BASE RED COMERCIAL'!$I1102</f>
        <v>Q8318ZAA</v>
      </c>
      <c r="G1104" s="7" t="str">
        <f>+'[1]BASE RED COMERCIAL'!$D1102</f>
        <v>PLAZA HUINCUL</v>
      </c>
      <c r="H1104" s="7" t="str">
        <f>+'[1]BASE RED COMERCIAL'!$B1102</f>
        <v>NEUQUEN</v>
      </c>
      <c r="I1104" s="8" t="str">
        <f>+'[1]BASE RED COMERCIAL'!$C1102</f>
        <v>CONFLUENCIA</v>
      </c>
      <c r="J1104" s="10"/>
      <c r="K1104" s="10"/>
    </row>
    <row r="1105" spans="1:11" x14ac:dyDescent="0.25">
      <c r="A1105" s="14" t="str">
        <f>+'[1]BASE RED COMERCIAL'!$A1103</f>
        <v>Q0033</v>
      </c>
      <c r="B1105" s="8" t="str">
        <f>+'[1]BASE RED COMERCIAL'!$H1103</f>
        <v>AÃ‘ELO</v>
      </c>
      <c r="C1105" s="7" t="s">
        <v>33</v>
      </c>
      <c r="D1105" s="9" t="str">
        <f>+'[1]BASE RED COMERCIAL'!$E1103</f>
        <v>CALLE 2</v>
      </c>
      <c r="E1105" s="7">
        <f>+'[1]BASE RED COMERCIAL'!$F1103</f>
        <v>0</v>
      </c>
      <c r="F1105" s="14" t="str">
        <f>+'[1]BASE RED COMERCIAL'!$I1103</f>
        <v>Q8312ZAA</v>
      </c>
      <c r="G1105" s="7" t="str">
        <f>+'[1]BASE RED COMERCIAL'!$D1103</f>
        <v>AÃ‘ELO</v>
      </c>
      <c r="H1105" s="7" t="str">
        <f>+'[1]BASE RED COMERCIAL'!$B1103</f>
        <v>NEUQUEN</v>
      </c>
      <c r="I1105" s="8" t="str">
        <f>+'[1]BASE RED COMERCIAL'!$C1103</f>
        <v>AÃ‘ELO</v>
      </c>
      <c r="J1105" s="10"/>
      <c r="K1105" s="10"/>
    </row>
    <row r="1106" spans="1:11" x14ac:dyDescent="0.25">
      <c r="A1106" s="14" t="str">
        <f>+'[1]BASE RED COMERCIAL'!$A1104</f>
        <v>Q0034</v>
      </c>
      <c r="B1106" s="8" t="str">
        <f>+'[1]BASE RED COMERCIAL'!$H1104</f>
        <v>PLOTTIER</v>
      </c>
      <c r="C1106" s="7" t="s">
        <v>33</v>
      </c>
      <c r="D1106" s="9" t="str">
        <f>+'[1]BASE RED COMERCIAL'!$E1104</f>
        <v>GDOR ELORDI</v>
      </c>
      <c r="E1106" s="7">
        <f>+'[1]BASE RED COMERCIAL'!$F1104</f>
        <v>160</v>
      </c>
      <c r="F1106" s="14" t="str">
        <f>+'[1]BASE RED COMERCIAL'!$I1104</f>
        <v>Q8316ZAA</v>
      </c>
      <c r="G1106" s="7" t="str">
        <f>+'[1]BASE RED COMERCIAL'!$D1104</f>
        <v>PLOTTIER</v>
      </c>
      <c r="H1106" s="7" t="str">
        <f>+'[1]BASE RED COMERCIAL'!$B1104</f>
        <v>NEUQUEN</v>
      </c>
      <c r="I1106" s="8" t="str">
        <f>+'[1]BASE RED COMERCIAL'!$C1104</f>
        <v>CONFLUENCIA</v>
      </c>
      <c r="J1106" s="10"/>
      <c r="K1106" s="10"/>
    </row>
    <row r="1107" spans="1:11" x14ac:dyDescent="0.25">
      <c r="A1107" s="14" t="str">
        <f>+'[1]BASE RED COMERCIAL'!$A1105</f>
        <v>Q0038</v>
      </c>
      <c r="B1107" s="8" t="str">
        <f>+'[1]BASE RED COMERCIAL'!$H1105</f>
        <v>SENILLOSA</v>
      </c>
      <c r="C1107" s="7" t="s">
        <v>33</v>
      </c>
      <c r="D1107" s="9" t="str">
        <f>+'[1]BASE RED COMERCIAL'!$E1105</f>
        <v>AV SANTA FE</v>
      </c>
      <c r="E1107" s="7">
        <f>+'[1]BASE RED COMERCIAL'!$F1105</f>
        <v>115</v>
      </c>
      <c r="F1107" s="14" t="str">
        <f>+'[1]BASE RED COMERCIAL'!$I1105</f>
        <v>Q8320ZAA</v>
      </c>
      <c r="G1107" s="7" t="str">
        <f>+'[1]BASE RED COMERCIAL'!$D1105</f>
        <v>SENILLOSA</v>
      </c>
      <c r="H1107" s="7" t="str">
        <f>+'[1]BASE RED COMERCIAL'!$B1105</f>
        <v>NEUQUEN</v>
      </c>
      <c r="I1107" s="8" t="str">
        <f>+'[1]BASE RED COMERCIAL'!$C1105</f>
        <v>CONFLUENCIA</v>
      </c>
      <c r="J1107" s="10"/>
      <c r="K1107" s="10"/>
    </row>
    <row r="1108" spans="1:11" x14ac:dyDescent="0.25">
      <c r="A1108" s="14" t="str">
        <f>+'[1]BASE RED COMERCIAL'!$A1106</f>
        <v>Q0042</v>
      </c>
      <c r="B1108" s="8" t="str">
        <f>+'[1]BASE RED COMERCIAL'!$H1106</f>
        <v>VILLA EL CHOCON</v>
      </c>
      <c r="C1108" s="7" t="s">
        <v>33</v>
      </c>
      <c r="D1108" s="9" t="str">
        <f>+'[1]BASE RED COMERCIAL'!$E1106</f>
        <v>FILA LAS 300</v>
      </c>
      <c r="E1108" s="7">
        <f>+'[1]BASE RED COMERCIAL'!$F1106</f>
        <v>0</v>
      </c>
      <c r="F1108" s="14" t="str">
        <f>+'[1]BASE RED COMERCIAL'!$I1106</f>
        <v>Q8311ZAA</v>
      </c>
      <c r="G1108" s="7" t="str">
        <f>+'[1]BASE RED COMERCIAL'!$D1106</f>
        <v>VILLA EL CHOCON</v>
      </c>
      <c r="H1108" s="7" t="str">
        <f>+'[1]BASE RED COMERCIAL'!$B1106</f>
        <v>NEUQUEN</v>
      </c>
      <c r="I1108" s="8" t="str">
        <f>+'[1]BASE RED COMERCIAL'!$C1106</f>
        <v>CONFLUENCIA</v>
      </c>
      <c r="J1108" s="10"/>
      <c r="K1108" s="10"/>
    </row>
    <row r="1109" spans="1:11" x14ac:dyDescent="0.25">
      <c r="A1109" s="14" t="str">
        <f>+'[1]BASE RED COMERCIAL'!$A1107</f>
        <v>Q0046</v>
      </c>
      <c r="B1109" s="8" t="str">
        <f>+'[1]BASE RED COMERCIAL'!$H1107</f>
        <v>ZAPALA</v>
      </c>
      <c r="C1109" s="7" t="s">
        <v>33</v>
      </c>
      <c r="D1109" s="9" t="str">
        <f>+'[1]BASE RED COMERCIAL'!$E1107</f>
        <v>AV SAN MARTIN</v>
      </c>
      <c r="E1109" s="7">
        <f>+'[1]BASE RED COMERCIAL'!$F1107</f>
        <v>324</v>
      </c>
      <c r="F1109" s="14" t="str">
        <f>+'[1]BASE RED COMERCIAL'!$I1107</f>
        <v>Q8340ZAA</v>
      </c>
      <c r="G1109" s="7" t="str">
        <f>+'[1]BASE RED COMERCIAL'!$D1107</f>
        <v>ZAPALA</v>
      </c>
      <c r="H1109" s="7" t="str">
        <f>+'[1]BASE RED COMERCIAL'!$B1107</f>
        <v>NEUQUEN</v>
      </c>
      <c r="I1109" s="8" t="str">
        <f>+'[1]BASE RED COMERCIAL'!$C1107</f>
        <v>ZAPALA</v>
      </c>
      <c r="J1109" s="10"/>
      <c r="K1109" s="10"/>
    </row>
    <row r="1110" spans="1:11" x14ac:dyDescent="0.25">
      <c r="A1110" s="14" t="str">
        <f>+'[1]BASE RED COMERCIAL'!$A1108</f>
        <v>Q0102</v>
      </c>
      <c r="B1110" s="8" t="str">
        <f>+'[1]BASE RED COMERCIAL'!$H1108</f>
        <v>JUNIN DE LOS ANDES</v>
      </c>
      <c r="C1110" s="7" t="s">
        <v>33</v>
      </c>
      <c r="D1110" s="9" t="str">
        <f>+'[1]BASE RED COMERCIAL'!$E1108</f>
        <v>DON BOSCO</v>
      </c>
      <c r="E1110" s="7">
        <f>+'[1]BASE RED COMERCIAL'!$F1108</f>
        <v>602</v>
      </c>
      <c r="F1110" s="14" t="str">
        <f>+'[1]BASE RED COMERCIAL'!$I1108</f>
        <v>Q8371ZAA</v>
      </c>
      <c r="G1110" s="7" t="str">
        <f>+'[1]BASE RED COMERCIAL'!$D1108</f>
        <v>JUNIN DE LOS ANDES</v>
      </c>
      <c r="H1110" s="7" t="str">
        <f>+'[1]BASE RED COMERCIAL'!$B1108</f>
        <v>NEUQUEN</v>
      </c>
      <c r="I1110" s="8" t="str">
        <f>+'[1]BASE RED COMERCIAL'!$C1108</f>
        <v>HUILICHES</v>
      </c>
      <c r="J1110" s="10"/>
      <c r="K1110" s="10"/>
    </row>
    <row r="1111" spans="1:11" x14ac:dyDescent="0.25">
      <c r="A1111" s="14" t="str">
        <f>+'[1]BASE RED COMERCIAL'!$A1109</f>
        <v>Q0104</v>
      </c>
      <c r="B1111" s="8" t="str">
        <f>+'[1]BASE RED COMERCIAL'!$H1109</f>
        <v>SAN MARTIN DE LOS ANDES</v>
      </c>
      <c r="C1111" s="7" t="s">
        <v>33</v>
      </c>
      <c r="D1111" s="9" t="str">
        <f>+'[1]BASE RED COMERCIAL'!$E1109</f>
        <v>PTE GRAL JULIO A ROCA</v>
      </c>
      <c r="E1111" s="7">
        <f>+'[1]BASE RED COMERCIAL'!$F1109</f>
        <v>690</v>
      </c>
      <c r="F1111" s="14" t="str">
        <f>+'[1]BASE RED COMERCIAL'!$I1109</f>
        <v>Q8370ZAA</v>
      </c>
      <c r="G1111" s="7" t="str">
        <f>+'[1]BASE RED COMERCIAL'!$D1109</f>
        <v>SAN MARTIN DE LOS ANDES</v>
      </c>
      <c r="H1111" s="7" t="str">
        <f>+'[1]BASE RED COMERCIAL'!$B1109</f>
        <v>NEUQUEN</v>
      </c>
      <c r="I1111" s="8" t="str">
        <f>+'[1]BASE RED COMERCIAL'!$C1109</f>
        <v>LACAR</v>
      </c>
      <c r="J1111" s="10"/>
      <c r="K1111" s="10"/>
    </row>
    <row r="1112" spans="1:11" x14ac:dyDescent="0.25">
      <c r="A1112" s="14" t="str">
        <f>+'[1]BASE RED COMERCIAL'!$A1110</f>
        <v>Q0106</v>
      </c>
      <c r="B1112" s="8" t="str">
        <f>+'[1]BASE RED COMERCIAL'!$H1110</f>
        <v>VILLA TRAFUL</v>
      </c>
      <c r="C1112" s="7" t="s">
        <v>33</v>
      </c>
      <c r="D1112" s="9" t="str">
        <f>+'[1]BASE RED COMERCIAL'!$E1110</f>
        <v>R PROV 65</v>
      </c>
      <c r="E1112" s="7">
        <f>+'[1]BASE RED COMERCIAL'!$F1110</f>
        <v>0</v>
      </c>
      <c r="F1112" s="14" t="str">
        <f>+'[1]BASE RED COMERCIAL'!$I1110</f>
        <v>Q8408ZAA</v>
      </c>
      <c r="G1112" s="7" t="str">
        <f>+'[1]BASE RED COMERCIAL'!$D1110</f>
        <v>VILLA TRAFUL</v>
      </c>
      <c r="H1112" s="7" t="str">
        <f>+'[1]BASE RED COMERCIAL'!$B1110</f>
        <v>NEUQUEN</v>
      </c>
      <c r="I1112" s="8" t="str">
        <f>+'[1]BASE RED COMERCIAL'!$C1110</f>
        <v>LOS LAGOS</v>
      </c>
      <c r="J1112" s="10"/>
      <c r="K1112" s="10"/>
    </row>
    <row r="1113" spans="1:11" x14ac:dyDescent="0.25">
      <c r="A1113" s="14" t="str">
        <f>+'[1]BASE RED COMERCIAL'!$A1111</f>
        <v>Q0108</v>
      </c>
      <c r="B1113" s="8" t="str">
        <f>+'[1]BASE RED COMERCIAL'!$H1111</f>
        <v>VILLA LA ANGOSTURA</v>
      </c>
      <c r="C1113" s="7" t="s">
        <v>33</v>
      </c>
      <c r="D1113" s="9" t="str">
        <f>+'[1]BASE RED COMERCIAL'!$E1111</f>
        <v>LAS FUCSIAS</v>
      </c>
      <c r="E1113" s="7">
        <f>+'[1]BASE RED COMERCIAL'!$F1111</f>
        <v>121</v>
      </c>
      <c r="F1113" s="14" t="str">
        <f>+'[1]BASE RED COMERCIAL'!$I1111</f>
        <v>Q8407ZAA</v>
      </c>
      <c r="G1113" s="7" t="str">
        <f>+'[1]BASE RED COMERCIAL'!$D1111</f>
        <v>VILLA LA ANGOSTURA</v>
      </c>
      <c r="H1113" s="7" t="str">
        <f>+'[1]BASE RED COMERCIAL'!$B1111</f>
        <v>NEUQUEN</v>
      </c>
      <c r="I1113" s="8" t="str">
        <f>+'[1]BASE RED COMERCIAL'!$C1111</f>
        <v>LOS LAGOS</v>
      </c>
      <c r="J1113" s="10"/>
      <c r="K1113" s="10"/>
    </row>
    <row r="1114" spans="1:11" x14ac:dyDescent="0.25">
      <c r="A1114" s="14" t="str">
        <f>+'[1]BASE RED COMERCIAL'!$A1112</f>
        <v>Q0110</v>
      </c>
      <c r="B1114" s="8" t="str">
        <f>+'[1]BASE RED COMERCIAL'!$H1112</f>
        <v>PIEDRA DEL AGUILA</v>
      </c>
      <c r="C1114" s="7" t="s">
        <v>33</v>
      </c>
      <c r="D1114" s="9" t="str">
        <f>+'[1]BASE RED COMERCIAL'!$E1112</f>
        <v>AV DOMINGO SARMIENTO</v>
      </c>
      <c r="E1114" s="7">
        <f>+'[1]BASE RED COMERCIAL'!$F1112</f>
        <v>90</v>
      </c>
      <c r="F1114" s="14" t="str">
        <f>+'[1]BASE RED COMERCIAL'!$I1112</f>
        <v>Q8315ZAA</v>
      </c>
      <c r="G1114" s="7" t="str">
        <f>+'[1]BASE RED COMERCIAL'!$D1112</f>
        <v>PIEDRA DEL AGUILA</v>
      </c>
      <c r="H1114" s="7" t="str">
        <f>+'[1]BASE RED COMERCIAL'!$B1112</f>
        <v>NEUQUEN</v>
      </c>
      <c r="I1114" s="8" t="str">
        <f>+'[1]BASE RED COMERCIAL'!$C1112</f>
        <v>COLLON CURA</v>
      </c>
      <c r="J1114" s="10"/>
      <c r="K1114" s="10"/>
    </row>
    <row r="1115" spans="1:11" x14ac:dyDescent="0.25">
      <c r="A1115" s="14" t="str">
        <f>+'[1]BASE RED COMERCIAL'!$A1113</f>
        <v>Q1026</v>
      </c>
      <c r="B1115" s="8" t="str">
        <f>+'[1]BASE RED COMERCIAL'!$H1113</f>
        <v>LAS OVEJAS</v>
      </c>
      <c r="C1115" s="7" t="s">
        <v>33</v>
      </c>
      <c r="D1115" s="9" t="str">
        <f>+'[1]BASE RED COMERCIAL'!$E1113</f>
        <v>S/C</v>
      </c>
      <c r="E1115" s="7">
        <f>+'[1]BASE RED COMERCIAL'!$F1113</f>
        <v>0</v>
      </c>
      <c r="F1115" s="14" t="str">
        <f>+'[1]BASE RED COMERCIAL'!$I1113</f>
        <v>Q8355ZAA</v>
      </c>
      <c r="G1115" s="7" t="str">
        <f>+'[1]BASE RED COMERCIAL'!$D1113</f>
        <v>LAS OVEJAS</v>
      </c>
      <c r="H1115" s="7" t="str">
        <f>+'[1]BASE RED COMERCIAL'!$B1113</f>
        <v>NEUQUEN</v>
      </c>
      <c r="I1115" s="8" t="str">
        <f>+'[1]BASE RED COMERCIAL'!$C1113</f>
        <v>MINAS</v>
      </c>
      <c r="J1115" s="10"/>
      <c r="K1115" s="10"/>
    </row>
    <row r="1116" spans="1:11" x14ac:dyDescent="0.25">
      <c r="A1116" s="14" t="str">
        <f>+'[1]BASE RED COMERCIAL'!$A1114</f>
        <v>Q1127</v>
      </c>
      <c r="B1116" s="8" t="str">
        <f>+'[1]BASE RED COMERCIAL'!$H1114</f>
        <v>SAN PATRICIO DEL CHAÃ‘AR</v>
      </c>
      <c r="C1116" s="7" t="s">
        <v>33</v>
      </c>
      <c r="D1116" s="9" t="str">
        <f>+'[1]BASE RED COMERCIAL'!$E1114</f>
        <v>VILLA PEHUENIA</v>
      </c>
      <c r="E1116" s="7">
        <f>+'[1]BASE RED COMERCIAL'!$F1114</f>
        <v>0</v>
      </c>
      <c r="F1116" s="14" t="str">
        <f>+'[1]BASE RED COMERCIAL'!$I1114</f>
        <v>Q8306ZAA</v>
      </c>
      <c r="G1116" s="7" t="str">
        <f>+'[1]BASE RED COMERCIAL'!$D1114</f>
        <v>SAN PATRICIO DEL CHAÃ‘AR</v>
      </c>
      <c r="H1116" s="7" t="str">
        <f>+'[1]BASE RED COMERCIAL'!$B1114</f>
        <v>NEUQUEN</v>
      </c>
      <c r="I1116" s="8" t="str">
        <f>+'[1]BASE RED COMERCIAL'!$C1114</f>
        <v>AÃ‘ELO</v>
      </c>
      <c r="J1116" s="10"/>
      <c r="K1116" s="10"/>
    </row>
    <row r="1117" spans="1:11" x14ac:dyDescent="0.25">
      <c r="A1117" s="14" t="str">
        <f>+'[1]BASE RED COMERCIAL'!$A1115</f>
        <v>R0100</v>
      </c>
      <c r="B1117" s="8" t="str">
        <f>+'[1]BASE RED COMERCIAL'!$H1115</f>
        <v>S. C. DE BARILOCHE</v>
      </c>
      <c r="C1117" s="7" t="s">
        <v>33</v>
      </c>
      <c r="D1117" s="9" t="str">
        <f>+'[1]BASE RED COMERCIAL'!$E1115</f>
        <v>PERITO FRANCISCO P MORENO</v>
      </c>
      <c r="E1117" s="7">
        <f>+'[1]BASE RED COMERCIAL'!$F1115</f>
        <v>175</v>
      </c>
      <c r="F1117" s="14" t="str">
        <f>+'[1]BASE RED COMERCIAL'!$I1115</f>
        <v>R8400ZAA</v>
      </c>
      <c r="G1117" s="7" t="str">
        <f>+'[1]BASE RED COMERCIAL'!$D1115</f>
        <v>SAN CARLOS DE BARILOCHE</v>
      </c>
      <c r="H1117" s="7" t="str">
        <f>+'[1]BASE RED COMERCIAL'!$B1115</f>
        <v>RIO NEGRO</v>
      </c>
      <c r="I1117" s="8" t="str">
        <f>+'[1]BASE RED COMERCIAL'!$C1115</f>
        <v>BARILOCHE</v>
      </c>
      <c r="J1117" s="10"/>
      <c r="K1117" s="10"/>
    </row>
    <row r="1118" spans="1:11" x14ac:dyDescent="0.25">
      <c r="A1118" s="14" t="str">
        <f>+'[1]BASE RED COMERCIAL'!$A1116</f>
        <v>R0101</v>
      </c>
      <c r="B1118" s="8" t="str">
        <f>+'[1]BASE RED COMERCIAL'!$H1116</f>
        <v>ONELLI</v>
      </c>
      <c r="C1118" s="7" t="s">
        <v>33</v>
      </c>
      <c r="D1118" s="9" t="str">
        <f>+'[1]BASE RED COMERCIAL'!$E1116</f>
        <v>CLEMENTE ONELLI</v>
      </c>
      <c r="E1118" s="7">
        <f>+'[1]BASE RED COMERCIAL'!$F1116</f>
        <v>1450</v>
      </c>
      <c r="F1118" s="14" t="str">
        <f>+'[1]BASE RED COMERCIAL'!$I1116</f>
        <v>R8400ZAQ</v>
      </c>
      <c r="G1118" s="7" t="str">
        <f>+'[1]BASE RED COMERCIAL'!$D1116</f>
        <v>SAN CARLOS DE BARILOCHE</v>
      </c>
      <c r="H1118" s="7" t="str">
        <f>+'[1]BASE RED COMERCIAL'!$B1116</f>
        <v>RIO NEGRO</v>
      </c>
      <c r="I1118" s="8" t="str">
        <f>+'[1]BASE RED COMERCIAL'!$C1116</f>
        <v>BARILOCHE</v>
      </c>
      <c r="J1118" s="10"/>
      <c r="K1118" s="10"/>
    </row>
    <row r="1119" spans="1:11" x14ac:dyDescent="0.25">
      <c r="A1119" s="14" t="str">
        <f>+'[1]BASE RED COMERCIAL'!$A1117</f>
        <v>R0102</v>
      </c>
      <c r="B1119" s="8" t="str">
        <f>+'[1]BASE RED COMERCIAL'!$H1117</f>
        <v>COMALLO</v>
      </c>
      <c r="C1119" s="7" t="s">
        <v>33</v>
      </c>
      <c r="D1119" s="9" t="str">
        <f>+'[1]BASE RED COMERCIAL'!$E1117</f>
        <v>AV LIBERTAD</v>
      </c>
      <c r="E1119" s="7">
        <f>+'[1]BASE RED COMERCIAL'!$F1117</f>
        <v>100</v>
      </c>
      <c r="F1119" s="14" t="str">
        <f>+'[1]BASE RED COMERCIAL'!$I1117</f>
        <v>R8416ZAA</v>
      </c>
      <c r="G1119" s="7" t="str">
        <f>+'[1]BASE RED COMERCIAL'!$D1117</f>
        <v>COMALLO</v>
      </c>
      <c r="H1119" s="7" t="str">
        <f>+'[1]BASE RED COMERCIAL'!$B1117</f>
        <v>RIO NEGRO</v>
      </c>
      <c r="I1119" s="8" t="str">
        <f>+'[1]BASE RED COMERCIAL'!$C1117</f>
        <v>PILCANIYEU</v>
      </c>
      <c r="J1119" s="10"/>
      <c r="K1119" s="10"/>
    </row>
    <row r="1120" spans="1:11" x14ac:dyDescent="0.25">
      <c r="A1120" s="14" t="str">
        <f>+'[1]BASE RED COMERCIAL'!$A1118</f>
        <v>R0104</v>
      </c>
      <c r="B1120" s="8" t="str">
        <f>+'[1]BASE RED COMERCIAL'!$H1118</f>
        <v>ING. JACOBACCI</v>
      </c>
      <c r="C1120" s="7" t="s">
        <v>33</v>
      </c>
      <c r="D1120" s="9" t="str">
        <f>+'[1]BASE RED COMERCIAL'!$E1118</f>
        <v>LIBERTAD</v>
      </c>
      <c r="E1120" s="7">
        <f>+'[1]BASE RED COMERCIAL'!$F1118</f>
        <v>100</v>
      </c>
      <c r="F1120" s="14" t="str">
        <f>+'[1]BASE RED COMERCIAL'!$I1118</f>
        <v>R8418ZAA</v>
      </c>
      <c r="G1120" s="7" t="str">
        <f>+'[1]BASE RED COMERCIAL'!$D1118</f>
        <v>INGENIERO JACOBACCI</v>
      </c>
      <c r="H1120" s="7" t="str">
        <f>+'[1]BASE RED COMERCIAL'!$B1118</f>
        <v>RIO NEGRO</v>
      </c>
      <c r="I1120" s="8" t="str">
        <f>+'[1]BASE RED COMERCIAL'!$C1118</f>
        <v>25 DE MAYO</v>
      </c>
      <c r="J1120" s="10"/>
      <c r="K1120" s="10"/>
    </row>
    <row r="1121" spans="1:11" x14ac:dyDescent="0.25">
      <c r="A1121" s="14" t="str">
        <f>+'[1]BASE RED COMERCIAL'!$A1119</f>
        <v>R0108</v>
      </c>
      <c r="B1121" s="8" t="str">
        <f>+'[1]BASE RED COMERCIAL'!$H1119</f>
        <v>MAQUINCHAO</v>
      </c>
      <c r="C1121" s="7" t="s">
        <v>33</v>
      </c>
      <c r="D1121" s="9" t="str">
        <f>+'[1]BASE RED COMERCIAL'!$E1119</f>
        <v>DOMINGO SARMIENTO</v>
      </c>
      <c r="E1121" s="7">
        <f>+'[1]BASE RED COMERCIAL'!$F1119</f>
        <v>900</v>
      </c>
      <c r="F1121" s="14" t="str">
        <f>+'[1]BASE RED COMERCIAL'!$I1119</f>
        <v>R8422ZAA</v>
      </c>
      <c r="G1121" s="7" t="str">
        <f>+'[1]BASE RED COMERCIAL'!$D1119</f>
        <v>MAQUINCHAO</v>
      </c>
      <c r="H1121" s="7" t="str">
        <f>+'[1]BASE RED COMERCIAL'!$B1119</f>
        <v>RIO NEGRO</v>
      </c>
      <c r="I1121" s="8" t="str">
        <f>+'[1]BASE RED COMERCIAL'!$C1119</f>
        <v>25 DE MAYO</v>
      </c>
      <c r="J1121" s="10"/>
      <c r="K1121" s="10"/>
    </row>
    <row r="1122" spans="1:11" x14ac:dyDescent="0.25">
      <c r="A1122" s="14" t="str">
        <f>+'[1]BASE RED COMERCIAL'!$A1120</f>
        <v>R0110</v>
      </c>
      <c r="B1122" s="8" t="str">
        <f>+'[1]BASE RED COMERCIAL'!$H1120</f>
        <v>Ã‘ORQUINCO</v>
      </c>
      <c r="C1122" s="7" t="s">
        <v>33</v>
      </c>
      <c r="D1122" s="9" t="str">
        <f>+'[1]BASE RED COMERCIAL'!$E1120</f>
        <v>SAN MARTIN S/NÂº</v>
      </c>
      <c r="E1122" s="7">
        <f>+'[1]BASE RED COMERCIAL'!$F1120</f>
        <v>0</v>
      </c>
      <c r="F1122" s="14" t="str">
        <f>+'[1]BASE RED COMERCIAL'!$I1120</f>
        <v>R8415ZAA</v>
      </c>
      <c r="G1122" s="7" t="str">
        <f>+'[1]BASE RED COMERCIAL'!$D1120</f>
        <v>Ã‘ORQUINCO</v>
      </c>
      <c r="H1122" s="7" t="str">
        <f>+'[1]BASE RED COMERCIAL'!$B1120</f>
        <v>RIO NEGRO</v>
      </c>
      <c r="I1122" s="8" t="str">
        <f>+'[1]BASE RED COMERCIAL'!$C1120</f>
        <v>Ã‘ORQUINCO</v>
      </c>
      <c r="J1122" s="10"/>
      <c r="K1122" s="10"/>
    </row>
    <row r="1123" spans="1:11" x14ac:dyDescent="0.25">
      <c r="A1123" s="14" t="str">
        <f>+'[1]BASE RED COMERCIAL'!$A1121</f>
        <v>R0114</v>
      </c>
      <c r="B1123" s="8" t="str">
        <f>+'[1]BASE RED COMERCIAL'!$H1121</f>
        <v>PILCANIYEU</v>
      </c>
      <c r="C1123" s="7" t="s">
        <v>33</v>
      </c>
      <c r="D1123" s="9" t="str">
        <f>+'[1]BASE RED COMERCIAL'!$E1121</f>
        <v>CHOIQUE SIN NÂº</v>
      </c>
      <c r="E1123" s="7">
        <f>+'[1]BASE RED COMERCIAL'!$F1121</f>
        <v>0</v>
      </c>
      <c r="F1123" s="14" t="str">
        <f>+'[1]BASE RED COMERCIAL'!$I1121</f>
        <v>R8412ZAA</v>
      </c>
      <c r="G1123" s="7" t="str">
        <f>+'[1]BASE RED COMERCIAL'!$D1121</f>
        <v>PILCANIYEU</v>
      </c>
      <c r="H1123" s="7" t="str">
        <f>+'[1]BASE RED COMERCIAL'!$B1121</f>
        <v>RIO NEGRO</v>
      </c>
      <c r="I1123" s="8" t="str">
        <f>+'[1]BASE RED COMERCIAL'!$C1121</f>
        <v>PILCANIYEU</v>
      </c>
      <c r="J1123" s="10"/>
      <c r="K1123" s="10"/>
    </row>
    <row r="1124" spans="1:11" x14ac:dyDescent="0.25">
      <c r="A1124" s="14" t="str">
        <f>+'[1]BASE RED COMERCIAL'!$A1122</f>
        <v>R0118</v>
      </c>
      <c r="B1124" s="8" t="str">
        <f>+'[1]BASE RED COMERCIAL'!$H1122</f>
        <v>EL BOLSON</v>
      </c>
      <c r="C1124" s="7" t="s">
        <v>33</v>
      </c>
      <c r="D1124" s="9" t="str">
        <f>+'[1]BASE RED COMERCIAL'!$E1122</f>
        <v>AV SAN MARTIN</v>
      </c>
      <c r="E1124" s="7">
        <f>+'[1]BASE RED COMERCIAL'!$F1122</f>
        <v>2860</v>
      </c>
      <c r="F1124" s="14" t="str">
        <f>+'[1]BASE RED COMERCIAL'!$I1122</f>
        <v>R8430ZAA</v>
      </c>
      <c r="G1124" s="7" t="str">
        <f>+'[1]BASE RED COMERCIAL'!$D1122</f>
        <v>EL BOLSON</v>
      </c>
      <c r="H1124" s="7" t="str">
        <f>+'[1]BASE RED COMERCIAL'!$B1122</f>
        <v>RIO NEGRO</v>
      </c>
      <c r="I1124" s="8" t="str">
        <f>+'[1]BASE RED COMERCIAL'!$C1122</f>
        <v>BARILOCHE</v>
      </c>
      <c r="J1124" s="10"/>
      <c r="K1124" s="10"/>
    </row>
    <row r="1125" spans="1:11" x14ac:dyDescent="0.25">
      <c r="A1125" s="14" t="str">
        <f>+'[1]BASE RED COMERCIAL'!$A1123</f>
        <v>R0202</v>
      </c>
      <c r="B1125" s="8" t="str">
        <f>+'[1]BASE RED COMERCIAL'!$H1123</f>
        <v>ALLEN</v>
      </c>
      <c r="C1125" s="7" t="s">
        <v>33</v>
      </c>
      <c r="D1125" s="9" t="str">
        <f>+'[1]BASE RED COMERCIAL'!$E1123</f>
        <v>TOMAS ORELL</v>
      </c>
      <c r="E1125" s="7">
        <f>+'[1]BASE RED COMERCIAL'!$F1123</f>
        <v>168</v>
      </c>
      <c r="F1125" s="14" t="str">
        <f>+'[1]BASE RED COMERCIAL'!$I1123</f>
        <v>R8328ZAA</v>
      </c>
      <c r="G1125" s="7" t="str">
        <f>+'[1]BASE RED COMERCIAL'!$D1123</f>
        <v>ALLEN</v>
      </c>
      <c r="H1125" s="7" t="str">
        <f>+'[1]BASE RED COMERCIAL'!$B1123</f>
        <v>RIO NEGRO</v>
      </c>
      <c r="I1125" s="8" t="str">
        <f>+'[1]BASE RED COMERCIAL'!$C1123</f>
        <v>GENERAL ROCA</v>
      </c>
      <c r="J1125" s="10"/>
      <c r="K1125" s="10"/>
    </row>
    <row r="1126" spans="1:11" x14ac:dyDescent="0.25">
      <c r="A1126" s="14" t="str">
        <f>+'[1]BASE RED COMERCIAL'!$A1124</f>
        <v>R0204</v>
      </c>
      <c r="B1126" s="8" t="str">
        <f>+'[1]BASE RED COMERCIAL'!$H1124</f>
        <v>BARDA DEL MEDIO</v>
      </c>
      <c r="C1126" s="7" t="s">
        <v>33</v>
      </c>
      <c r="D1126" s="9" t="str">
        <f>+'[1]BASE RED COMERCIAL'!$E1124</f>
        <v>DECIO SEVERINI</v>
      </c>
      <c r="E1126" s="7">
        <f>+'[1]BASE RED COMERCIAL'!$F1124</f>
        <v>201</v>
      </c>
      <c r="F1126" s="14" t="str">
        <f>+'[1]BASE RED COMERCIAL'!$I1124</f>
        <v>R8305ZAA</v>
      </c>
      <c r="G1126" s="7" t="str">
        <f>+'[1]BASE RED COMERCIAL'!$D1124</f>
        <v>BARDA DEL MEDIO</v>
      </c>
      <c r="H1126" s="7" t="str">
        <f>+'[1]BASE RED COMERCIAL'!$B1124</f>
        <v>RIO NEGRO</v>
      </c>
      <c r="I1126" s="8" t="str">
        <f>+'[1]BASE RED COMERCIAL'!$C1124</f>
        <v>GENERAL ROCA</v>
      </c>
      <c r="J1126" s="10"/>
      <c r="K1126" s="10"/>
    </row>
    <row r="1127" spans="1:11" x14ac:dyDescent="0.25">
      <c r="A1127" s="14" t="str">
        <f>+'[1]BASE RED COMERCIAL'!$A1125</f>
        <v>R0206</v>
      </c>
      <c r="B1127" s="8" t="str">
        <f>+'[1]BASE RED COMERCIAL'!$H1125</f>
        <v>CATRIEL</v>
      </c>
      <c r="C1127" s="7" t="s">
        <v>33</v>
      </c>
      <c r="D1127" s="9" t="str">
        <f>+'[1]BASE RED COMERCIAL'!$E1125</f>
        <v>PRIMEROS POBLADORES</v>
      </c>
      <c r="E1127" s="7">
        <f>+'[1]BASE RED COMERCIAL'!$F1125</f>
        <v>240</v>
      </c>
      <c r="F1127" s="14" t="str">
        <f>+'[1]BASE RED COMERCIAL'!$I1125</f>
        <v>R8307ZAA</v>
      </c>
      <c r="G1127" s="7" t="str">
        <f>+'[1]BASE RED COMERCIAL'!$D1125</f>
        <v>CATRIEL</v>
      </c>
      <c r="H1127" s="7" t="str">
        <f>+'[1]BASE RED COMERCIAL'!$B1125</f>
        <v>RIO NEGRO</v>
      </c>
      <c r="I1127" s="8" t="str">
        <f>+'[1]BASE RED COMERCIAL'!$C1125</f>
        <v>GENERAL ROCA</v>
      </c>
      <c r="J1127" s="10"/>
      <c r="K1127" s="10"/>
    </row>
    <row r="1128" spans="1:11" x14ac:dyDescent="0.25">
      <c r="A1128" s="14" t="str">
        <f>+'[1]BASE RED COMERCIAL'!$A1126</f>
        <v>R0208</v>
      </c>
      <c r="B1128" s="8" t="str">
        <f>+'[1]BASE RED COMERCIAL'!$H1126</f>
        <v>CERVANTES</v>
      </c>
      <c r="C1128" s="7" t="s">
        <v>33</v>
      </c>
      <c r="D1128" s="9" t="str">
        <f>+'[1]BASE RED COMERCIAL'!$E1126</f>
        <v>AV SAN MARTIN</v>
      </c>
      <c r="E1128" s="7">
        <f>+'[1]BASE RED COMERCIAL'!$F1126</f>
        <v>225</v>
      </c>
      <c r="F1128" s="14" t="str">
        <f>+'[1]BASE RED COMERCIAL'!$I1126</f>
        <v>R8326ZAA</v>
      </c>
      <c r="G1128" s="7" t="str">
        <f>+'[1]BASE RED COMERCIAL'!$D1126</f>
        <v>CERVANTES</v>
      </c>
      <c r="H1128" s="7" t="str">
        <f>+'[1]BASE RED COMERCIAL'!$B1126</f>
        <v>RIO NEGRO</v>
      </c>
      <c r="I1128" s="8" t="str">
        <f>+'[1]BASE RED COMERCIAL'!$C1126</f>
        <v>GENERAL ROCA</v>
      </c>
      <c r="J1128" s="10"/>
      <c r="K1128" s="10"/>
    </row>
    <row r="1129" spans="1:11" x14ac:dyDescent="0.25">
      <c r="A1129" s="14" t="str">
        <f>+'[1]BASE RED COMERCIAL'!$A1127</f>
        <v>R0210</v>
      </c>
      <c r="B1129" s="8" t="str">
        <f>+'[1]BASE RED COMERCIAL'!$H1127</f>
        <v>CHIMPAY</v>
      </c>
      <c r="C1129" s="7" t="s">
        <v>33</v>
      </c>
      <c r="D1129" s="9" t="str">
        <f>+'[1]BASE RED COMERCIAL'!$E1127</f>
        <v>SARMIENTO</v>
      </c>
      <c r="E1129" s="7">
        <f>+'[1]BASE RED COMERCIAL'!$F1127</f>
        <v>141</v>
      </c>
      <c r="F1129" s="14" t="str">
        <f>+'[1]BASE RED COMERCIAL'!$I1127</f>
        <v>R8364ZAA</v>
      </c>
      <c r="G1129" s="7" t="str">
        <f>+'[1]BASE RED COMERCIAL'!$D1127</f>
        <v>CHIMPAY</v>
      </c>
      <c r="H1129" s="7" t="str">
        <f>+'[1]BASE RED COMERCIAL'!$B1127</f>
        <v>RIO NEGRO</v>
      </c>
      <c r="I1129" s="8" t="str">
        <f>+'[1]BASE RED COMERCIAL'!$C1127</f>
        <v>AVELLANEDA</v>
      </c>
      <c r="J1129" s="10"/>
      <c r="K1129" s="10"/>
    </row>
    <row r="1130" spans="1:11" x14ac:dyDescent="0.25">
      <c r="A1130" s="14" t="str">
        <f>+'[1]BASE RED COMERCIAL'!$A1128</f>
        <v>R0212</v>
      </c>
      <c r="B1130" s="8" t="str">
        <f>+'[1]BASE RED COMERCIAL'!$H1128</f>
        <v>CINCO SALTOS</v>
      </c>
      <c r="C1130" s="7" t="s">
        <v>33</v>
      </c>
      <c r="D1130" s="9" t="str">
        <f>+'[1]BASE RED COMERCIAL'!$E1128</f>
        <v>AV BLUMETTI</v>
      </c>
      <c r="E1130" s="7">
        <f>+'[1]BASE RED COMERCIAL'!$F1128</f>
        <v>22</v>
      </c>
      <c r="F1130" s="14" t="str">
        <f>+'[1]BASE RED COMERCIAL'!$I1128</f>
        <v>R8303ZAA</v>
      </c>
      <c r="G1130" s="7" t="str">
        <f>+'[1]BASE RED COMERCIAL'!$D1128</f>
        <v>CINCO SALTOS</v>
      </c>
      <c r="H1130" s="7" t="str">
        <f>+'[1]BASE RED COMERCIAL'!$B1128</f>
        <v>RIO NEGRO</v>
      </c>
      <c r="I1130" s="8" t="str">
        <f>+'[1]BASE RED COMERCIAL'!$C1128</f>
        <v>GENERAL ROCA</v>
      </c>
      <c r="J1130" s="10"/>
      <c r="K1130" s="10"/>
    </row>
    <row r="1131" spans="1:11" x14ac:dyDescent="0.25">
      <c r="A1131" s="14" t="str">
        <f>+'[1]BASE RED COMERCIAL'!$A1129</f>
        <v>R0214</v>
      </c>
      <c r="B1131" s="8" t="str">
        <f>+'[1]BASE RED COMERCIAL'!$H1129</f>
        <v>CIPOLLETTI</v>
      </c>
      <c r="C1131" s="7" t="s">
        <v>33</v>
      </c>
      <c r="D1131" s="9" t="str">
        <f>+'[1]BASE RED COMERCIAL'!$E1129</f>
        <v>TENIENTE 1RO IBAÃ‘EZ</v>
      </c>
      <c r="E1131" s="7">
        <f>+'[1]BASE RED COMERCIAL'!$F1129</f>
        <v>5</v>
      </c>
      <c r="F1131" s="14" t="str">
        <f>+'[1]BASE RED COMERCIAL'!$I1129</f>
        <v>R8324ZAA</v>
      </c>
      <c r="G1131" s="7" t="str">
        <f>+'[1]BASE RED COMERCIAL'!$D1129</f>
        <v>CIPOLLETTI</v>
      </c>
      <c r="H1131" s="7" t="str">
        <f>+'[1]BASE RED COMERCIAL'!$B1129</f>
        <v>RIO NEGRO</v>
      </c>
      <c r="I1131" s="8" t="str">
        <f>+'[1]BASE RED COMERCIAL'!$C1129</f>
        <v>GENERAL ROCA</v>
      </c>
      <c r="J1131" s="10"/>
      <c r="K1131" s="10"/>
    </row>
    <row r="1132" spans="1:11" x14ac:dyDescent="0.25">
      <c r="A1132" s="14" t="str">
        <f>+'[1]BASE RED COMERCIAL'!$A1130</f>
        <v>R0218</v>
      </c>
      <c r="B1132" s="8" t="str">
        <f>+'[1]BASE RED COMERCIAL'!$H1130</f>
        <v>CHICHINALES</v>
      </c>
      <c r="C1132" s="7" t="s">
        <v>33</v>
      </c>
      <c r="D1132" s="9" t="str">
        <f>+'[1]BASE RED COMERCIAL'!$E1130</f>
        <v>RIO NEGRO</v>
      </c>
      <c r="E1132" s="7">
        <f>+'[1]BASE RED COMERCIAL'!$F1130</f>
        <v>50</v>
      </c>
      <c r="F1132" s="14" t="str">
        <f>+'[1]BASE RED COMERCIAL'!$I1130</f>
        <v>R8337ZAA</v>
      </c>
      <c r="G1132" s="7" t="str">
        <f>+'[1]BASE RED COMERCIAL'!$D1130</f>
        <v>CHICHINALES</v>
      </c>
      <c r="H1132" s="7" t="str">
        <f>+'[1]BASE RED COMERCIAL'!$B1130</f>
        <v>RIO NEGRO</v>
      </c>
      <c r="I1132" s="8" t="str">
        <f>+'[1]BASE RED COMERCIAL'!$C1130</f>
        <v>GENERAL ROCA</v>
      </c>
      <c r="J1132" s="10"/>
      <c r="K1132" s="10"/>
    </row>
    <row r="1133" spans="1:11" x14ac:dyDescent="0.25">
      <c r="A1133" s="14" t="str">
        <f>+'[1]BASE RED COMERCIAL'!$A1131</f>
        <v>R0220</v>
      </c>
      <c r="B1133" s="8" t="str">
        <f>+'[1]BASE RED COMERCIAL'!$H1131</f>
        <v>GRAL. FERNANDEZ ORO</v>
      </c>
      <c r="C1133" s="7" t="s">
        <v>33</v>
      </c>
      <c r="D1133" s="9" t="str">
        <f>+'[1]BASE RED COMERCIAL'!$E1131</f>
        <v>GRAL SAN MARTIN</v>
      </c>
      <c r="E1133" s="7">
        <f>+'[1]BASE RED COMERCIAL'!$F1131</f>
        <v>180</v>
      </c>
      <c r="F1133" s="14" t="str">
        <f>+'[1]BASE RED COMERCIAL'!$I1131</f>
        <v>R8325ZAA</v>
      </c>
      <c r="G1133" s="7" t="str">
        <f>+'[1]BASE RED COMERCIAL'!$D1131</f>
        <v>GENERAL FERNANDEZ ORO</v>
      </c>
      <c r="H1133" s="7" t="str">
        <f>+'[1]BASE RED COMERCIAL'!$B1131</f>
        <v>RIO NEGRO</v>
      </c>
      <c r="I1133" s="8" t="str">
        <f>+'[1]BASE RED COMERCIAL'!$C1131</f>
        <v>GENERAL ROCA</v>
      </c>
      <c r="J1133" s="10"/>
      <c r="K1133" s="10"/>
    </row>
    <row r="1134" spans="1:11" x14ac:dyDescent="0.25">
      <c r="A1134" s="14" t="str">
        <f>+'[1]BASE RED COMERCIAL'!$A1132</f>
        <v>R0222</v>
      </c>
      <c r="B1134" s="8" t="str">
        <f>+'[1]BASE RED COMERCIAL'!$H1132</f>
        <v>GRAL. ENRIQUE GODOY</v>
      </c>
      <c r="C1134" s="7" t="s">
        <v>33</v>
      </c>
      <c r="D1134" s="9" t="str">
        <f>+'[1]BASE RED COMERCIAL'!$E1132</f>
        <v>AV 9 DE JULIO</v>
      </c>
      <c r="E1134" s="7">
        <f>+'[1]BASE RED COMERCIAL'!$F1132</f>
        <v>400</v>
      </c>
      <c r="F1134" s="14" t="str">
        <f>+'[1]BASE RED COMERCIAL'!$I1132</f>
        <v>R8338ZAA</v>
      </c>
      <c r="G1134" s="7" t="str">
        <f>+'[1]BASE RED COMERCIAL'!$D1132</f>
        <v>GENERAL ENRIQUE GODOY</v>
      </c>
      <c r="H1134" s="7" t="str">
        <f>+'[1]BASE RED COMERCIAL'!$B1132</f>
        <v>RIO NEGRO</v>
      </c>
      <c r="I1134" s="8" t="str">
        <f>+'[1]BASE RED COMERCIAL'!$C1132</f>
        <v>GENERAL ROCA</v>
      </c>
      <c r="J1134" s="10"/>
      <c r="K1134" s="10"/>
    </row>
    <row r="1135" spans="1:11" x14ac:dyDescent="0.25">
      <c r="A1135" s="14" t="str">
        <f>+'[1]BASE RED COMERCIAL'!$A1133</f>
        <v>R0224</v>
      </c>
      <c r="B1135" s="8" t="str">
        <f>+'[1]BASE RED COMERCIAL'!$H1133</f>
        <v>GRAL. ROCA</v>
      </c>
      <c r="C1135" s="7" t="s">
        <v>33</v>
      </c>
      <c r="D1135" s="9" t="str">
        <f>+'[1]BASE RED COMERCIAL'!$E1133</f>
        <v>AV PTE GRAL JULIO A ROCA</v>
      </c>
      <c r="E1135" s="7">
        <f>+'[1]BASE RED COMERCIAL'!$F1133</f>
        <v>1462</v>
      </c>
      <c r="F1135" s="14" t="str">
        <f>+'[1]BASE RED COMERCIAL'!$I1133</f>
        <v>R8332ZAA</v>
      </c>
      <c r="G1135" s="7" t="str">
        <f>+'[1]BASE RED COMERCIAL'!$D1133</f>
        <v>GENERAL ROCA</v>
      </c>
      <c r="H1135" s="7" t="str">
        <f>+'[1]BASE RED COMERCIAL'!$B1133</f>
        <v>RIO NEGRO</v>
      </c>
      <c r="I1135" s="8" t="str">
        <f>+'[1]BASE RED COMERCIAL'!$C1133</f>
        <v>GENERAL ROCA</v>
      </c>
      <c r="J1135" s="10"/>
      <c r="K1135" s="10"/>
    </row>
    <row r="1136" spans="1:11" x14ac:dyDescent="0.25">
      <c r="A1136" s="14" t="str">
        <f>+'[1]BASE RED COMERCIAL'!$A1134</f>
        <v>R0226</v>
      </c>
      <c r="B1136" s="8" t="str">
        <f>+'[1]BASE RED COMERCIAL'!$H1134</f>
        <v>ING. HUERGO</v>
      </c>
      <c r="C1136" s="7" t="s">
        <v>33</v>
      </c>
      <c r="D1136" s="9" t="str">
        <f>+'[1]BASE RED COMERCIAL'!$E1134</f>
        <v>AV CRISTOBAL COLON</v>
      </c>
      <c r="E1136" s="7">
        <f>+'[1]BASE RED COMERCIAL'!$F1134</f>
        <v>970</v>
      </c>
      <c r="F1136" s="14" t="str">
        <f>+'[1]BASE RED COMERCIAL'!$I1134</f>
        <v>R8334ZAA</v>
      </c>
      <c r="G1136" s="7" t="str">
        <f>+'[1]BASE RED COMERCIAL'!$D1134</f>
        <v>INGENIERO HUERGO</v>
      </c>
      <c r="H1136" s="7" t="str">
        <f>+'[1]BASE RED COMERCIAL'!$B1134</f>
        <v>RIO NEGRO</v>
      </c>
      <c r="I1136" s="8" t="str">
        <f>+'[1]BASE RED COMERCIAL'!$C1134</f>
        <v>GENERAL ROCA</v>
      </c>
      <c r="J1136" s="10"/>
      <c r="K1136" s="10"/>
    </row>
    <row r="1137" spans="1:11" x14ac:dyDescent="0.25">
      <c r="A1137" s="14" t="str">
        <f>+'[1]BASE RED COMERCIAL'!$A1135</f>
        <v>R0228</v>
      </c>
      <c r="B1137" s="8" t="str">
        <f>+'[1]BASE RED COMERCIAL'!$H1135</f>
        <v>MAINQUE</v>
      </c>
      <c r="C1137" s="7" t="s">
        <v>33</v>
      </c>
      <c r="D1137" s="9" t="str">
        <f>+'[1]BASE RED COMERCIAL'!$E1135</f>
        <v>AV 19</v>
      </c>
      <c r="E1137" s="7">
        <f>+'[1]BASE RED COMERCIAL'!$F1135</f>
        <v>580</v>
      </c>
      <c r="F1137" s="14" t="str">
        <f>+'[1]BASE RED COMERCIAL'!$I1135</f>
        <v>R8327ZAA</v>
      </c>
      <c r="G1137" s="7" t="str">
        <f>+'[1]BASE RED COMERCIAL'!$D1135</f>
        <v>MAINQUE</v>
      </c>
      <c r="H1137" s="7" t="str">
        <f>+'[1]BASE RED COMERCIAL'!$B1135</f>
        <v>RIO NEGRO</v>
      </c>
      <c r="I1137" s="8" t="str">
        <f>+'[1]BASE RED COMERCIAL'!$C1135</f>
        <v>GENERAL ROCA</v>
      </c>
      <c r="J1137" s="10"/>
      <c r="K1137" s="10"/>
    </row>
    <row r="1138" spans="1:11" x14ac:dyDescent="0.25">
      <c r="A1138" s="14" t="str">
        <f>+'[1]BASE RED COMERCIAL'!$A1136</f>
        <v>R0230</v>
      </c>
      <c r="B1138" s="8" t="str">
        <f>+'[1]BASE RED COMERCIAL'!$H1136</f>
        <v>VILLA REGINA</v>
      </c>
      <c r="C1138" s="7" t="s">
        <v>33</v>
      </c>
      <c r="D1138" s="9" t="str">
        <f>+'[1]BASE RED COMERCIAL'!$E1136</f>
        <v>DOMINGO SARMIENTO</v>
      </c>
      <c r="E1138" s="7">
        <f>+'[1]BASE RED COMERCIAL'!$F1136</f>
        <v>98</v>
      </c>
      <c r="F1138" s="14" t="str">
        <f>+'[1]BASE RED COMERCIAL'!$I1136</f>
        <v>R8336ZAA</v>
      </c>
      <c r="G1138" s="7" t="str">
        <f>+'[1]BASE RED COMERCIAL'!$D1136</f>
        <v>VILLA REGINA</v>
      </c>
      <c r="H1138" s="7" t="str">
        <f>+'[1]BASE RED COMERCIAL'!$B1136</f>
        <v>RIO NEGRO</v>
      </c>
      <c r="I1138" s="8" t="str">
        <f>+'[1]BASE RED COMERCIAL'!$C1136</f>
        <v>GENERAL ROCA</v>
      </c>
      <c r="J1138" s="10"/>
      <c r="K1138" s="10"/>
    </row>
    <row r="1139" spans="1:11" x14ac:dyDescent="0.25">
      <c r="A1139" s="14" t="str">
        <f>+'[1]BASE RED COMERCIAL'!$A1137</f>
        <v>R0232</v>
      </c>
      <c r="B1139" s="8" t="str">
        <f>+'[1]BASE RED COMERCIAL'!$H1137</f>
        <v>VILLA MANZANO</v>
      </c>
      <c r="C1139" s="7" t="s">
        <v>33</v>
      </c>
      <c r="D1139" s="9" t="str">
        <f>+'[1]BASE RED COMERCIAL'!$E1137</f>
        <v>DR LUIS PASTEUR</v>
      </c>
      <c r="E1139" s="7">
        <f>+'[1]BASE RED COMERCIAL'!$F1137</f>
        <v>446</v>
      </c>
      <c r="F1139" s="14" t="str">
        <f>+'[1]BASE RED COMERCIAL'!$I1137</f>
        <v>R8308ZAA</v>
      </c>
      <c r="G1139" s="7" t="str">
        <f>+'[1]BASE RED COMERCIAL'!$D1137</f>
        <v>VILLA MANZANO</v>
      </c>
      <c r="H1139" s="7" t="str">
        <f>+'[1]BASE RED COMERCIAL'!$B1137</f>
        <v>RIO NEGRO</v>
      </c>
      <c r="I1139" s="8" t="str">
        <f>+'[1]BASE RED COMERCIAL'!$C1137</f>
        <v>GENERAL ROCA</v>
      </c>
      <c r="J1139" s="10"/>
      <c r="K1139" s="10"/>
    </row>
    <row r="1140" spans="1:11" x14ac:dyDescent="0.25">
      <c r="A1140" s="14" t="str">
        <f>+'[1]BASE RED COMERCIAL'!$A1138</f>
        <v>R0300</v>
      </c>
      <c r="B1140" s="8" t="str">
        <f>+'[1]BASE RED COMERCIAL'!$H1138</f>
        <v>VIEDMA</v>
      </c>
      <c r="C1140" s="7" t="s">
        <v>33</v>
      </c>
      <c r="D1140" s="9" t="str">
        <f>+'[1]BASE RED COMERCIAL'!$E1138</f>
        <v>B RIVADAVIA</v>
      </c>
      <c r="E1140" s="7">
        <f>+'[1]BASE RED COMERCIAL'!$F1138</f>
        <v>151</v>
      </c>
      <c r="F1140" s="14" t="str">
        <f>+'[1]BASE RED COMERCIAL'!$I1138</f>
        <v>R8500ZAA</v>
      </c>
      <c r="G1140" s="7" t="str">
        <f>+'[1]BASE RED COMERCIAL'!$D1138</f>
        <v>VIEDMA</v>
      </c>
      <c r="H1140" s="7" t="str">
        <f>+'[1]BASE RED COMERCIAL'!$B1138</f>
        <v>RIO NEGRO</v>
      </c>
      <c r="I1140" s="8" t="str">
        <f>+'[1]BASE RED COMERCIAL'!$C1138</f>
        <v>ADOLFO ALSINA</v>
      </c>
      <c r="J1140" s="10"/>
      <c r="K1140" s="10"/>
    </row>
    <row r="1141" spans="1:11" x14ac:dyDescent="0.25">
      <c r="A1141" s="14" t="str">
        <f>+'[1]BASE RED COMERCIAL'!$A1139</f>
        <v>R0302</v>
      </c>
      <c r="B1141" s="8" t="str">
        <f>+'[1]BASE RED COMERCIAL'!$H1139</f>
        <v>CHOELE CHOEL</v>
      </c>
      <c r="C1141" s="7" t="s">
        <v>33</v>
      </c>
      <c r="D1141" s="9" t="str">
        <f>+'[1]BASE RED COMERCIAL'!$E1139</f>
        <v>AV GRAL SAN MARTIN</v>
      </c>
      <c r="E1141" s="7">
        <f>+'[1]BASE RED COMERCIAL'!$F1139</f>
        <v>1298</v>
      </c>
      <c r="F1141" s="14" t="str">
        <f>+'[1]BASE RED COMERCIAL'!$I1139</f>
        <v>R8360ZAA</v>
      </c>
      <c r="G1141" s="7" t="str">
        <f>+'[1]BASE RED COMERCIAL'!$D1139</f>
        <v>CHOELE CHOEL</v>
      </c>
      <c r="H1141" s="7" t="str">
        <f>+'[1]BASE RED COMERCIAL'!$B1139</f>
        <v>RIO NEGRO</v>
      </c>
      <c r="I1141" s="8" t="str">
        <f>+'[1]BASE RED COMERCIAL'!$C1139</f>
        <v>AVELLANEDA</v>
      </c>
      <c r="J1141" s="10"/>
      <c r="K1141" s="10"/>
    </row>
    <row r="1142" spans="1:11" x14ac:dyDescent="0.25">
      <c r="A1142" s="14" t="str">
        <f>+'[1]BASE RED COMERCIAL'!$A1140</f>
        <v>R0304</v>
      </c>
      <c r="B1142" s="8" t="str">
        <f>+'[1]BASE RED COMERCIAL'!$H1140</f>
        <v>LAMARQUE</v>
      </c>
      <c r="C1142" s="7" t="s">
        <v>33</v>
      </c>
      <c r="D1142" s="9" t="str">
        <f>+'[1]BASE RED COMERCIAL'!$E1140</f>
        <v>SAN MARTIN</v>
      </c>
      <c r="E1142" s="7">
        <f>+'[1]BASE RED COMERCIAL'!$F1140</f>
        <v>100</v>
      </c>
      <c r="F1142" s="14" t="str">
        <f>+'[1]BASE RED COMERCIAL'!$I1140</f>
        <v>R8363ZAA</v>
      </c>
      <c r="G1142" s="7" t="str">
        <f>+'[1]BASE RED COMERCIAL'!$D1140</f>
        <v>LAMARQUE</v>
      </c>
      <c r="H1142" s="7" t="str">
        <f>+'[1]BASE RED COMERCIAL'!$B1140</f>
        <v>RIO NEGRO</v>
      </c>
      <c r="I1142" s="8" t="str">
        <f>+'[1]BASE RED COMERCIAL'!$C1140</f>
        <v>AVELLANEDA</v>
      </c>
      <c r="J1142" s="10"/>
      <c r="K1142" s="10"/>
    </row>
    <row r="1143" spans="1:11" x14ac:dyDescent="0.25">
      <c r="A1143" s="14" t="str">
        <f>+'[1]BASE RED COMERCIAL'!$A1141</f>
        <v>R0306</v>
      </c>
      <c r="B1143" s="8" t="str">
        <f>+'[1]BASE RED COMERCIAL'!$H1141</f>
        <v>LUIS BELTRAN</v>
      </c>
      <c r="C1143" s="7" t="s">
        <v>33</v>
      </c>
      <c r="D1143" s="9" t="str">
        <f>+'[1]BASE RED COMERCIAL'!$E1141</f>
        <v>PRES N AVELLANEDA</v>
      </c>
      <c r="E1143" s="7">
        <f>+'[1]BASE RED COMERCIAL'!$F1141</f>
        <v>100</v>
      </c>
      <c r="F1143" s="14" t="str">
        <f>+'[1]BASE RED COMERCIAL'!$I1141</f>
        <v>R8361ZAA</v>
      </c>
      <c r="G1143" s="7" t="str">
        <f>+'[1]BASE RED COMERCIAL'!$D1141</f>
        <v>LUIS BELTRAN</v>
      </c>
      <c r="H1143" s="7" t="str">
        <f>+'[1]BASE RED COMERCIAL'!$B1141</f>
        <v>RIO NEGRO</v>
      </c>
      <c r="I1143" s="8" t="str">
        <f>+'[1]BASE RED COMERCIAL'!$C1141</f>
        <v>AVELLANEDA</v>
      </c>
      <c r="J1143" s="10"/>
      <c r="K1143" s="10"/>
    </row>
    <row r="1144" spans="1:11" x14ac:dyDescent="0.25">
      <c r="A1144" s="14" t="str">
        <f>+'[1]BASE RED COMERCIAL'!$A1142</f>
        <v>R0308</v>
      </c>
      <c r="B1144" s="8" t="str">
        <f>+'[1]BASE RED COMERCIAL'!$H1142</f>
        <v>LOS MENUCOS</v>
      </c>
      <c r="C1144" s="7" t="s">
        <v>33</v>
      </c>
      <c r="D1144" s="9" t="str">
        <f>+'[1]BASE RED COMERCIAL'!$E1142</f>
        <v>BUENOS AIRES</v>
      </c>
      <c r="E1144" s="7">
        <f>+'[1]BASE RED COMERCIAL'!$F1142</f>
        <v>687</v>
      </c>
      <c r="F1144" s="14" t="str">
        <f>+'[1]BASE RED COMERCIAL'!$I1142</f>
        <v>R8424ZAA</v>
      </c>
      <c r="G1144" s="7" t="str">
        <f>+'[1]BASE RED COMERCIAL'!$D1142</f>
        <v>LOS MENUCOS</v>
      </c>
      <c r="H1144" s="7" t="str">
        <f>+'[1]BASE RED COMERCIAL'!$B1142</f>
        <v>RIO NEGRO</v>
      </c>
      <c r="I1144" s="8" t="str">
        <f>+'[1]BASE RED COMERCIAL'!$C1142</f>
        <v>25 DE MAYO</v>
      </c>
      <c r="J1144" s="10"/>
      <c r="K1144" s="10"/>
    </row>
    <row r="1145" spans="1:11" x14ac:dyDescent="0.25">
      <c r="A1145" s="14" t="str">
        <f>+'[1]BASE RED COMERCIAL'!$A1143</f>
        <v>R0310</v>
      </c>
      <c r="B1145" s="8" t="str">
        <f>+'[1]BASE RED COMERCIAL'!$H1143</f>
        <v>SAN ANTONIO OESTE</v>
      </c>
      <c r="C1145" s="7" t="s">
        <v>33</v>
      </c>
      <c r="D1145" s="9" t="str">
        <f>+'[1]BASE RED COMERCIAL'!$E1143</f>
        <v>ALTE G BROWN</v>
      </c>
      <c r="E1145" s="7">
        <f>+'[1]BASE RED COMERCIAL'!$F1143</f>
        <v>305</v>
      </c>
      <c r="F1145" s="14" t="str">
        <f>+'[1]BASE RED COMERCIAL'!$I1143</f>
        <v>R8520ZAA</v>
      </c>
      <c r="G1145" s="7" t="str">
        <f>+'[1]BASE RED COMERCIAL'!$D1143</f>
        <v>SAN ANTONIO OESTE</v>
      </c>
      <c r="H1145" s="7" t="str">
        <f>+'[1]BASE RED COMERCIAL'!$B1143</f>
        <v>RIO NEGRO</v>
      </c>
      <c r="I1145" s="8" t="str">
        <f>+'[1]BASE RED COMERCIAL'!$C1143</f>
        <v>SAN ANTONIO</v>
      </c>
      <c r="J1145" s="10"/>
      <c r="K1145" s="10"/>
    </row>
    <row r="1146" spans="1:11" x14ac:dyDescent="0.25">
      <c r="A1146" s="14" t="str">
        <f>+'[1]BASE RED COMERCIAL'!$A1144</f>
        <v>R0312</v>
      </c>
      <c r="B1146" s="8" t="str">
        <f>+'[1]BASE RED COMERCIAL'!$H1144</f>
        <v>GRAL. CONESA</v>
      </c>
      <c r="C1146" s="7" t="s">
        <v>33</v>
      </c>
      <c r="D1146" s="9" t="str">
        <f>+'[1]BASE RED COMERCIAL'!$E1144</f>
        <v>PTE H YRIGOYEN</v>
      </c>
      <c r="E1146" s="7">
        <f>+'[1]BASE RED COMERCIAL'!$F1144</f>
        <v>377</v>
      </c>
      <c r="F1146" s="14" t="str">
        <f>+'[1]BASE RED COMERCIAL'!$I1144</f>
        <v>R8503ZAA</v>
      </c>
      <c r="G1146" s="7" t="str">
        <f>+'[1]BASE RED COMERCIAL'!$D1144</f>
        <v>GENERAL CONESA</v>
      </c>
      <c r="H1146" s="7" t="str">
        <f>+'[1]BASE RED COMERCIAL'!$B1144</f>
        <v>RIO NEGRO</v>
      </c>
      <c r="I1146" s="8" t="str">
        <f>+'[1]BASE RED COMERCIAL'!$C1144</f>
        <v>CONESA</v>
      </c>
      <c r="J1146" s="10"/>
      <c r="K1146" s="10"/>
    </row>
    <row r="1147" spans="1:11" x14ac:dyDescent="0.25">
      <c r="A1147" s="14" t="str">
        <f>+'[1]BASE RED COMERCIAL'!$A1145</f>
        <v>R0314</v>
      </c>
      <c r="B1147" s="8" t="str">
        <f>+'[1]BASE RED COMERCIAL'!$H1145</f>
        <v>RIO COLORADO</v>
      </c>
      <c r="C1147" s="7" t="s">
        <v>33</v>
      </c>
      <c r="D1147" s="9" t="str">
        <f>+'[1]BASE RED COMERCIAL'!$E1145</f>
        <v>MORENO</v>
      </c>
      <c r="E1147" s="7">
        <f>+'[1]BASE RED COMERCIAL'!$F1145</f>
        <v>495</v>
      </c>
      <c r="F1147" s="14" t="str">
        <f>+'[1]BASE RED COMERCIAL'!$I1145</f>
        <v>R8138ZAA</v>
      </c>
      <c r="G1147" s="7" t="str">
        <f>+'[1]BASE RED COMERCIAL'!$D1145</f>
        <v>RIO COLORADO</v>
      </c>
      <c r="H1147" s="7" t="str">
        <f>+'[1]BASE RED COMERCIAL'!$B1145</f>
        <v>RIO NEGRO</v>
      </c>
      <c r="I1147" s="8" t="str">
        <f>+'[1]BASE RED COMERCIAL'!$C1145</f>
        <v>PICHI MAHUIDA</v>
      </c>
      <c r="J1147" s="10"/>
      <c r="K1147" s="10"/>
    </row>
    <row r="1148" spans="1:11" x14ac:dyDescent="0.25">
      <c r="A1148" s="14" t="str">
        <f>+'[1]BASE RED COMERCIAL'!$A1146</f>
        <v>R0316</v>
      </c>
      <c r="B1148" s="8" t="str">
        <f>+'[1]BASE RED COMERCIAL'!$H1146</f>
        <v>SIERRA GRANDE</v>
      </c>
      <c r="C1148" s="7" t="s">
        <v>33</v>
      </c>
      <c r="D1148" s="9" t="str">
        <f>+'[1]BASE RED COMERCIAL'!$E1146</f>
        <v>AV ANTARTIDA ARGENTINA</v>
      </c>
      <c r="E1148" s="7">
        <f>+'[1]BASE RED COMERCIAL'!$F1146</f>
        <v>189</v>
      </c>
      <c r="F1148" s="14" t="str">
        <f>+'[1]BASE RED COMERCIAL'!$I1146</f>
        <v>R8532ZAA</v>
      </c>
      <c r="G1148" s="7" t="str">
        <f>+'[1]BASE RED COMERCIAL'!$D1146</f>
        <v>SIERRA GRANDE</v>
      </c>
      <c r="H1148" s="7" t="str">
        <f>+'[1]BASE RED COMERCIAL'!$B1146</f>
        <v>RIO NEGRO</v>
      </c>
      <c r="I1148" s="8" t="str">
        <f>+'[1]BASE RED COMERCIAL'!$C1146</f>
        <v>SAN ANTONIO</v>
      </c>
      <c r="J1148" s="10"/>
      <c r="K1148" s="10"/>
    </row>
    <row r="1149" spans="1:11" x14ac:dyDescent="0.25">
      <c r="A1149" s="14" t="str">
        <f>+'[1]BASE RED COMERCIAL'!$A1147</f>
        <v>R0318</v>
      </c>
      <c r="B1149" s="8" t="str">
        <f>+'[1]BASE RED COMERCIAL'!$H1147</f>
        <v>VALCHETA</v>
      </c>
      <c r="C1149" s="7" t="s">
        <v>33</v>
      </c>
      <c r="D1149" s="9" t="str">
        <f>+'[1]BASE RED COMERCIAL'!$E1147</f>
        <v>GDOR PAGANO</v>
      </c>
      <c r="E1149" s="7">
        <f>+'[1]BASE RED COMERCIAL'!$F1147</f>
        <v>622</v>
      </c>
      <c r="F1149" s="14" t="str">
        <f>+'[1]BASE RED COMERCIAL'!$I1147</f>
        <v>R8536ZAA</v>
      </c>
      <c r="G1149" s="7" t="str">
        <f>+'[1]BASE RED COMERCIAL'!$D1147</f>
        <v>VALCHETA</v>
      </c>
      <c r="H1149" s="7" t="str">
        <f>+'[1]BASE RED COMERCIAL'!$B1147</f>
        <v>RIO NEGRO</v>
      </c>
      <c r="I1149" s="8" t="str">
        <f>+'[1]BASE RED COMERCIAL'!$C1147</f>
        <v>VALCHETA</v>
      </c>
      <c r="J1149" s="10"/>
      <c r="K1149" s="10"/>
    </row>
    <row r="1150" spans="1:11" x14ac:dyDescent="0.25">
      <c r="A1150" s="14" t="str">
        <f>+'[1]BASE RED COMERCIAL'!$A1148</f>
        <v>R1028</v>
      </c>
      <c r="B1150" s="8" t="str">
        <f>+'[1]BASE RED COMERCIAL'!$H1148</f>
        <v>VALLE AZUL</v>
      </c>
      <c r="C1150" s="7" t="s">
        <v>33</v>
      </c>
      <c r="D1150" s="9" t="str">
        <f>+'[1]BASE RED COMERCIAL'!$E1148</f>
        <v>ZONA RURAL</v>
      </c>
      <c r="E1150" s="7">
        <f>+'[1]BASE RED COMERCIAL'!$F1148</f>
        <v>0</v>
      </c>
      <c r="F1150" s="14" t="str">
        <f>+'[1]BASE RED COMERCIAL'!$I1148</f>
        <v>R8336ZAB</v>
      </c>
      <c r="G1150" s="7" t="str">
        <f>+'[1]BASE RED COMERCIAL'!$D1148</f>
        <v>VALLE AZUL</v>
      </c>
      <c r="H1150" s="7" t="str">
        <f>+'[1]BASE RED COMERCIAL'!$B1148</f>
        <v>RIO NEGRO</v>
      </c>
      <c r="I1150" s="8" t="str">
        <f>+'[1]BASE RED COMERCIAL'!$C1148</f>
        <v>EL CUY</v>
      </c>
      <c r="J1150" s="10"/>
      <c r="K1150" s="10"/>
    </row>
    <row r="1151" spans="1:11" x14ac:dyDescent="0.25">
      <c r="A1151" s="14" t="str">
        <f>+'[1]BASE RED COMERCIAL'!$A1149</f>
        <v>R1308</v>
      </c>
      <c r="B1151" s="8" t="str">
        <f>+'[1]BASE RED COMERCIAL'!$H1149</f>
        <v>MTRO. RAMOS MEXIA</v>
      </c>
      <c r="C1151" s="7" t="s">
        <v>33</v>
      </c>
      <c r="D1151" s="9" t="str">
        <f>+'[1]BASE RED COMERCIAL'!$E1149</f>
        <v>AV SAN MARTIN</v>
      </c>
      <c r="E1151" s="7">
        <f>+'[1]BASE RED COMERCIAL'!$F1149</f>
        <v>0</v>
      </c>
      <c r="F1151" s="14" t="str">
        <f>+'[1]BASE RED COMERCIAL'!$I1149</f>
        <v>R8534ZAA</v>
      </c>
      <c r="G1151" s="7" t="str">
        <f>+'[1]BASE RED COMERCIAL'!$D1149</f>
        <v>MINISTRO RAMOS MEXIA</v>
      </c>
      <c r="H1151" s="7" t="str">
        <f>+'[1]BASE RED COMERCIAL'!$B1149</f>
        <v>RIO NEGRO</v>
      </c>
      <c r="I1151" s="8" t="str">
        <f>+'[1]BASE RED COMERCIAL'!$C1149</f>
        <v>9 DE JULIO</v>
      </c>
      <c r="J1151" s="10"/>
      <c r="K1151" s="10"/>
    </row>
    <row r="1152" spans="1:11" x14ac:dyDescent="0.25">
      <c r="A1152" s="14" t="str">
        <f>+'[1]BASE RED COMERCIAL'!$A1150</f>
        <v>R1310</v>
      </c>
      <c r="B1152" s="8" t="str">
        <f>+'[1]BASE RED COMERCIAL'!$H1150</f>
        <v>SIERRA COLORADA</v>
      </c>
      <c r="C1152" s="7" t="s">
        <v>33</v>
      </c>
      <c r="D1152" s="9" t="str">
        <f>+'[1]BASE RED COMERCIAL'!$E1150</f>
        <v>AV SAN MARTIN</v>
      </c>
      <c r="E1152" s="7">
        <f>+'[1]BASE RED COMERCIAL'!$F1150</f>
        <v>0</v>
      </c>
      <c r="F1152" s="14" t="str">
        <f>+'[1]BASE RED COMERCIAL'!$I1150</f>
        <v>R8535ZAA</v>
      </c>
      <c r="G1152" s="7" t="str">
        <f>+'[1]BASE RED COMERCIAL'!$D1150</f>
        <v>SIERRA COLORADA</v>
      </c>
      <c r="H1152" s="7" t="str">
        <f>+'[1]BASE RED COMERCIAL'!$B1150</f>
        <v>RIO NEGRO</v>
      </c>
      <c r="I1152" s="8" t="str">
        <f>+'[1]BASE RED COMERCIAL'!$C1150</f>
        <v>9 DE JULIO</v>
      </c>
      <c r="J1152" s="10"/>
      <c r="K1152" s="10"/>
    </row>
    <row r="1153" spans="1:11" x14ac:dyDescent="0.25">
      <c r="A1153" s="14" t="str">
        <f>+'[1]BASE RED COMERCIAL'!$A1151</f>
        <v>R1312</v>
      </c>
      <c r="B1153" s="8" t="str">
        <f>+'[1]BASE RED COMERCIAL'!$H1151</f>
        <v>LAS GRUTAS</v>
      </c>
      <c r="C1153" s="7" t="s">
        <v>33</v>
      </c>
      <c r="D1153" s="9" t="str">
        <f>+'[1]BASE RED COMERCIAL'!$E1151</f>
        <v>EL BOLSON</v>
      </c>
      <c r="E1153" s="7">
        <f>+'[1]BASE RED COMERCIAL'!$F1151</f>
        <v>500</v>
      </c>
      <c r="F1153" s="14" t="str">
        <f>+'[1]BASE RED COMERCIAL'!$I1151</f>
        <v>R8521ZAA</v>
      </c>
      <c r="G1153" s="7" t="str">
        <f>+'[1]BASE RED COMERCIAL'!$D1151</f>
        <v>BALNEARIO LAS GRUTAS</v>
      </c>
      <c r="H1153" s="7" t="str">
        <f>+'[1]BASE RED COMERCIAL'!$B1151</f>
        <v>RIO NEGRO</v>
      </c>
      <c r="I1153" s="8" t="str">
        <f>+'[1]BASE RED COMERCIAL'!$C1151</f>
        <v>SAN ANTONIO</v>
      </c>
      <c r="J1153" s="10"/>
      <c r="K1153" s="10"/>
    </row>
    <row r="1154" spans="1:11" x14ac:dyDescent="0.25">
      <c r="A1154" s="14" t="str">
        <f>+'[1]BASE RED COMERCIAL'!$A1152</f>
        <v>R1316</v>
      </c>
      <c r="B1154" s="8" t="str">
        <f>+'[1]BASE RED COMERCIAL'!$H1152</f>
        <v>CNEL. BELISLE</v>
      </c>
      <c r="C1154" s="7" t="s">
        <v>33</v>
      </c>
      <c r="D1154" s="9" t="str">
        <f>+'[1]BASE RED COMERCIAL'!$E1152</f>
        <v>AV PABLO BELISLE</v>
      </c>
      <c r="E1154" s="7">
        <f>+'[1]BASE RED COMERCIAL'!$F1152</f>
        <v>605</v>
      </c>
      <c r="F1154" s="14" t="str">
        <f>+'[1]BASE RED COMERCIAL'!$I1152</f>
        <v>R8368ZAA</v>
      </c>
      <c r="G1154" s="7" t="str">
        <f>+'[1]BASE RED COMERCIAL'!$D1152</f>
        <v>BELISLE CORONEL</v>
      </c>
      <c r="H1154" s="7" t="str">
        <f>+'[1]BASE RED COMERCIAL'!$B1152</f>
        <v>RIO NEGRO</v>
      </c>
      <c r="I1154" s="8" t="str">
        <f>+'[1]BASE RED COMERCIAL'!$C1152</f>
        <v>AVELLANEDA</v>
      </c>
      <c r="J1154" s="10"/>
      <c r="K1154" s="10"/>
    </row>
    <row r="1155" spans="1:11" x14ac:dyDescent="0.25">
      <c r="A1155" s="14" t="str">
        <f>+'[1]BASE RED COMERCIAL'!$A1153</f>
        <v>R1320</v>
      </c>
      <c r="B1155" s="8" t="str">
        <f>+'[1]BASE RED COMERCIAL'!$H1153</f>
        <v>GUARDIA MITRE</v>
      </c>
      <c r="C1155" s="7" t="s">
        <v>33</v>
      </c>
      <c r="D1155" s="9" t="str">
        <f>+'[1]BASE RED COMERCIAL'!$E1153</f>
        <v>FRANCISCO FAGOADA</v>
      </c>
      <c r="E1155" s="7">
        <f>+'[1]BASE RED COMERCIAL'!$F1153</f>
        <v>764</v>
      </c>
      <c r="F1155" s="14" t="str">
        <f>+'[1]BASE RED COMERCIAL'!$I1153</f>
        <v>R8505ZAA</v>
      </c>
      <c r="G1155" s="7" t="str">
        <f>+'[1]BASE RED COMERCIAL'!$D1153</f>
        <v>GUARDIA MITRE</v>
      </c>
      <c r="H1155" s="7" t="str">
        <f>+'[1]BASE RED COMERCIAL'!$B1153</f>
        <v>RIO NEGRO</v>
      </c>
      <c r="I1155" s="8" t="str">
        <f>+'[1]BASE RED COMERCIAL'!$C1153</f>
        <v>ADOLFO ALSINA</v>
      </c>
      <c r="J1155" s="10"/>
      <c r="K1155" s="10"/>
    </row>
    <row r="1156" spans="1:11" x14ac:dyDescent="0.25">
      <c r="A1156" s="14" t="str">
        <f>+'[1]BASE RED COMERCIAL'!$A1154</f>
        <v>R3068</v>
      </c>
      <c r="B1156" s="8" t="str">
        <f>+'[1]BASE RED COMERCIAL'!$H1154</f>
        <v>CIPOLLETI SUCURSAL 1</v>
      </c>
      <c r="C1156" s="7" t="s">
        <v>33</v>
      </c>
      <c r="D1156" s="9" t="str">
        <f>+'[1]BASE RED COMERCIAL'!$E1154</f>
        <v>ESPAÃ‘A</v>
      </c>
      <c r="E1156" s="7">
        <f>+'[1]BASE RED COMERCIAL'!$F1154</f>
        <v>134</v>
      </c>
      <c r="F1156" s="14" t="str">
        <f>+'[1]BASE RED COMERCIAL'!$I1154</f>
        <v>R8324ZAH</v>
      </c>
      <c r="G1156" s="7" t="str">
        <f>+'[1]BASE RED COMERCIAL'!$D1154</f>
        <v>CIPOLLETTI</v>
      </c>
      <c r="H1156" s="7" t="str">
        <f>+'[1]BASE RED COMERCIAL'!$B1154</f>
        <v>RIO NEGRO</v>
      </c>
      <c r="I1156" s="8" t="str">
        <f>+'[1]BASE RED COMERCIAL'!$C1154</f>
        <v>GENERAL ROCA</v>
      </c>
      <c r="J1156" s="10"/>
      <c r="K1156" s="10"/>
    </row>
    <row r="1157" spans="1:11" x14ac:dyDescent="0.25">
      <c r="A1157" s="14" t="str">
        <f>+'[1]BASE RED COMERCIAL'!$A1155</f>
        <v>R3257</v>
      </c>
      <c r="B1157" s="8" t="str">
        <f>+'[1]BASE RED COMERCIAL'!$H1155</f>
        <v>BARILOCHE SUCURSAL 1</v>
      </c>
      <c r="C1157" s="7" t="s">
        <v>33</v>
      </c>
      <c r="D1157" s="9" t="str">
        <f>+'[1]BASE RED COMERCIAL'!$E1155</f>
        <v>B RIVADAVIA</v>
      </c>
      <c r="E1157" s="7">
        <f>+'[1]BASE RED COMERCIAL'!$F1155</f>
        <v>830</v>
      </c>
      <c r="F1157" s="14" t="str">
        <f>+'[1]BASE RED COMERCIAL'!$I1155</f>
        <v>R8400ZBC</v>
      </c>
      <c r="G1157" s="7" t="str">
        <f>+'[1]BASE RED COMERCIAL'!$D1155</f>
        <v>SAN CARLOS DE BARILOCHE</v>
      </c>
      <c r="H1157" s="7" t="str">
        <f>+'[1]BASE RED COMERCIAL'!$B1155</f>
        <v>RIO NEGRO</v>
      </c>
      <c r="I1157" s="8" t="str">
        <f>+'[1]BASE RED COMERCIAL'!$C1155</f>
        <v>BARILOCHE</v>
      </c>
      <c r="J1157" s="10"/>
      <c r="K1157" s="10"/>
    </row>
    <row r="1158" spans="1:11" x14ac:dyDescent="0.25">
      <c r="A1158" s="14" t="str">
        <f>+'[1]BASE RED COMERCIAL'!$A1156</f>
        <v>A0000</v>
      </c>
      <c r="B1158" s="8" t="str">
        <f>+'[1]BASE RED COMERCIAL'!$H1156</f>
        <v>SALTA</v>
      </c>
      <c r="C1158" s="7" t="s">
        <v>33</v>
      </c>
      <c r="D1158" s="9" t="str">
        <f>+'[1]BASE RED COMERCIAL'!$E1156</f>
        <v>DEAN FUNES</v>
      </c>
      <c r="E1158" s="7">
        <f>+'[1]BASE RED COMERCIAL'!$F1156</f>
        <v>160</v>
      </c>
      <c r="F1158" s="14" t="str">
        <f>+'[1]BASE RED COMERCIAL'!$I1156</f>
        <v>A4400ZAA</v>
      </c>
      <c r="G1158" s="7" t="str">
        <f>+'[1]BASE RED COMERCIAL'!$D1156</f>
        <v>SALTA</v>
      </c>
      <c r="H1158" s="7" t="str">
        <f>+'[1]BASE RED COMERCIAL'!$B1156</f>
        <v>SALTA</v>
      </c>
      <c r="I1158" s="8" t="str">
        <f>+'[1]BASE RED COMERCIAL'!$C1156</f>
        <v>CAPITAL</v>
      </c>
      <c r="J1158" s="10"/>
      <c r="K1158" s="10"/>
    </row>
    <row r="1159" spans="1:11" x14ac:dyDescent="0.25">
      <c r="A1159" s="14" t="str">
        <f>+'[1]BASE RED COMERCIAL'!$A1157</f>
        <v>A0006</v>
      </c>
      <c r="B1159" s="8" t="str">
        <f>+'[1]BASE RED COMERCIAL'!$H1157</f>
        <v>AGUARAY</v>
      </c>
      <c r="C1159" s="7" t="s">
        <v>33</v>
      </c>
      <c r="D1159" s="9" t="str">
        <f>+'[1]BASE RED COMERCIAL'!$E1157</f>
        <v>GRAL MARTIN M GUEMES</v>
      </c>
      <c r="E1159" s="7">
        <f>+'[1]BASE RED COMERCIAL'!$F1157</f>
        <v>99</v>
      </c>
      <c r="F1159" s="14" t="str">
        <f>+'[1]BASE RED COMERCIAL'!$I1157</f>
        <v>A4566ZAA</v>
      </c>
      <c r="G1159" s="7" t="str">
        <f>+'[1]BASE RED COMERCIAL'!$D1157</f>
        <v>AGUARAY</v>
      </c>
      <c r="H1159" s="7" t="str">
        <f>+'[1]BASE RED COMERCIAL'!$B1157</f>
        <v>SALTA</v>
      </c>
      <c r="I1159" s="8" t="str">
        <f>+'[1]BASE RED COMERCIAL'!$C1157</f>
        <v>GENERAL JOSE DE SAN MARTIN</v>
      </c>
      <c r="J1159" s="10"/>
      <c r="K1159" s="10"/>
    </row>
    <row r="1160" spans="1:11" x14ac:dyDescent="0.25">
      <c r="A1160" s="14" t="str">
        <f>+'[1]BASE RED COMERCIAL'!$A1158</f>
        <v>A0007</v>
      </c>
      <c r="B1160" s="8" t="str">
        <f>+'[1]BASE RED COMERCIAL'!$H1158</f>
        <v>APOLINARIO SARAVIA</v>
      </c>
      <c r="C1160" s="7" t="s">
        <v>33</v>
      </c>
      <c r="D1160" s="9" t="str">
        <f>+'[1]BASE RED COMERCIAL'!$E1158</f>
        <v>GRAL JUAN B PEYROTTI</v>
      </c>
      <c r="E1160" s="7">
        <f>+'[1]BASE RED COMERCIAL'!$F1158</f>
        <v>100</v>
      </c>
      <c r="F1160" s="14" t="str">
        <f>+'[1]BASE RED COMERCIAL'!$I1158</f>
        <v>A4449ZAA</v>
      </c>
      <c r="G1160" s="7" t="str">
        <f>+'[1]BASE RED COMERCIAL'!$D1158</f>
        <v>APOLINARIO SARAVIA</v>
      </c>
      <c r="H1160" s="7" t="str">
        <f>+'[1]BASE RED COMERCIAL'!$B1158</f>
        <v>SALTA</v>
      </c>
      <c r="I1160" s="8" t="str">
        <f>+'[1]BASE RED COMERCIAL'!$C1158</f>
        <v>ANTA</v>
      </c>
      <c r="J1160" s="10"/>
      <c r="K1160" s="10"/>
    </row>
    <row r="1161" spans="1:11" x14ac:dyDescent="0.25">
      <c r="A1161" s="14" t="str">
        <f>+'[1]BASE RED COMERCIAL'!$A1159</f>
        <v>A0008</v>
      </c>
      <c r="B1161" s="8" t="str">
        <f>+'[1]BASE RED COMERCIAL'!$H1159</f>
        <v>CACHI</v>
      </c>
      <c r="C1161" s="7" t="s">
        <v>33</v>
      </c>
      <c r="D1161" s="9" t="str">
        <f>+'[1]BASE RED COMERCIAL'!$E1159</f>
        <v>AV GRAL MARTIN M GUEMES</v>
      </c>
      <c r="E1161" s="7">
        <f>+'[1]BASE RED COMERCIAL'!$F1159</f>
        <v>102</v>
      </c>
      <c r="F1161" s="14" t="str">
        <f>+'[1]BASE RED COMERCIAL'!$I1159</f>
        <v>A4417ZAA</v>
      </c>
      <c r="G1161" s="7" t="str">
        <f>+'[1]BASE RED COMERCIAL'!$D1159</f>
        <v>CACHI</v>
      </c>
      <c r="H1161" s="7" t="str">
        <f>+'[1]BASE RED COMERCIAL'!$B1159</f>
        <v>SALTA</v>
      </c>
      <c r="I1161" s="8" t="str">
        <f>+'[1]BASE RED COMERCIAL'!$C1159</f>
        <v>CACHI</v>
      </c>
      <c r="J1161" s="10"/>
      <c r="K1161" s="10"/>
    </row>
    <row r="1162" spans="1:11" x14ac:dyDescent="0.25">
      <c r="A1162" s="14" t="str">
        <f>+'[1]BASE RED COMERCIAL'!$A1160</f>
        <v>A0009</v>
      </c>
      <c r="B1162" s="8" t="str">
        <f>+'[1]BASE RED COMERCIAL'!$H1160</f>
        <v>CAFAYATE</v>
      </c>
      <c r="C1162" s="7" t="s">
        <v>33</v>
      </c>
      <c r="D1162" s="9" t="str">
        <f>+'[1]BASE RED COMERCIAL'!$E1160</f>
        <v>AV GUEMES</v>
      </c>
      <c r="E1162" s="7">
        <f>+'[1]BASE RED COMERCIAL'!$F1160</f>
        <v>197</v>
      </c>
      <c r="F1162" s="14" t="str">
        <f>+'[1]BASE RED COMERCIAL'!$I1160</f>
        <v>A4427ZAA</v>
      </c>
      <c r="G1162" s="7" t="str">
        <f>+'[1]BASE RED COMERCIAL'!$D1160</f>
        <v>CAFAYATE</v>
      </c>
      <c r="H1162" s="7" t="str">
        <f>+'[1]BASE RED COMERCIAL'!$B1160</f>
        <v>SALTA</v>
      </c>
      <c r="I1162" s="8" t="str">
        <f>+'[1]BASE RED COMERCIAL'!$C1160</f>
        <v>CAFAYATE</v>
      </c>
      <c r="J1162" s="10"/>
      <c r="K1162" s="10"/>
    </row>
    <row r="1163" spans="1:11" x14ac:dyDescent="0.25">
      <c r="A1163" s="14" t="str">
        <f>+'[1]BASE RED COMERCIAL'!$A1161</f>
        <v>A0011</v>
      </c>
      <c r="B1163" s="8" t="str">
        <f>+'[1]BASE RED COMERCIAL'!$H1161</f>
        <v>AGENCIA CAMPO QUIJANO</v>
      </c>
      <c r="C1163" s="7" t="s">
        <v>33</v>
      </c>
      <c r="D1163" s="9" t="str">
        <f>+'[1]BASE RED COMERCIAL'!$E1161</f>
        <v>AV 9 DE JULIO</v>
      </c>
      <c r="E1163" s="7">
        <f>+'[1]BASE RED COMERCIAL'!$F1161</f>
        <v>601</v>
      </c>
      <c r="F1163" s="14" t="str">
        <f>+'[1]BASE RED COMERCIAL'!$I1161</f>
        <v>A4407ZAA</v>
      </c>
      <c r="G1163" s="7" t="str">
        <f>+'[1]BASE RED COMERCIAL'!$D1161</f>
        <v>CAMPO QUIJANO</v>
      </c>
      <c r="H1163" s="7" t="str">
        <f>+'[1]BASE RED COMERCIAL'!$B1161</f>
        <v>SALTA</v>
      </c>
      <c r="I1163" s="8" t="str">
        <f>+'[1]BASE RED COMERCIAL'!$C1161</f>
        <v>ROSARIO DE LERMA</v>
      </c>
      <c r="J1163" s="10"/>
      <c r="K1163" s="10"/>
    </row>
    <row r="1164" spans="1:11" x14ac:dyDescent="0.25">
      <c r="A1164" s="14" t="str">
        <f>+'[1]BASE RED COMERCIAL'!$A1162</f>
        <v>A0013</v>
      </c>
      <c r="B1164" s="8" t="str">
        <f>+'[1]BASE RED COMERCIAL'!$H1162</f>
        <v>CERRILLOS</v>
      </c>
      <c r="C1164" s="7" t="s">
        <v>33</v>
      </c>
      <c r="D1164" s="9" t="str">
        <f>+'[1]BASE RED COMERCIAL'!$E1162</f>
        <v>FLORENTINO AMEGHINO</v>
      </c>
      <c r="E1164" s="7">
        <f>+'[1]BASE RED COMERCIAL'!$F1162</f>
        <v>215</v>
      </c>
      <c r="F1164" s="14" t="str">
        <f>+'[1]BASE RED COMERCIAL'!$I1162</f>
        <v>A4403ZAA</v>
      </c>
      <c r="G1164" s="7" t="str">
        <f>+'[1]BASE RED COMERCIAL'!$D1162</f>
        <v>CERRILLOS</v>
      </c>
      <c r="H1164" s="7" t="str">
        <f>+'[1]BASE RED COMERCIAL'!$B1162</f>
        <v>SALTA</v>
      </c>
      <c r="I1164" s="8" t="str">
        <f>+'[1]BASE RED COMERCIAL'!$C1162</f>
        <v>CERRILLOS</v>
      </c>
      <c r="J1164" s="10"/>
      <c r="K1164" s="10"/>
    </row>
    <row r="1165" spans="1:11" x14ac:dyDescent="0.25">
      <c r="A1165" s="14" t="str">
        <f>+'[1]BASE RED COMERCIAL'!$A1163</f>
        <v>A0014</v>
      </c>
      <c r="B1165" s="8" t="str">
        <f>+'[1]BASE RED COMERCIAL'!$H1163</f>
        <v>CHICOANA</v>
      </c>
      <c r="C1165" s="7" t="s">
        <v>33</v>
      </c>
      <c r="D1165" s="9" t="str">
        <f>+'[1]BASE RED COMERCIAL'!$E1163</f>
        <v>DR ADOLFO MORILLO</v>
      </c>
      <c r="E1165" s="7">
        <f>+'[1]BASE RED COMERCIAL'!$F1163</f>
        <v>195</v>
      </c>
      <c r="F1165" s="14" t="str">
        <f>+'[1]BASE RED COMERCIAL'!$I1163</f>
        <v>A4423ZAA</v>
      </c>
      <c r="G1165" s="7" t="str">
        <f>+'[1]BASE RED COMERCIAL'!$D1163</f>
        <v>CHICOANA</v>
      </c>
      <c r="H1165" s="7" t="str">
        <f>+'[1]BASE RED COMERCIAL'!$B1163</f>
        <v>SALTA</v>
      </c>
      <c r="I1165" s="8" t="str">
        <f>+'[1]BASE RED COMERCIAL'!$C1163</f>
        <v>CHICOANA</v>
      </c>
      <c r="J1165" s="10"/>
      <c r="K1165" s="10"/>
    </row>
    <row r="1166" spans="1:11" x14ac:dyDescent="0.25">
      <c r="A1166" s="14" t="str">
        <f>+'[1]BASE RED COMERCIAL'!$A1164</f>
        <v>A0015</v>
      </c>
      <c r="B1166" s="8" t="str">
        <f>+'[1]BASE RED COMERCIAL'!$H1164</f>
        <v>COLONIA SANTA ROSA</v>
      </c>
      <c r="C1166" s="7" t="s">
        <v>33</v>
      </c>
      <c r="D1166" s="9" t="str">
        <f>+'[1]BASE RED COMERCIAL'!$E1164</f>
        <v>SAN MARTIN</v>
      </c>
      <c r="E1166" s="7">
        <f>+'[1]BASE RED COMERCIAL'!$F1164</f>
        <v>318</v>
      </c>
      <c r="F1166" s="14" t="str">
        <f>+'[1]BASE RED COMERCIAL'!$I1164</f>
        <v>A4531ZAA</v>
      </c>
      <c r="G1166" s="7" t="str">
        <f>+'[1]BASE RED COMERCIAL'!$D1164</f>
        <v>COLONIA SANTA ROSA</v>
      </c>
      <c r="H1166" s="7" t="str">
        <f>+'[1]BASE RED COMERCIAL'!$B1164</f>
        <v>SALTA</v>
      </c>
      <c r="I1166" s="8" t="str">
        <f>+'[1]BASE RED COMERCIAL'!$C1164</f>
        <v>ORAN</v>
      </c>
      <c r="J1166" s="10"/>
      <c r="K1166" s="10"/>
    </row>
    <row r="1167" spans="1:11" x14ac:dyDescent="0.25">
      <c r="A1167" s="14" t="str">
        <f>+'[1]BASE RED COMERCIAL'!$A1165</f>
        <v>A0016</v>
      </c>
      <c r="B1167" s="8" t="str">
        <f>+'[1]BASE RED COMERCIAL'!$H1165</f>
        <v>EL CARRIL</v>
      </c>
      <c r="C1167" s="7" t="s">
        <v>33</v>
      </c>
      <c r="D1167" s="9" t="str">
        <f>+'[1]BASE RED COMERCIAL'!$E1165</f>
        <v>LUCIO D ANDREA</v>
      </c>
      <c r="E1167" s="7">
        <f>+'[1]BASE RED COMERCIAL'!$F1165</f>
        <v>100</v>
      </c>
      <c r="F1167" s="14" t="str">
        <f>+'[1]BASE RED COMERCIAL'!$I1165</f>
        <v>A4421ZAA</v>
      </c>
      <c r="G1167" s="7" t="str">
        <f>+'[1]BASE RED COMERCIAL'!$D1165</f>
        <v>EL CARRIL</v>
      </c>
      <c r="H1167" s="7" t="str">
        <f>+'[1]BASE RED COMERCIAL'!$B1165</f>
        <v>SALTA</v>
      </c>
      <c r="I1167" s="8" t="str">
        <f>+'[1]BASE RED COMERCIAL'!$C1165</f>
        <v>CHICOANA</v>
      </c>
      <c r="J1167" s="10"/>
      <c r="K1167" s="10"/>
    </row>
    <row r="1168" spans="1:11" x14ac:dyDescent="0.25">
      <c r="A1168" s="14" t="str">
        <f>+'[1]BASE RED COMERCIAL'!$A1166</f>
        <v>A0017</v>
      </c>
      <c r="B1168" s="8" t="str">
        <f>+'[1]BASE RED COMERCIAL'!$H1166</f>
        <v>EL GALPON</v>
      </c>
      <c r="C1168" s="7" t="s">
        <v>33</v>
      </c>
      <c r="D1168" s="9" t="str">
        <f>+'[1]BASE RED COMERCIAL'!$E1166</f>
        <v>AV GRAL SAN MARTIN</v>
      </c>
      <c r="E1168" s="7">
        <f>+'[1]BASE RED COMERCIAL'!$F1166</f>
        <v>569</v>
      </c>
      <c r="F1168" s="14" t="str">
        <f>+'[1]BASE RED COMERCIAL'!$I1166</f>
        <v>A4444ZAA</v>
      </c>
      <c r="G1168" s="7" t="str">
        <f>+'[1]BASE RED COMERCIAL'!$D1166</f>
        <v>EL GALPON</v>
      </c>
      <c r="H1168" s="7" t="str">
        <f>+'[1]BASE RED COMERCIAL'!$B1166</f>
        <v>SALTA</v>
      </c>
      <c r="I1168" s="8" t="str">
        <f>+'[1]BASE RED COMERCIAL'!$C1166</f>
        <v>METAN</v>
      </c>
      <c r="J1168" s="10"/>
      <c r="K1168" s="10"/>
    </row>
    <row r="1169" spans="1:11" x14ac:dyDescent="0.25">
      <c r="A1169" s="14" t="str">
        <f>+'[1]BASE RED COMERCIAL'!$A1167</f>
        <v>A0019</v>
      </c>
      <c r="B1169" s="8" t="str">
        <f>+'[1]BASE RED COMERCIAL'!$H1167</f>
        <v>EMBARCACION</v>
      </c>
      <c r="C1169" s="7" t="s">
        <v>33</v>
      </c>
      <c r="D1169" s="9" t="str">
        <f>+'[1]BASE RED COMERCIAL'!$E1167</f>
        <v>24 DE SEPTIEMBRE</v>
      </c>
      <c r="E1169" s="7">
        <f>+'[1]BASE RED COMERCIAL'!$F1167</f>
        <v>351</v>
      </c>
      <c r="F1169" s="14" t="str">
        <f>+'[1]BASE RED COMERCIAL'!$I1167</f>
        <v>A4550ZAA</v>
      </c>
      <c r="G1169" s="7" t="str">
        <f>+'[1]BASE RED COMERCIAL'!$D1167</f>
        <v>EMBARCACION</v>
      </c>
      <c r="H1169" s="7" t="str">
        <f>+'[1]BASE RED COMERCIAL'!$B1167</f>
        <v>SALTA</v>
      </c>
      <c r="I1169" s="8" t="str">
        <f>+'[1]BASE RED COMERCIAL'!$C1167</f>
        <v>GENERAL JOSE DE SAN MARTIN</v>
      </c>
      <c r="J1169" s="10"/>
      <c r="K1169" s="10"/>
    </row>
    <row r="1170" spans="1:11" x14ac:dyDescent="0.25">
      <c r="A1170" s="14" t="str">
        <f>+'[1]BASE RED COMERCIAL'!$A1168</f>
        <v>A0020</v>
      </c>
      <c r="B1170" s="8" t="str">
        <f>+'[1]BASE RED COMERCIAL'!$H1168</f>
        <v>GRAL E.  MOSCONI</v>
      </c>
      <c r="C1170" s="7" t="s">
        <v>33</v>
      </c>
      <c r="D1170" s="9" t="str">
        <f>+'[1]BASE RED COMERCIAL'!$E1168</f>
        <v>AV 20 DE FEBRERO</v>
      </c>
      <c r="E1170" s="7">
        <f>+'[1]BASE RED COMERCIAL'!$F1168</f>
        <v>0</v>
      </c>
      <c r="F1170" s="14" t="str">
        <f>+'[1]BASE RED COMERCIAL'!$I1168</f>
        <v>A4562ZAA</v>
      </c>
      <c r="G1170" s="7" t="str">
        <f>+'[1]BASE RED COMERCIAL'!$D1168</f>
        <v>GENERAL ENRIQUE MOSCONI</v>
      </c>
      <c r="H1170" s="7" t="str">
        <f>+'[1]BASE RED COMERCIAL'!$B1168</f>
        <v>SALTA</v>
      </c>
      <c r="I1170" s="8" t="str">
        <f>+'[1]BASE RED COMERCIAL'!$C1168</f>
        <v>GENERAL JOSE DE SAN MARTIN</v>
      </c>
      <c r="J1170" s="10"/>
      <c r="K1170" s="10"/>
    </row>
    <row r="1171" spans="1:11" x14ac:dyDescent="0.25">
      <c r="A1171" s="14" t="str">
        <f>+'[1]BASE RED COMERCIAL'!$A1169</f>
        <v>A0021</v>
      </c>
      <c r="B1171" s="8" t="str">
        <f>+'[1]BASE RED COMERCIAL'!$H1169</f>
        <v>GENERAL GUEMES</v>
      </c>
      <c r="C1171" s="7" t="s">
        <v>33</v>
      </c>
      <c r="D1171" s="9" t="str">
        <f>+'[1]BASE RED COMERCIAL'!$E1169</f>
        <v>DR DOMINGO CABRED</v>
      </c>
      <c r="E1171" s="7">
        <f>+'[1]BASE RED COMERCIAL'!$F1169</f>
        <v>201</v>
      </c>
      <c r="F1171" s="14" t="str">
        <f>+'[1]BASE RED COMERCIAL'!$I1169</f>
        <v>A4430ZAA</v>
      </c>
      <c r="G1171" s="7" t="str">
        <f>+'[1]BASE RED COMERCIAL'!$D1169</f>
        <v>GENERAL GUEMES</v>
      </c>
      <c r="H1171" s="7" t="str">
        <f>+'[1]BASE RED COMERCIAL'!$B1169</f>
        <v>SALTA</v>
      </c>
      <c r="I1171" s="8" t="str">
        <f>+'[1]BASE RED COMERCIAL'!$C1169</f>
        <v>GENERAL GUEMES</v>
      </c>
      <c r="J1171" s="10"/>
      <c r="K1171" s="10"/>
    </row>
    <row r="1172" spans="1:11" x14ac:dyDescent="0.25">
      <c r="A1172" s="14" t="str">
        <f>+'[1]BASE RED COMERCIAL'!$A1170</f>
        <v>A0023</v>
      </c>
      <c r="B1172" s="8" t="str">
        <f>+'[1]BASE RED COMERCIAL'!$H1170</f>
        <v>HIPOLITO YRIGOYEN</v>
      </c>
      <c r="C1172" s="7" t="s">
        <v>33</v>
      </c>
      <c r="D1172" s="9" t="str">
        <f>+'[1]BASE RED COMERCIAL'!$E1170</f>
        <v>GRAL MARTIN M GUEMES</v>
      </c>
      <c r="E1172" s="7">
        <f>+'[1]BASE RED COMERCIAL'!$F1170</f>
        <v>0</v>
      </c>
      <c r="F1172" s="14" t="str">
        <f>+'[1]BASE RED COMERCIAL'!$I1170</f>
        <v>A4532ZAB</v>
      </c>
      <c r="G1172" s="7" t="str">
        <f>+'[1]BASE RED COMERCIAL'!$D1170</f>
        <v>HIPOLITO YRIGOYEN</v>
      </c>
      <c r="H1172" s="7" t="str">
        <f>+'[1]BASE RED COMERCIAL'!$B1170</f>
        <v>SALTA</v>
      </c>
      <c r="I1172" s="8" t="str">
        <f>+'[1]BASE RED COMERCIAL'!$C1170</f>
        <v>ORAN</v>
      </c>
      <c r="J1172" s="10"/>
      <c r="K1172" s="10"/>
    </row>
    <row r="1173" spans="1:11" x14ac:dyDescent="0.25">
      <c r="A1173" s="14" t="str">
        <f>+'[1]BASE RED COMERCIAL'!$A1171</f>
        <v>A0024</v>
      </c>
      <c r="B1173" s="8" t="str">
        <f>+'[1]BASE RED COMERCIAL'!$H1171</f>
        <v>JOAQUIN  V GONZALEZ</v>
      </c>
      <c r="C1173" s="7" t="s">
        <v>33</v>
      </c>
      <c r="D1173" s="9" t="str">
        <f>+'[1]BASE RED COMERCIAL'!$E1171</f>
        <v>GRAL M BELGRANO</v>
      </c>
      <c r="E1173" s="7">
        <f>+'[1]BASE RED COMERCIAL'!$F1171</f>
        <v>315</v>
      </c>
      <c r="F1173" s="14" t="str">
        <f>+'[1]BASE RED COMERCIAL'!$I1171</f>
        <v>A4448ZAA</v>
      </c>
      <c r="G1173" s="7" t="str">
        <f>+'[1]BASE RED COMERCIAL'!$D1171</f>
        <v>JOAQUIN V GONZALEZ</v>
      </c>
      <c r="H1173" s="7" t="str">
        <f>+'[1]BASE RED COMERCIAL'!$B1171</f>
        <v>SALTA</v>
      </c>
      <c r="I1173" s="8" t="str">
        <f>+'[1]BASE RED COMERCIAL'!$C1171</f>
        <v>ANTA</v>
      </c>
      <c r="J1173" s="10"/>
      <c r="K1173" s="10"/>
    </row>
    <row r="1174" spans="1:11" x14ac:dyDescent="0.25">
      <c r="A1174" s="14" t="str">
        <f>+'[1]BASE RED COMERCIAL'!$A1172</f>
        <v>A0025</v>
      </c>
      <c r="B1174" s="8" t="str">
        <f>+'[1]BASE RED COMERCIAL'!$H1172</f>
        <v>METAN</v>
      </c>
      <c r="C1174" s="7" t="s">
        <v>33</v>
      </c>
      <c r="D1174" s="9" t="str">
        <f>+'[1]BASE RED COMERCIAL'!$E1172</f>
        <v>CAP JOSE I SIERRA</v>
      </c>
      <c r="E1174" s="7">
        <f>+'[1]BASE RED COMERCIAL'!$F1172</f>
        <v>358</v>
      </c>
      <c r="F1174" s="14" t="str">
        <f>+'[1]BASE RED COMERCIAL'!$I1172</f>
        <v>A4440ZAA</v>
      </c>
      <c r="G1174" s="7" t="str">
        <f>+'[1]BASE RED COMERCIAL'!$D1172</f>
        <v>METAN</v>
      </c>
      <c r="H1174" s="7" t="str">
        <f>+'[1]BASE RED COMERCIAL'!$B1172</f>
        <v>SALTA</v>
      </c>
      <c r="I1174" s="8" t="str">
        <f>+'[1]BASE RED COMERCIAL'!$C1172</f>
        <v>METAN</v>
      </c>
      <c r="J1174" s="10"/>
      <c r="K1174" s="10"/>
    </row>
    <row r="1175" spans="1:11" x14ac:dyDescent="0.25">
      <c r="A1175" s="14" t="str">
        <f>+'[1]BASE RED COMERCIAL'!$A1173</f>
        <v>A0026</v>
      </c>
      <c r="B1175" s="8" t="str">
        <f>+'[1]BASE RED COMERCIAL'!$H1173</f>
        <v>PICHANAL</v>
      </c>
      <c r="C1175" s="7" t="s">
        <v>33</v>
      </c>
      <c r="D1175" s="9" t="str">
        <f>+'[1]BASE RED COMERCIAL'!$E1173</f>
        <v>AV SARMIENTO</v>
      </c>
      <c r="E1175" s="7">
        <f>+'[1]BASE RED COMERCIAL'!$F1173</f>
        <v>625</v>
      </c>
      <c r="F1175" s="14" t="str">
        <f>+'[1]BASE RED COMERCIAL'!$I1173</f>
        <v>A4534ZAA</v>
      </c>
      <c r="G1175" s="7" t="str">
        <f>+'[1]BASE RED COMERCIAL'!$D1173</f>
        <v>PICHANAL</v>
      </c>
      <c r="H1175" s="7" t="str">
        <f>+'[1]BASE RED COMERCIAL'!$B1173</f>
        <v>SALTA</v>
      </c>
      <c r="I1175" s="8" t="str">
        <f>+'[1]BASE RED COMERCIAL'!$C1173</f>
        <v>ORAN</v>
      </c>
      <c r="J1175" s="10"/>
      <c r="K1175" s="10"/>
    </row>
    <row r="1176" spans="1:11" x14ac:dyDescent="0.25">
      <c r="A1176" s="14" t="str">
        <f>+'[1]BASE RED COMERCIAL'!$A1174</f>
        <v>A0027</v>
      </c>
      <c r="B1176" s="8" t="str">
        <f>+'[1]BASE RED COMERCIAL'!$H1174</f>
        <v>POCITOS</v>
      </c>
      <c r="C1176" s="7" t="s">
        <v>33</v>
      </c>
      <c r="D1176" s="9" t="str">
        <f>+'[1]BASE RED COMERCIAL'!$E1174</f>
        <v>AV SAN MARTIN</v>
      </c>
      <c r="E1176" s="7">
        <f>+'[1]BASE RED COMERCIAL'!$F1174</f>
        <v>100</v>
      </c>
      <c r="F1176" s="14" t="str">
        <f>+'[1]BASE RED COMERCIAL'!$I1174</f>
        <v>A4568ZAA</v>
      </c>
      <c r="G1176" s="7" t="str">
        <f>+'[1]BASE RED COMERCIAL'!$D1174</f>
        <v>SALVADOR MAZZA</v>
      </c>
      <c r="H1176" s="7" t="str">
        <f>+'[1]BASE RED COMERCIAL'!$B1174</f>
        <v>SALTA</v>
      </c>
      <c r="I1176" s="8" t="str">
        <f>+'[1]BASE RED COMERCIAL'!$C1174</f>
        <v>GENERAL JOSE DE SAN MARTIN</v>
      </c>
      <c r="J1176" s="10"/>
      <c r="K1176" s="10"/>
    </row>
    <row r="1177" spans="1:11" x14ac:dyDescent="0.25">
      <c r="A1177" s="14" t="str">
        <f>+'[1]BASE RED COMERCIAL'!$A1175</f>
        <v>A0028</v>
      </c>
      <c r="B1177" s="8" t="str">
        <f>+'[1]BASE RED COMERCIAL'!$H1175</f>
        <v>RIVADAVIA</v>
      </c>
      <c r="C1177" s="7" t="s">
        <v>33</v>
      </c>
      <c r="D1177" s="9" t="str">
        <f>+'[1]BASE RED COMERCIAL'!$E1175</f>
        <v>JUAN D PERON</v>
      </c>
      <c r="E1177" s="7">
        <f>+'[1]BASE RED COMERCIAL'!$F1175</f>
        <v>100</v>
      </c>
      <c r="F1177" s="14" t="str">
        <f>+'[1]BASE RED COMERCIAL'!$I1175</f>
        <v>A4535ZAA</v>
      </c>
      <c r="G1177" s="7" t="str">
        <f>+'[1]BASE RED COMERCIAL'!$D1175</f>
        <v>RIVADAVIA</v>
      </c>
      <c r="H1177" s="7" t="str">
        <f>+'[1]BASE RED COMERCIAL'!$B1175</f>
        <v>SALTA</v>
      </c>
      <c r="I1177" s="8" t="str">
        <f>+'[1]BASE RED COMERCIAL'!$C1175</f>
        <v>RIVADAVIA</v>
      </c>
      <c r="J1177" s="10"/>
      <c r="K1177" s="10"/>
    </row>
    <row r="1178" spans="1:11" x14ac:dyDescent="0.25">
      <c r="A1178" s="14" t="str">
        <f>+'[1]BASE RED COMERCIAL'!$A1176</f>
        <v>A0029</v>
      </c>
      <c r="B1178" s="8" t="str">
        <f>+'[1]BASE RED COMERCIAL'!$H1176</f>
        <v>ROSARIO DE LA FRONTERA</v>
      </c>
      <c r="C1178" s="7" t="s">
        <v>33</v>
      </c>
      <c r="D1178" s="9" t="str">
        <f>+'[1]BASE RED COMERCIAL'!$E1176</f>
        <v>PROVINCIA DE SALTA</v>
      </c>
      <c r="E1178" s="7">
        <f>+'[1]BASE RED COMERCIAL'!$F1176</f>
        <v>296</v>
      </c>
      <c r="F1178" s="14" t="str">
        <f>+'[1]BASE RED COMERCIAL'!$I1176</f>
        <v>A4190ZAA</v>
      </c>
      <c r="G1178" s="7" t="str">
        <f>+'[1]BASE RED COMERCIAL'!$D1176</f>
        <v>ROSARIO DE LA FRONTERA</v>
      </c>
      <c r="H1178" s="7" t="str">
        <f>+'[1]BASE RED COMERCIAL'!$B1176</f>
        <v>SALTA</v>
      </c>
      <c r="I1178" s="8" t="str">
        <f>+'[1]BASE RED COMERCIAL'!$C1176</f>
        <v>ROSARIO DE LA FRONTERA</v>
      </c>
      <c r="J1178" s="10"/>
      <c r="K1178" s="10"/>
    </row>
    <row r="1179" spans="1:11" x14ac:dyDescent="0.25">
      <c r="A1179" s="14" t="str">
        <f>+'[1]BASE RED COMERCIAL'!$A1177</f>
        <v>A0030</v>
      </c>
      <c r="B1179" s="8" t="str">
        <f>+'[1]BASE RED COMERCIAL'!$H1177</f>
        <v>ROSARIO DE  LERMA</v>
      </c>
      <c r="C1179" s="7" t="s">
        <v>33</v>
      </c>
      <c r="D1179" s="9" t="str">
        <f>+'[1]BASE RED COMERCIAL'!$E1177</f>
        <v>CARLOS PELLEGRINI</v>
      </c>
      <c r="E1179" s="7">
        <f>+'[1]BASE RED COMERCIAL'!$F1177</f>
        <v>201</v>
      </c>
      <c r="F1179" s="14" t="str">
        <f>+'[1]BASE RED COMERCIAL'!$I1177</f>
        <v>A4405ZAA</v>
      </c>
      <c r="G1179" s="7" t="str">
        <f>+'[1]BASE RED COMERCIAL'!$D1177</f>
        <v>ROSARIO DE LERMA</v>
      </c>
      <c r="H1179" s="7" t="str">
        <f>+'[1]BASE RED COMERCIAL'!$B1177</f>
        <v>SALTA</v>
      </c>
      <c r="I1179" s="8" t="str">
        <f>+'[1]BASE RED COMERCIAL'!$C1177</f>
        <v>ROSARIO DE LERMA</v>
      </c>
      <c r="J1179" s="10"/>
      <c r="K1179" s="10"/>
    </row>
    <row r="1180" spans="1:11" x14ac:dyDescent="0.25">
      <c r="A1180" s="14" t="str">
        <f>+'[1]BASE RED COMERCIAL'!$A1178</f>
        <v>A0031</v>
      </c>
      <c r="B1180" s="8" t="str">
        <f>+'[1]BASE RED COMERCIAL'!$H1178</f>
        <v>SAN A . DE LOS COBRES</v>
      </c>
      <c r="C1180" s="7" t="s">
        <v>33</v>
      </c>
      <c r="D1180" s="9" t="str">
        <f>+'[1]BASE RED COMERCIAL'!$E1178</f>
        <v>AV GRAL M BELGRANO</v>
      </c>
      <c r="E1180" s="7">
        <f>+'[1]BASE RED COMERCIAL'!$F1178</f>
        <v>20</v>
      </c>
      <c r="F1180" s="14" t="str">
        <f>+'[1]BASE RED COMERCIAL'!$I1178</f>
        <v>A4411ZAA</v>
      </c>
      <c r="G1180" s="7" t="str">
        <f>+'[1]BASE RED COMERCIAL'!$D1178</f>
        <v>SAN ANTONIO DE LOS COBRES</v>
      </c>
      <c r="H1180" s="7" t="str">
        <f>+'[1]BASE RED COMERCIAL'!$B1178</f>
        <v>SALTA</v>
      </c>
      <c r="I1180" s="8" t="str">
        <f>+'[1]BASE RED COMERCIAL'!$C1178</f>
        <v>LOS ANDES</v>
      </c>
      <c r="J1180" s="10"/>
      <c r="K1180" s="10"/>
    </row>
    <row r="1181" spans="1:11" x14ac:dyDescent="0.25">
      <c r="A1181" s="14" t="str">
        <f>+'[1]BASE RED COMERCIAL'!$A1179</f>
        <v>A0032</v>
      </c>
      <c r="B1181" s="8" t="str">
        <f>+'[1]BASE RED COMERCIAL'!$H1179</f>
        <v>SAN CARLOS</v>
      </c>
      <c r="C1181" s="7" t="s">
        <v>33</v>
      </c>
      <c r="D1181" s="9" t="str">
        <f>+'[1]BASE RED COMERCIAL'!$E1179</f>
        <v>GRAL MARTIN M GUEMES</v>
      </c>
      <c r="E1181" s="7">
        <f>+'[1]BASE RED COMERCIAL'!$F1179</f>
        <v>1</v>
      </c>
      <c r="F1181" s="14" t="str">
        <f>+'[1]BASE RED COMERCIAL'!$I1179</f>
        <v>A4428ZAA</v>
      </c>
      <c r="G1181" s="7" t="str">
        <f>+'[1]BASE RED COMERCIAL'!$D1179</f>
        <v>SAN CARLOS</v>
      </c>
      <c r="H1181" s="7" t="str">
        <f>+'[1]BASE RED COMERCIAL'!$B1179</f>
        <v>SALTA</v>
      </c>
      <c r="I1181" s="8" t="str">
        <f>+'[1]BASE RED COMERCIAL'!$C1179</f>
        <v>SAN CARLOS</v>
      </c>
      <c r="J1181" s="10"/>
      <c r="K1181" s="10"/>
    </row>
    <row r="1182" spans="1:11" x14ac:dyDescent="0.25">
      <c r="A1182" s="14" t="str">
        <f>+'[1]BASE RED COMERCIAL'!$A1180</f>
        <v>A0033</v>
      </c>
      <c r="B1182" s="8" t="str">
        <f>+'[1]BASE RED COMERCIAL'!$H1180</f>
        <v>SAN RAMON DE LA NUEVA ORAN</v>
      </c>
      <c r="C1182" s="7" t="s">
        <v>33</v>
      </c>
      <c r="D1182" s="9" t="str">
        <f>+'[1]BASE RED COMERCIAL'!$E1180</f>
        <v>AV VICENTE LOPEZ Y PLANES</v>
      </c>
      <c r="E1182" s="7">
        <f>+'[1]BASE RED COMERCIAL'!$F1180</f>
        <v>402</v>
      </c>
      <c r="F1182" s="14" t="str">
        <f>+'[1]BASE RED COMERCIAL'!$I1180</f>
        <v>A4530ZAC</v>
      </c>
      <c r="G1182" s="7" t="str">
        <f>+'[1]BASE RED COMERCIAL'!$D1180</f>
        <v>SAN RAMON DE LA NUEVA ORAN</v>
      </c>
      <c r="H1182" s="7" t="str">
        <f>+'[1]BASE RED COMERCIAL'!$B1180</f>
        <v>SALTA</v>
      </c>
      <c r="I1182" s="8" t="str">
        <f>+'[1]BASE RED COMERCIAL'!$C1180</f>
        <v>ORAN</v>
      </c>
      <c r="J1182" s="10"/>
      <c r="K1182" s="10"/>
    </row>
    <row r="1183" spans="1:11" x14ac:dyDescent="0.25">
      <c r="A1183" s="14" t="str">
        <f>+'[1]BASE RED COMERCIAL'!$A1181</f>
        <v>A0035</v>
      </c>
      <c r="B1183" s="8" t="str">
        <f>+'[1]BASE RED COMERCIAL'!$H1181</f>
        <v>SECLANTAS</v>
      </c>
      <c r="C1183" s="7" t="s">
        <v>33</v>
      </c>
      <c r="D1183" s="9" t="str">
        <f>+'[1]BASE RED COMERCIAL'!$E1181</f>
        <v>GDOR ABRAHAM CORNEJO</v>
      </c>
      <c r="E1183" s="7">
        <f>+'[1]BASE RED COMERCIAL'!$F1181</f>
        <v>150</v>
      </c>
      <c r="F1183" s="14" t="str">
        <f>+'[1]BASE RED COMERCIAL'!$I1181</f>
        <v>A4419ZAA</v>
      </c>
      <c r="G1183" s="7" t="str">
        <f>+'[1]BASE RED COMERCIAL'!$D1181</f>
        <v>SECLANTAS</v>
      </c>
      <c r="H1183" s="7" t="str">
        <f>+'[1]BASE RED COMERCIAL'!$B1181</f>
        <v>SALTA</v>
      </c>
      <c r="I1183" s="8" t="str">
        <f>+'[1]BASE RED COMERCIAL'!$C1181</f>
        <v>MOLINOS</v>
      </c>
      <c r="J1183" s="10"/>
      <c r="K1183" s="10"/>
    </row>
    <row r="1184" spans="1:11" x14ac:dyDescent="0.25">
      <c r="A1184" s="14" t="str">
        <f>+'[1]BASE RED COMERCIAL'!$A1182</f>
        <v>A0036</v>
      </c>
      <c r="B1184" s="8" t="str">
        <f>+'[1]BASE RED COMERCIAL'!$H1182</f>
        <v>TALA</v>
      </c>
      <c r="C1184" s="7" t="s">
        <v>33</v>
      </c>
      <c r="D1184" s="9" t="str">
        <f>+'[1]BASE RED COMERCIAL'!$E1182</f>
        <v>PTE H YRIGOYEN</v>
      </c>
      <c r="E1184" s="7">
        <f>+'[1]BASE RED COMERCIAL'!$F1182</f>
        <v>153</v>
      </c>
      <c r="F1184" s="14" t="str">
        <f>+'[1]BASE RED COMERCIAL'!$I1182</f>
        <v>A4126ZAA</v>
      </c>
      <c r="G1184" s="7" t="str">
        <f>+'[1]BASE RED COMERCIAL'!$D1182</f>
        <v>EL TALA</v>
      </c>
      <c r="H1184" s="7" t="str">
        <f>+'[1]BASE RED COMERCIAL'!$B1182</f>
        <v>SALTA</v>
      </c>
      <c r="I1184" s="8" t="str">
        <f>+'[1]BASE RED COMERCIAL'!$C1182</f>
        <v>LA CANDELARIA</v>
      </c>
      <c r="J1184" s="10"/>
      <c r="K1184" s="10"/>
    </row>
    <row r="1185" spans="1:11" x14ac:dyDescent="0.25">
      <c r="A1185" s="14" t="str">
        <f>+'[1]BASE RED COMERCIAL'!$A1183</f>
        <v>A0037</v>
      </c>
      <c r="B1185" s="8" t="str">
        <f>+'[1]BASE RED COMERCIAL'!$H1183</f>
        <v>TARTAGAL</v>
      </c>
      <c r="C1185" s="7" t="s">
        <v>33</v>
      </c>
      <c r="D1185" s="9" t="str">
        <f>+'[1]BASE RED COMERCIAL'!$E1183</f>
        <v>GRAL MARTIN M GUEMES</v>
      </c>
      <c r="E1185" s="7">
        <f>+'[1]BASE RED COMERCIAL'!$F1183</f>
        <v>501</v>
      </c>
      <c r="F1185" s="14" t="str">
        <f>+'[1]BASE RED COMERCIAL'!$I1183</f>
        <v>A4560ZAA</v>
      </c>
      <c r="G1185" s="7" t="str">
        <f>+'[1]BASE RED COMERCIAL'!$D1183</f>
        <v>TARTAGAL</v>
      </c>
      <c r="H1185" s="7" t="str">
        <f>+'[1]BASE RED COMERCIAL'!$B1183</f>
        <v>SALTA</v>
      </c>
      <c r="I1185" s="8" t="str">
        <f>+'[1]BASE RED COMERCIAL'!$C1183</f>
        <v>GENERAL JOSE DE SAN MARTIN</v>
      </c>
      <c r="J1185" s="10"/>
      <c r="K1185" s="10"/>
    </row>
    <row r="1186" spans="1:11" x14ac:dyDescent="0.25">
      <c r="A1186" s="14" t="str">
        <f>+'[1]BASE RED COMERCIAL'!$A1184</f>
        <v>A0045</v>
      </c>
      <c r="B1186" s="8" t="str">
        <f>+'[1]BASE RED COMERCIAL'!$H1184</f>
        <v>IRUYA</v>
      </c>
      <c r="C1186" s="7" t="s">
        <v>33</v>
      </c>
      <c r="D1186" s="9" t="str">
        <f>+'[1]BASE RED COMERCIAL'!$E1184</f>
        <v>GRAL SAN MARTIN</v>
      </c>
      <c r="E1186" s="7">
        <f>+'[1]BASE RED COMERCIAL'!$F1184</f>
        <v>0</v>
      </c>
      <c r="F1186" s="14" t="str">
        <f>+'[1]BASE RED COMERCIAL'!$I1184</f>
        <v>A4633ZAA</v>
      </c>
      <c r="G1186" s="7" t="str">
        <f>+'[1]BASE RED COMERCIAL'!$D1184</f>
        <v>IRUYA</v>
      </c>
      <c r="H1186" s="7" t="str">
        <f>+'[1]BASE RED COMERCIAL'!$B1184</f>
        <v>SALTA</v>
      </c>
      <c r="I1186" s="8" t="str">
        <f>+'[1]BASE RED COMERCIAL'!$C1184</f>
        <v>IRUYA</v>
      </c>
      <c r="J1186" s="10"/>
      <c r="K1186" s="10"/>
    </row>
    <row r="1187" spans="1:11" x14ac:dyDescent="0.25">
      <c r="A1187" s="14" t="str">
        <f>+'[1]BASE RED COMERCIAL'!$A1185</f>
        <v>A1056</v>
      </c>
      <c r="B1187" s="8" t="str">
        <f>+'[1]BASE RED COMERCIAL'!$H1185</f>
        <v>LA UNION</v>
      </c>
      <c r="C1187" s="7" t="s">
        <v>33</v>
      </c>
      <c r="D1187" s="9" t="str">
        <f>+'[1]BASE RED COMERCIAL'!$E1185</f>
        <v>CALLE EN LOCALIDAD DE MENOS DE</v>
      </c>
      <c r="E1187" s="7">
        <f>+'[1]BASE RED COMERCIAL'!$F1185</f>
        <v>0</v>
      </c>
      <c r="F1187" s="14" t="str">
        <f>+'[1]BASE RED COMERCIAL'!$I1185</f>
        <v>A4535ZAB</v>
      </c>
      <c r="G1187" s="7" t="str">
        <f>+'[1]BASE RED COMERCIAL'!$D1185</f>
        <v>LA UNION</v>
      </c>
      <c r="H1187" s="7" t="str">
        <f>+'[1]BASE RED COMERCIAL'!$B1185</f>
        <v>SALTA</v>
      </c>
      <c r="I1187" s="8" t="str">
        <f>+'[1]BASE RED COMERCIAL'!$C1185</f>
        <v>CAPITAL</v>
      </c>
      <c r="J1187" s="10"/>
      <c r="K1187" s="10"/>
    </row>
    <row r="1188" spans="1:11" x14ac:dyDescent="0.25">
      <c r="A1188" s="14" t="str">
        <f>+'[1]BASE RED COMERCIAL'!$A1186</f>
        <v>A1058</v>
      </c>
      <c r="B1188" s="8" t="str">
        <f>+'[1]BASE RED COMERCIAL'!$H1186</f>
        <v>LAS CAPILLAS</v>
      </c>
      <c r="C1188" s="7" t="s">
        <v>33</v>
      </c>
      <c r="D1188" s="9" t="str">
        <f>+'[1]BASE RED COMERCIAL'!$E1186</f>
        <v>PARAJE</v>
      </c>
      <c r="E1188" s="7">
        <f>+'[1]BASE RED COMERCIAL'!$F1186</f>
        <v>0</v>
      </c>
      <c r="F1188" s="14" t="str">
        <f>+'[1]BASE RED COMERCIAL'!$I1186</f>
        <v>A4409ZAA</v>
      </c>
      <c r="G1188" s="7" t="str">
        <f>+'[1]BASE RED COMERCIAL'!$D1186</f>
        <v>LAS CAPILLAS</v>
      </c>
      <c r="H1188" s="7" t="str">
        <f>+'[1]BASE RED COMERCIAL'!$B1186</f>
        <v>SALTA</v>
      </c>
      <c r="I1188" s="8" t="str">
        <f>+'[1]BASE RED COMERCIAL'!$C1186</f>
        <v>ROSARIO DE LERMA</v>
      </c>
      <c r="J1188" s="10"/>
      <c r="K1188" s="10"/>
    </row>
    <row r="1189" spans="1:11" x14ac:dyDescent="0.25">
      <c r="A1189" s="14" t="str">
        <f>+'[1]BASE RED COMERCIAL'!$A1187</f>
        <v>A1138</v>
      </c>
      <c r="B1189" s="8" t="str">
        <f>+'[1]BASE RED COMERCIAL'!$H1187</f>
        <v>SALTA  2</v>
      </c>
      <c r="C1189" s="7" t="s">
        <v>33</v>
      </c>
      <c r="D1189" s="9" t="str">
        <f>+'[1]BASE RED COMERCIAL'!$E1187</f>
        <v>GRAL J J DE URQUIZA</v>
      </c>
      <c r="E1189" s="7">
        <f>+'[1]BASE RED COMERCIAL'!$F1187</f>
        <v>998</v>
      </c>
      <c r="F1189" s="14" t="str">
        <f>+'[1]BASE RED COMERCIAL'!$I1187</f>
        <v>A4402ZAA</v>
      </c>
      <c r="G1189" s="7" t="str">
        <f>+'[1]BASE RED COMERCIAL'!$D1187</f>
        <v>SALTA</v>
      </c>
      <c r="H1189" s="7" t="str">
        <f>+'[1]BASE RED COMERCIAL'!$B1187</f>
        <v>SALTA</v>
      </c>
      <c r="I1189" s="8" t="str">
        <f>+'[1]BASE RED COMERCIAL'!$C1187</f>
        <v>CAPITAL</v>
      </c>
      <c r="J1189" s="10"/>
      <c r="K1189" s="10"/>
    </row>
    <row r="1190" spans="1:11" x14ac:dyDescent="0.25">
      <c r="A1190" s="14" t="str">
        <f>+'[1]BASE RED COMERCIAL'!$A1188</f>
        <v>A1168</v>
      </c>
      <c r="B1190" s="8" t="str">
        <f>+'[1]BASE RED COMERCIAL'!$H1188</f>
        <v>LA POMA</v>
      </c>
      <c r="C1190" s="7" t="s">
        <v>33</v>
      </c>
      <c r="D1190" s="9" t="str">
        <f>+'[1]BASE RED COMERCIAL'!$E1188</f>
        <v>AV GRAL SAN MARTIN</v>
      </c>
      <c r="E1190" s="7">
        <f>+'[1]BASE RED COMERCIAL'!$F1188</f>
        <v>117</v>
      </c>
      <c r="F1190" s="14" t="str">
        <f>+'[1]BASE RED COMERCIAL'!$I1188</f>
        <v>A4416ZAA</v>
      </c>
      <c r="G1190" s="7" t="str">
        <f>+'[1]BASE RED COMERCIAL'!$D1188</f>
        <v>LA POMA</v>
      </c>
      <c r="H1190" s="7" t="str">
        <f>+'[1]BASE RED COMERCIAL'!$B1188</f>
        <v>SALTA</v>
      </c>
      <c r="I1190" s="8" t="str">
        <f>+'[1]BASE RED COMERCIAL'!$C1188</f>
        <v>LA POMA</v>
      </c>
      <c r="J1190" s="10"/>
      <c r="K1190" s="10"/>
    </row>
    <row r="1191" spans="1:11" x14ac:dyDescent="0.25">
      <c r="A1191" s="14" t="str">
        <f>+'[1]BASE RED COMERCIAL'!$A1189</f>
        <v>A1199</v>
      </c>
      <c r="B1191" s="8" t="str">
        <f>+'[1]BASE RED COMERCIAL'!$H1189</f>
        <v>SANTA VICTORIA ESTE</v>
      </c>
      <c r="C1191" s="7" t="s">
        <v>33</v>
      </c>
      <c r="D1191" s="9" t="str">
        <f>+'[1]BASE RED COMERCIAL'!$E1189</f>
        <v>AVENIDA SALTA S/N</v>
      </c>
      <c r="E1191" s="7">
        <f>+'[1]BASE RED COMERCIAL'!$F1189</f>
        <v>0</v>
      </c>
      <c r="F1191" s="14" t="str">
        <f>+'[1]BASE RED COMERCIAL'!$I1189</f>
        <v>A4561ZAA</v>
      </c>
      <c r="G1191" s="7" t="str">
        <f>+'[1]BASE RED COMERCIAL'!$D1189</f>
        <v>SANTA VICTORIA ESTE</v>
      </c>
      <c r="H1191" s="7" t="str">
        <f>+'[1]BASE RED COMERCIAL'!$B1189</f>
        <v>SALTA</v>
      </c>
      <c r="I1191" s="8" t="str">
        <f>+'[1]BASE RED COMERCIAL'!$C1189</f>
        <v>RIVADAVIA</v>
      </c>
      <c r="J1191" s="10"/>
      <c r="K1191" s="10"/>
    </row>
    <row r="1192" spans="1:11" x14ac:dyDescent="0.25">
      <c r="A1192" s="14" t="str">
        <f>+'[1]BASE RED COMERCIAL'!$A1190</f>
        <v>A1208</v>
      </c>
      <c r="B1192" s="8" t="str">
        <f>+'[1]BASE RED COMERCIAL'!$H1190</f>
        <v>HITO  1</v>
      </c>
      <c r="C1192" s="7" t="s">
        <v>33</v>
      </c>
      <c r="D1192" s="9" t="str">
        <f>+'[1]BASE RED COMERCIAL'!$E1190</f>
        <v>CALLE S/N</v>
      </c>
      <c r="E1192" s="7">
        <f>+'[1]BASE RED COMERCIAL'!$F1190</f>
        <v>0</v>
      </c>
      <c r="F1192" s="14" t="str">
        <f>+'[1]BASE RED COMERCIAL'!$I1190</f>
        <v>A4561ZAB</v>
      </c>
      <c r="G1192" s="7" t="str">
        <f>+'[1]BASE RED COMERCIAL'!$D1190</f>
        <v>HITO 1</v>
      </c>
      <c r="H1192" s="7" t="str">
        <f>+'[1]BASE RED COMERCIAL'!$B1190</f>
        <v>SALTA</v>
      </c>
      <c r="I1192" s="8" t="str">
        <f>+'[1]BASE RED COMERCIAL'!$C1190</f>
        <v>RIVADAVIA</v>
      </c>
      <c r="J1192" s="10"/>
      <c r="K1192" s="10"/>
    </row>
    <row r="1193" spans="1:11" x14ac:dyDescent="0.25">
      <c r="A1193" s="14" t="str">
        <f>+'[1]BASE RED COMERCIAL'!$A1191</f>
        <v>A1217</v>
      </c>
      <c r="B1193" s="8" t="str">
        <f>+'[1]BASE RED COMERCIAL'!$H1191</f>
        <v>SALTA 4</v>
      </c>
      <c r="C1193" s="7" t="s">
        <v>33</v>
      </c>
      <c r="D1193" s="9" t="str">
        <f>+'[1]BASE RED COMERCIAL'!$E1191</f>
        <v>AV DE LOS INCAS</v>
      </c>
      <c r="E1193" s="7">
        <f>+'[1]BASE RED COMERCIAL'!$F1191</f>
        <v>0</v>
      </c>
      <c r="F1193" s="14" t="str">
        <f>+'[1]BASE RED COMERCIAL'!$I1191</f>
        <v>A4406ZAB</v>
      </c>
      <c r="G1193" s="7" t="str">
        <f>+'[1]BASE RED COMERCIAL'!$D1191</f>
        <v>SALTA</v>
      </c>
      <c r="H1193" s="7" t="str">
        <f>+'[1]BASE RED COMERCIAL'!$B1191</f>
        <v>SALTA</v>
      </c>
      <c r="I1193" s="8" t="str">
        <f>+'[1]BASE RED COMERCIAL'!$C1191</f>
        <v>CAPITAL</v>
      </c>
      <c r="J1193" s="10"/>
      <c r="K1193" s="10"/>
    </row>
    <row r="1194" spans="1:11" x14ac:dyDescent="0.25">
      <c r="A1194" s="14" t="str">
        <f>+'[1]BASE RED COMERCIAL'!$A1192</f>
        <v>A3253</v>
      </c>
      <c r="B1194" s="8" t="str">
        <f>+'[1]BASE RED COMERCIAL'!$H1192</f>
        <v>CIUDAD JUDICIAL SALTA</v>
      </c>
      <c r="C1194" s="7" t="s">
        <v>33</v>
      </c>
      <c r="D1194" s="9" t="str">
        <f>+'[1]BASE RED COMERCIAL'!$E1192</f>
        <v>AV DR BERNARDO HOUSSAY</v>
      </c>
      <c r="E1194" s="7">
        <f>+'[1]BASE RED COMERCIAL'!$F1192</f>
        <v>0</v>
      </c>
      <c r="F1194" s="14" t="str">
        <f>+'[1]BASE RED COMERCIAL'!$I1192</f>
        <v>A4408ZAL</v>
      </c>
      <c r="G1194" s="7" t="str">
        <f>+'[1]BASE RED COMERCIAL'!$D1192</f>
        <v>SALTA</v>
      </c>
      <c r="H1194" s="7" t="str">
        <f>+'[1]BASE RED COMERCIAL'!$B1192</f>
        <v>SALTA</v>
      </c>
      <c r="I1194" s="8" t="str">
        <f>+'[1]BASE RED COMERCIAL'!$C1192</f>
        <v>CAPITAL</v>
      </c>
      <c r="J1194" s="10"/>
      <c r="K1194" s="10"/>
    </row>
    <row r="1195" spans="1:11" x14ac:dyDescent="0.25">
      <c r="A1195" s="14" t="str">
        <f>+'[1]BASE RED COMERCIAL'!$A1193</f>
        <v>A3273</v>
      </c>
      <c r="B1195" s="8" t="str">
        <f>+'[1]BASE RED COMERCIAL'!$H1193</f>
        <v>LAS LAJITAS</v>
      </c>
      <c r="C1195" s="7" t="s">
        <v>33</v>
      </c>
      <c r="D1195" s="9" t="str">
        <f>+'[1]BASE RED COMERCIAL'!$E1193</f>
        <v>SANTA FE</v>
      </c>
      <c r="E1195" s="7">
        <f>+'[1]BASE RED COMERCIAL'!$F1193</f>
        <v>0</v>
      </c>
      <c r="F1195" s="14" t="str">
        <f>+'[1]BASE RED COMERCIAL'!$I1193</f>
        <v>A4450ZAE</v>
      </c>
      <c r="G1195" s="7" t="str">
        <f>+'[1]BASE RED COMERCIAL'!$D1193</f>
        <v>LAS LAJITAS</v>
      </c>
      <c r="H1195" s="7" t="str">
        <f>+'[1]BASE RED COMERCIAL'!$B1193</f>
        <v>SALTA</v>
      </c>
      <c r="I1195" s="8" t="str">
        <f>+'[1]BASE RED COMERCIAL'!$C1193</f>
        <v>ANTA</v>
      </c>
      <c r="J1195" s="10"/>
      <c r="K1195" s="10"/>
    </row>
    <row r="1196" spans="1:11" x14ac:dyDescent="0.25">
      <c r="A1196" s="14" t="str">
        <f>+'[1]BASE RED COMERCIAL'!$A1194</f>
        <v>A3300</v>
      </c>
      <c r="B1196" s="8" t="str">
        <f>+'[1]BASE RED COMERCIAL'!$H1194</f>
        <v>CAYE SALTA</v>
      </c>
      <c r="C1196" s="7" t="s">
        <v>33</v>
      </c>
      <c r="D1196" s="9" t="str">
        <f>+'[1]BASE RED COMERCIAL'!$E1194</f>
        <v>R NAC 51</v>
      </c>
      <c r="E1196" s="7">
        <f>+'[1]BASE RED COMERCIAL'!$F1194</f>
        <v>0</v>
      </c>
      <c r="F1196" s="14" t="str">
        <f>+'[1]BASE RED COMERCIAL'!$I1194</f>
        <v>A4406ZAF</v>
      </c>
      <c r="G1196" s="7" t="str">
        <f>+'[1]BASE RED COMERCIAL'!$D1194</f>
        <v>SALTA</v>
      </c>
      <c r="H1196" s="7" t="str">
        <f>+'[1]BASE RED COMERCIAL'!$B1194</f>
        <v>SALTA</v>
      </c>
      <c r="I1196" s="8" t="str">
        <f>+'[1]BASE RED COMERCIAL'!$C1194</f>
        <v>CAPITAL</v>
      </c>
      <c r="J1196" s="10"/>
      <c r="K1196" s="10"/>
    </row>
    <row r="1197" spans="1:11" x14ac:dyDescent="0.25">
      <c r="A1197" s="14" t="str">
        <f>+'[1]BASE RED COMERCIAL'!$A1195</f>
        <v>J0000</v>
      </c>
      <c r="B1197" s="8" t="str">
        <f>+'[1]BASE RED COMERCIAL'!$H1195</f>
        <v>SAN JUAN</v>
      </c>
      <c r="C1197" s="7" t="s">
        <v>33</v>
      </c>
      <c r="D1197" s="9" t="str">
        <f>+'[1]BASE RED COMERCIAL'!$E1195</f>
        <v>AV JOSE I DE LA ROZA</v>
      </c>
      <c r="E1197" s="7">
        <f>+'[1]BASE RED COMERCIAL'!$F1195</f>
        <v>223</v>
      </c>
      <c r="F1197" s="14" t="str">
        <f>+'[1]BASE RED COMERCIAL'!$I1195</f>
        <v>J5402ZAA</v>
      </c>
      <c r="G1197" s="7" t="str">
        <f>+'[1]BASE RED COMERCIAL'!$D1195</f>
        <v>SAN JUAN</v>
      </c>
      <c r="H1197" s="7" t="str">
        <f>+'[1]BASE RED COMERCIAL'!$B1195</f>
        <v>SAN JUAN</v>
      </c>
      <c r="I1197" s="8" t="str">
        <f>+'[1]BASE RED COMERCIAL'!$C1195</f>
        <v>CAPITAL</v>
      </c>
      <c r="J1197" s="10"/>
      <c r="K1197" s="10"/>
    </row>
    <row r="1198" spans="1:11" x14ac:dyDescent="0.25">
      <c r="A1198" s="14" t="str">
        <f>+'[1]BASE RED COMERCIAL'!$A1196</f>
        <v>J0004</v>
      </c>
      <c r="B1198" s="8" t="str">
        <f>+'[1]BASE RED COMERCIAL'!$H1196</f>
        <v>SAN JUAN 4</v>
      </c>
      <c r="C1198" s="7" t="s">
        <v>33</v>
      </c>
      <c r="D1198" s="9" t="str">
        <f>+'[1]BASE RED COMERCIAL'!$E1196</f>
        <v>STA MARIA DE ORO</v>
      </c>
      <c r="E1198" s="7">
        <f>+'[1]BASE RED COMERCIAL'!$F1196</f>
        <v>15</v>
      </c>
      <c r="F1198" s="14" t="str">
        <f>+'[1]BASE RED COMERCIAL'!$I1196</f>
        <v>J5400ZAD</v>
      </c>
      <c r="G1198" s="7" t="str">
        <f>+'[1]BASE RED COMERCIAL'!$D1196</f>
        <v>RIVADAVIA</v>
      </c>
      <c r="H1198" s="7" t="str">
        <f>+'[1]BASE RED COMERCIAL'!$B1196</f>
        <v>SAN JUAN</v>
      </c>
      <c r="I1198" s="8" t="str">
        <f>+'[1]BASE RED COMERCIAL'!$C1196</f>
        <v>RIVADAVIA</v>
      </c>
      <c r="J1198" s="10"/>
      <c r="K1198" s="10"/>
    </row>
    <row r="1199" spans="1:11" x14ac:dyDescent="0.25">
      <c r="A1199" s="14" t="str">
        <f>+'[1]BASE RED COMERCIAL'!$A1197</f>
        <v>J0005</v>
      </c>
      <c r="B1199" s="8" t="str">
        <f>+'[1]BASE RED COMERCIAL'!$H1197</f>
        <v>ALBARDON</v>
      </c>
      <c r="C1199" s="7" t="s">
        <v>33</v>
      </c>
      <c r="D1199" s="9" t="str">
        <f>+'[1]BASE RED COMERCIAL'!$E1197</f>
        <v>SANTA MARIA DE ORO 22 NORTE</v>
      </c>
      <c r="E1199" s="7">
        <f>+'[1]BASE RED COMERCIAL'!$F1197</f>
        <v>0</v>
      </c>
      <c r="F1199" s="14" t="str">
        <f>+'[1]BASE RED COMERCIAL'!$I1197</f>
        <v>J5419ZAB</v>
      </c>
      <c r="G1199" s="7" t="str">
        <f>+'[1]BASE RED COMERCIAL'!$D1197</f>
        <v>EST ALBARDON</v>
      </c>
      <c r="H1199" s="7" t="str">
        <f>+'[1]BASE RED COMERCIAL'!$B1197</f>
        <v>SAN JUAN</v>
      </c>
      <c r="I1199" s="8" t="str">
        <f>+'[1]BASE RED COMERCIAL'!$C1197</f>
        <v>ALBARDON</v>
      </c>
      <c r="J1199" s="10"/>
      <c r="K1199" s="10"/>
    </row>
    <row r="1200" spans="1:11" x14ac:dyDescent="0.25">
      <c r="A1200" s="14" t="str">
        <f>+'[1]BASE RED COMERCIAL'!$A1198</f>
        <v>J0006</v>
      </c>
      <c r="B1200" s="8" t="str">
        <f>+'[1]BASE RED COMERCIAL'!$H1198</f>
        <v>ALTO DE SIERRA</v>
      </c>
      <c r="C1200" s="7" t="s">
        <v>33</v>
      </c>
      <c r="D1200" s="9" t="str">
        <f>+'[1]BASE RED COMERCIAL'!$E1198</f>
        <v>AV LIBERTADOR SAN MARTIN</v>
      </c>
      <c r="E1200" s="7">
        <f>+'[1]BASE RED COMERCIAL'!$F1198</f>
        <v>6260</v>
      </c>
      <c r="F1200" s="14" t="str">
        <f>+'[1]BASE RED COMERCIAL'!$I1198</f>
        <v>J5438ZAA</v>
      </c>
      <c r="G1200" s="7" t="str">
        <f>+'[1]BASE RED COMERCIAL'!$D1198</f>
        <v>ALTO DE SIERRA</v>
      </c>
      <c r="H1200" s="7" t="str">
        <f>+'[1]BASE RED COMERCIAL'!$B1198</f>
        <v>SAN JUAN</v>
      </c>
      <c r="I1200" s="8" t="str">
        <f>+'[1]BASE RED COMERCIAL'!$C1198</f>
        <v>SANTA LUCIA</v>
      </c>
      <c r="J1200" s="10"/>
      <c r="K1200" s="10"/>
    </row>
    <row r="1201" spans="1:11" x14ac:dyDescent="0.25">
      <c r="A1201" s="14" t="str">
        <f>+'[1]BASE RED COMERCIAL'!$A1199</f>
        <v>J0008</v>
      </c>
      <c r="B1201" s="8" t="str">
        <f>+'[1]BASE RED COMERCIAL'!$H1199</f>
        <v>ANGUALASTO</v>
      </c>
      <c r="C1201" s="7" t="s">
        <v>33</v>
      </c>
      <c r="D1201" s="9" t="str">
        <f>+'[1]BASE RED COMERCIAL'!$E1199</f>
        <v>PRINCIPAL</v>
      </c>
      <c r="E1201" s="7">
        <f>+'[1]BASE RED COMERCIAL'!$F1199</f>
        <v>10</v>
      </c>
      <c r="F1201" s="14" t="str">
        <f>+'[1]BASE RED COMERCIAL'!$I1199</f>
        <v>J5467ZAA</v>
      </c>
      <c r="G1201" s="7" t="str">
        <f>+'[1]BASE RED COMERCIAL'!$D1199</f>
        <v>ANGUALASTO</v>
      </c>
      <c r="H1201" s="7" t="str">
        <f>+'[1]BASE RED COMERCIAL'!$B1199</f>
        <v>SAN JUAN</v>
      </c>
      <c r="I1201" s="8" t="str">
        <f>+'[1]BASE RED COMERCIAL'!$C1199</f>
        <v>IGLESIA</v>
      </c>
      <c r="J1201" s="10"/>
      <c r="K1201" s="10"/>
    </row>
    <row r="1202" spans="1:11" x14ac:dyDescent="0.25">
      <c r="A1202" s="14" t="str">
        <f>+'[1]BASE RED COMERCIAL'!$A1200</f>
        <v>J0010</v>
      </c>
      <c r="B1202" s="8" t="str">
        <f>+'[1]BASE RED COMERCIAL'!$H1200</f>
        <v>BARREAL</v>
      </c>
      <c r="C1202" s="7" t="s">
        <v>33</v>
      </c>
      <c r="D1202" s="9" t="str">
        <f>+'[1]BASE RED COMERCIAL'!$E1200</f>
        <v>AV PTE GRAL JULIO A ROCA</v>
      </c>
      <c r="E1202" s="7">
        <f>+'[1]BASE RED COMERCIAL'!$F1200</f>
        <v>0</v>
      </c>
      <c r="F1202" s="14" t="str">
        <f>+'[1]BASE RED COMERCIAL'!$I1200</f>
        <v>J5405ZAA</v>
      </c>
      <c r="G1202" s="7" t="str">
        <f>+'[1]BASE RED COMERCIAL'!$D1200</f>
        <v>BARREAL</v>
      </c>
      <c r="H1202" s="7" t="str">
        <f>+'[1]BASE RED COMERCIAL'!$B1200</f>
        <v>SAN JUAN</v>
      </c>
      <c r="I1202" s="8" t="str">
        <f>+'[1]BASE RED COMERCIAL'!$C1200</f>
        <v>CALINGASTA</v>
      </c>
      <c r="J1202" s="10"/>
      <c r="K1202" s="10"/>
    </row>
    <row r="1203" spans="1:11" x14ac:dyDescent="0.25">
      <c r="A1203" s="14" t="str">
        <f>+'[1]BASE RED COMERCIAL'!$A1201</f>
        <v>J0012</v>
      </c>
      <c r="B1203" s="8" t="str">
        <f>+'[1]BASE RED COMERCIAL'!$H1201</f>
        <v>CALINGASTA</v>
      </c>
      <c r="C1203" s="7" t="s">
        <v>33</v>
      </c>
      <c r="D1203" s="9" t="str">
        <f>+'[1]BASE RED COMERCIAL'!$E1201</f>
        <v>AV ARGENTINA</v>
      </c>
      <c r="E1203" s="7">
        <f>+'[1]BASE RED COMERCIAL'!$F1201</f>
        <v>0</v>
      </c>
      <c r="F1203" s="14" t="str">
        <f>+'[1]BASE RED COMERCIAL'!$I1201</f>
        <v>J5403ZAA</v>
      </c>
      <c r="G1203" s="7" t="str">
        <f>+'[1]BASE RED COMERCIAL'!$D1201</f>
        <v>CALINGASTA</v>
      </c>
      <c r="H1203" s="7" t="str">
        <f>+'[1]BASE RED COMERCIAL'!$B1201</f>
        <v>SAN JUAN</v>
      </c>
      <c r="I1203" s="8" t="str">
        <f>+'[1]BASE RED COMERCIAL'!$C1201</f>
        <v>CALINGASTA</v>
      </c>
      <c r="J1203" s="10"/>
      <c r="K1203" s="10"/>
    </row>
    <row r="1204" spans="1:11" x14ac:dyDescent="0.25">
      <c r="A1204" s="14" t="str">
        <f>+'[1]BASE RED COMERCIAL'!$A1202</f>
        <v>J0014</v>
      </c>
      <c r="B1204" s="8" t="str">
        <f>+'[1]BASE RED COMERCIAL'!$H1202</f>
        <v>CAPITAN LAZO</v>
      </c>
      <c r="C1204" s="7" t="s">
        <v>33</v>
      </c>
      <c r="D1204" s="9" t="str">
        <f>+'[1]BASE RED COMERCIAL'!$E1202</f>
        <v>AV ESPAÃ‘A</v>
      </c>
      <c r="E1204" s="7">
        <f>+'[1]BASE RED COMERCIAL'!$F1202</f>
        <v>2995</v>
      </c>
      <c r="F1204" s="14" t="str">
        <f>+'[1]BASE RED COMERCIAL'!$I1202</f>
        <v>J5423ZAA</v>
      </c>
      <c r="G1204" s="7" t="str">
        <f>+'[1]BASE RED COMERCIAL'!$D1202</f>
        <v>CAPITAN LAZO</v>
      </c>
      <c r="H1204" s="7" t="str">
        <f>+'[1]BASE RED COMERCIAL'!$B1202</f>
        <v>SAN JUAN</v>
      </c>
      <c r="I1204" s="8" t="str">
        <f>+'[1]BASE RED COMERCIAL'!$C1202</f>
        <v>RAWSON</v>
      </c>
      <c r="J1204" s="10"/>
      <c r="K1204" s="10"/>
    </row>
    <row r="1205" spans="1:11" x14ac:dyDescent="0.25">
      <c r="A1205" s="14" t="str">
        <f>+'[1]BASE RED COMERCIAL'!$A1203</f>
        <v>J0016</v>
      </c>
      <c r="B1205" s="8" t="str">
        <f>+'[1]BASE RED COMERCIAL'!$H1203</f>
        <v>CAUCETE</v>
      </c>
      <c r="C1205" s="7" t="s">
        <v>33</v>
      </c>
      <c r="D1205" s="9" t="str">
        <f>+'[1]BASE RED COMERCIAL'!$E1203</f>
        <v>MANUEL BELGRANO</v>
      </c>
      <c r="E1205" s="7">
        <f>+'[1]BASE RED COMERCIAL'!$F1203</f>
        <v>112</v>
      </c>
      <c r="F1205" s="14" t="str">
        <f>+'[1]BASE RED COMERCIAL'!$I1203</f>
        <v>J5442ZAA</v>
      </c>
      <c r="G1205" s="7" t="str">
        <f>+'[1]BASE RED COMERCIAL'!$D1203</f>
        <v>CAUCETE</v>
      </c>
      <c r="H1205" s="7" t="str">
        <f>+'[1]BASE RED COMERCIAL'!$B1203</f>
        <v>SAN JUAN</v>
      </c>
      <c r="I1205" s="8" t="str">
        <f>+'[1]BASE RED COMERCIAL'!$C1203</f>
        <v>CAUCETE</v>
      </c>
      <c r="J1205" s="10"/>
      <c r="K1205" s="10"/>
    </row>
    <row r="1206" spans="1:11" x14ac:dyDescent="0.25">
      <c r="A1206" s="14" t="str">
        <f>+'[1]BASE RED COMERCIAL'!$A1204</f>
        <v>J0018</v>
      </c>
      <c r="B1206" s="8" t="str">
        <f>+'[1]BASE RED COMERCIAL'!$H1204</f>
        <v>CHIMBAS</v>
      </c>
      <c r="C1206" s="7" t="s">
        <v>33</v>
      </c>
      <c r="D1206" s="9" t="str">
        <f>+'[1]BASE RED COMERCIAL'!$E1204</f>
        <v>MENDOZA</v>
      </c>
      <c r="E1206" s="7">
        <f>+'[1]BASE RED COMERCIAL'!$F1204</f>
        <v>405</v>
      </c>
      <c r="F1206" s="14" t="str">
        <f>+'[1]BASE RED COMERCIAL'!$I1204</f>
        <v>J5413ZAA</v>
      </c>
      <c r="G1206" s="7" t="str">
        <f>+'[1]BASE RED COMERCIAL'!$D1204</f>
        <v>CHIMBAS</v>
      </c>
      <c r="H1206" s="7" t="str">
        <f>+'[1]BASE RED COMERCIAL'!$B1204</f>
        <v>SAN JUAN</v>
      </c>
      <c r="I1206" s="8" t="str">
        <f>+'[1]BASE RED COMERCIAL'!$C1204</f>
        <v>CHIMBAS</v>
      </c>
      <c r="J1206" s="10"/>
      <c r="K1206" s="10"/>
    </row>
    <row r="1207" spans="1:11" x14ac:dyDescent="0.25">
      <c r="A1207" s="14" t="str">
        <f>+'[1]BASE RED COMERCIAL'!$A1205</f>
        <v>J0020</v>
      </c>
      <c r="B1207" s="8" t="str">
        <f>+'[1]BASE RED COMERCIAL'!$H1205</f>
        <v>IGLESIA</v>
      </c>
      <c r="C1207" s="7" t="s">
        <v>33</v>
      </c>
      <c r="D1207" s="9" t="str">
        <f>+'[1]BASE RED COMERCIAL'!$E1205</f>
        <v>PUBLICO</v>
      </c>
      <c r="E1207" s="7">
        <f>+'[1]BASE RED COMERCIAL'!$F1205</f>
        <v>10</v>
      </c>
      <c r="F1207" s="14" t="str">
        <f>+'[1]BASE RED COMERCIAL'!$I1205</f>
        <v>J5684ZAA</v>
      </c>
      <c r="G1207" s="7" t="str">
        <f>+'[1]BASE RED COMERCIAL'!$D1205</f>
        <v>IGLESIA</v>
      </c>
      <c r="H1207" s="7" t="str">
        <f>+'[1]BASE RED COMERCIAL'!$B1205</f>
        <v>SAN JUAN</v>
      </c>
      <c r="I1207" s="8" t="str">
        <f>+'[1]BASE RED COMERCIAL'!$C1205</f>
        <v>IGLESIA</v>
      </c>
      <c r="J1207" s="10"/>
      <c r="K1207" s="10"/>
    </row>
    <row r="1208" spans="1:11" x14ac:dyDescent="0.25">
      <c r="A1208" s="14" t="str">
        <f>+'[1]BASE RED COMERCIAL'!$A1206</f>
        <v>J0022</v>
      </c>
      <c r="B1208" s="8" t="str">
        <f>+'[1]BASE RED COMERCIAL'!$H1206</f>
        <v>JACHAL</v>
      </c>
      <c r="C1208" s="7" t="s">
        <v>33</v>
      </c>
      <c r="D1208" s="9" t="str">
        <f>+'[1]BASE RED COMERCIAL'!$E1206</f>
        <v>SAN MARTIN</v>
      </c>
      <c r="E1208" s="7">
        <f>+'[1]BASE RED COMERCIAL'!$F1206</f>
        <v>493</v>
      </c>
      <c r="F1208" s="14" t="str">
        <f>+'[1]BASE RED COMERCIAL'!$I1206</f>
        <v>J5460ZAA</v>
      </c>
      <c r="G1208" s="7" t="str">
        <f>+'[1]BASE RED COMERCIAL'!$D1206</f>
        <v>JACHAL</v>
      </c>
      <c r="H1208" s="7" t="str">
        <f>+'[1]BASE RED COMERCIAL'!$B1206</f>
        <v>SAN JUAN</v>
      </c>
      <c r="I1208" s="8" t="str">
        <f>+'[1]BASE RED COMERCIAL'!$C1206</f>
        <v>JACHAL</v>
      </c>
      <c r="J1208" s="10"/>
      <c r="K1208" s="10"/>
    </row>
    <row r="1209" spans="1:11" x14ac:dyDescent="0.25">
      <c r="A1209" s="14" t="str">
        <f>+'[1]BASE RED COMERCIAL'!$A1207</f>
        <v>J0024</v>
      </c>
      <c r="B1209" s="8" t="str">
        <f>+'[1]BASE RED COMERCIAL'!$H1207</f>
        <v>LAS FLORES</v>
      </c>
      <c r="C1209" s="7" t="s">
        <v>33</v>
      </c>
      <c r="D1209" s="9" t="str">
        <f>+'[1]BASE RED COMERCIAL'!$E1207</f>
        <v>R PROV 436</v>
      </c>
      <c r="E1209" s="7">
        <f>+'[1]BASE RED COMERCIAL'!$F1207</f>
        <v>100</v>
      </c>
      <c r="F1209" s="14" t="str">
        <f>+'[1]BASE RED COMERCIAL'!$I1207</f>
        <v>J5458ZAA</v>
      </c>
      <c r="G1209" s="7" t="str">
        <f>+'[1]BASE RED COMERCIAL'!$D1207</f>
        <v>LAS FLORES</v>
      </c>
      <c r="H1209" s="7" t="str">
        <f>+'[1]BASE RED COMERCIAL'!$B1207</f>
        <v>SAN JUAN</v>
      </c>
      <c r="I1209" s="8" t="str">
        <f>+'[1]BASE RED COMERCIAL'!$C1207</f>
        <v>IGLESIA</v>
      </c>
      <c r="J1209" s="10"/>
      <c r="K1209" s="10"/>
    </row>
    <row r="1210" spans="1:11" x14ac:dyDescent="0.25">
      <c r="A1210" s="14" t="str">
        <f>+'[1]BASE RED COMERCIAL'!$A1208</f>
        <v>J0026</v>
      </c>
      <c r="B1210" s="8" t="str">
        <f>+'[1]BASE RED COMERCIAL'!$H1208</f>
        <v>MARQUESADO</v>
      </c>
      <c r="C1210" s="7" t="s">
        <v>33</v>
      </c>
      <c r="D1210" s="9" t="str">
        <f>+'[1]BASE RED COMERCIAL'!$E1208</f>
        <v>AV LIBERTADOR SAN MARTIN</v>
      </c>
      <c r="E1210" s="7">
        <f>+'[1]BASE RED COMERCIAL'!$F1208</f>
        <v>7355</v>
      </c>
      <c r="F1210" s="14" t="str">
        <f>+'[1]BASE RED COMERCIAL'!$I1208</f>
        <v>J5407ZAB</v>
      </c>
      <c r="G1210" s="7" t="str">
        <f>+'[1]BASE RED COMERCIAL'!$D1208</f>
        <v>MARQUESADO</v>
      </c>
      <c r="H1210" s="7" t="str">
        <f>+'[1]BASE RED COMERCIAL'!$B1208</f>
        <v>SAN JUAN</v>
      </c>
      <c r="I1210" s="8" t="str">
        <f>+'[1]BASE RED COMERCIAL'!$C1208</f>
        <v>RIVADAVIA</v>
      </c>
      <c r="J1210" s="10"/>
      <c r="K1210" s="10"/>
    </row>
    <row r="1211" spans="1:11" x14ac:dyDescent="0.25">
      <c r="A1211" s="14" t="str">
        <f>+'[1]BASE RED COMERCIAL'!$A1209</f>
        <v>J0028</v>
      </c>
      <c r="B1211" s="8" t="str">
        <f>+'[1]BASE RED COMERCIAL'!$H1209</f>
        <v>MEDIA AGUA</v>
      </c>
      <c r="C1211" s="7" t="s">
        <v>33</v>
      </c>
      <c r="D1211" s="9" t="str">
        <f>+'[1]BASE RED COMERCIAL'!$E1209</f>
        <v>JOAQUIN TORRENT</v>
      </c>
      <c r="E1211" s="7">
        <f>+'[1]BASE RED COMERCIAL'!$F1209</f>
        <v>69</v>
      </c>
      <c r="F1211" s="14" t="str">
        <f>+'[1]BASE RED COMERCIAL'!$I1209</f>
        <v>J5435ZAA</v>
      </c>
      <c r="G1211" s="7" t="str">
        <f>+'[1]BASE RED COMERCIAL'!$D1209</f>
        <v>MEDIA AGUA</v>
      </c>
      <c r="H1211" s="7" t="str">
        <f>+'[1]BASE RED COMERCIAL'!$B1209</f>
        <v>SAN JUAN</v>
      </c>
      <c r="I1211" s="8" t="str">
        <f>+'[1]BASE RED COMERCIAL'!$C1209</f>
        <v>SARMIENTO</v>
      </c>
      <c r="J1211" s="10"/>
      <c r="K1211" s="10"/>
    </row>
    <row r="1212" spans="1:11" x14ac:dyDescent="0.25">
      <c r="A1212" s="14" t="str">
        <f>+'[1]BASE RED COMERCIAL'!$A1210</f>
        <v>J0034</v>
      </c>
      <c r="B1212" s="8" t="str">
        <f>+'[1]BASE RED COMERCIAL'!$H1210</f>
        <v>RODEO</v>
      </c>
      <c r="C1212" s="7" t="s">
        <v>33</v>
      </c>
      <c r="D1212" s="9" t="str">
        <f>+'[1]BASE RED COMERCIAL'!$E1210</f>
        <v>SANTO DOMINGO</v>
      </c>
      <c r="E1212" s="7">
        <f>+'[1]BASE RED COMERCIAL'!$F1210</f>
        <v>10</v>
      </c>
      <c r="F1212" s="14" t="str">
        <f>+'[1]BASE RED COMERCIAL'!$I1210</f>
        <v>J5465ZAA</v>
      </c>
      <c r="G1212" s="7" t="str">
        <f>+'[1]BASE RED COMERCIAL'!$D1210</f>
        <v>RODEO</v>
      </c>
      <c r="H1212" s="7" t="str">
        <f>+'[1]BASE RED COMERCIAL'!$B1210</f>
        <v>SAN JUAN</v>
      </c>
      <c r="I1212" s="8" t="str">
        <f>+'[1]BASE RED COMERCIAL'!$C1210</f>
        <v>IGLESIA</v>
      </c>
      <c r="J1212" s="10"/>
      <c r="K1212" s="10"/>
    </row>
    <row r="1213" spans="1:11" x14ac:dyDescent="0.25">
      <c r="A1213" s="14" t="str">
        <f>+'[1]BASE RED COMERCIAL'!$A1211</f>
        <v>J0038</v>
      </c>
      <c r="B1213" s="8" t="str">
        <f>+'[1]BASE RED COMERCIAL'!$H1211</f>
        <v>SANTA LUCIA</v>
      </c>
      <c r="C1213" s="7" t="s">
        <v>33</v>
      </c>
      <c r="D1213" s="9" t="str">
        <f>+'[1]BASE RED COMERCIAL'!$E1211</f>
        <v>GORRITI</v>
      </c>
      <c r="E1213" s="7">
        <f>+'[1]BASE RED COMERCIAL'!$F1211</f>
        <v>709</v>
      </c>
      <c r="F1213" s="14" t="str">
        <f>+'[1]BASE RED COMERCIAL'!$I1211</f>
        <v>J5411ZAB</v>
      </c>
      <c r="G1213" s="7" t="str">
        <f>+'[1]BASE RED COMERCIAL'!$D1211</f>
        <v>SANTA LUCIA</v>
      </c>
      <c r="H1213" s="7" t="str">
        <f>+'[1]BASE RED COMERCIAL'!$B1211</f>
        <v>SAN JUAN</v>
      </c>
      <c r="I1213" s="8" t="str">
        <f>+'[1]BASE RED COMERCIAL'!$C1211</f>
        <v>SANTA LUCIA</v>
      </c>
      <c r="J1213" s="10"/>
      <c r="K1213" s="10"/>
    </row>
    <row r="1214" spans="1:11" x14ac:dyDescent="0.25">
      <c r="A1214" s="14" t="str">
        <f>+'[1]BASE RED COMERCIAL'!$A1212</f>
        <v>J0042</v>
      </c>
      <c r="B1214" s="8" t="str">
        <f>+'[1]BASE RED COMERCIAL'!$H1212</f>
        <v>VALLE FERTIL</v>
      </c>
      <c r="C1214" s="7" t="s">
        <v>33</v>
      </c>
      <c r="D1214" s="9" t="str">
        <f>+'[1]BASE RED COMERCIAL'!$E1212</f>
        <v>LAPRIDA</v>
      </c>
      <c r="E1214" s="7">
        <f>+'[1]BASE RED COMERCIAL'!$F1212</f>
        <v>75</v>
      </c>
      <c r="F1214" s="14" t="str">
        <f>+'[1]BASE RED COMERCIAL'!$I1212</f>
        <v>J5449ZAA</v>
      </c>
      <c r="G1214" s="7" t="str">
        <f>+'[1]BASE RED COMERCIAL'!$D1212</f>
        <v>SAN AGUSTIN DEL VALLE FERTIL</v>
      </c>
      <c r="H1214" s="7" t="str">
        <f>+'[1]BASE RED COMERCIAL'!$B1212</f>
        <v>SAN JUAN</v>
      </c>
      <c r="I1214" s="8" t="str">
        <f>+'[1]BASE RED COMERCIAL'!$C1212</f>
        <v>VALLE FERTIL</v>
      </c>
      <c r="J1214" s="10"/>
      <c r="K1214" s="10"/>
    </row>
    <row r="1215" spans="1:11" x14ac:dyDescent="0.25">
      <c r="A1215" s="14" t="str">
        <f>+'[1]BASE RED COMERCIAL'!$A1213</f>
        <v>J0044</v>
      </c>
      <c r="B1215" s="8" t="str">
        <f>+'[1]BASE RED COMERCIAL'!$H1213</f>
        <v>VILLA ABERASTAIN</v>
      </c>
      <c r="C1215" s="7" t="s">
        <v>33</v>
      </c>
      <c r="D1215" s="9" t="str">
        <f>+'[1]BASE RED COMERCIAL'!$E1213</f>
        <v>RAWSON</v>
      </c>
      <c r="E1215" s="7">
        <f>+'[1]BASE RED COMERCIAL'!$F1213</f>
        <v>1082</v>
      </c>
      <c r="F1215" s="14" t="str">
        <f>+'[1]BASE RED COMERCIAL'!$I1213</f>
        <v>J5427ZAA</v>
      </c>
      <c r="G1215" s="7" t="str">
        <f>+'[1]BASE RED COMERCIAL'!$D1213</f>
        <v>VILLA ABERASTAIN</v>
      </c>
      <c r="H1215" s="7" t="str">
        <f>+'[1]BASE RED COMERCIAL'!$B1213</f>
        <v>SAN JUAN</v>
      </c>
      <c r="I1215" s="8" t="str">
        <f>+'[1]BASE RED COMERCIAL'!$C1213</f>
        <v>POCITO</v>
      </c>
      <c r="J1215" s="10"/>
      <c r="K1215" s="10"/>
    </row>
    <row r="1216" spans="1:11" x14ac:dyDescent="0.25">
      <c r="A1216" s="14" t="str">
        <f>+'[1]BASE RED COMERCIAL'!$A1214</f>
        <v>J0046</v>
      </c>
      <c r="B1216" s="8" t="str">
        <f>+'[1]BASE RED COMERCIAL'!$H1214</f>
        <v>VILLA DEL SALVADOR</v>
      </c>
      <c r="C1216" s="7" t="s">
        <v>33</v>
      </c>
      <c r="D1216" s="9" t="str">
        <f>+'[1]BASE RED COMERCIAL'!$E1214</f>
        <v>GRAL SAN MARTIN</v>
      </c>
      <c r="E1216" s="7">
        <f>+'[1]BASE RED COMERCIAL'!$F1214</f>
        <v>0</v>
      </c>
      <c r="F1216" s="14" t="str">
        <f>+'[1]BASE RED COMERCIAL'!$I1214</f>
        <v>J5415ZAA</v>
      </c>
      <c r="G1216" s="7" t="str">
        <f>+'[1]BASE RED COMERCIAL'!$D1214</f>
        <v>VILLA DEL SALVADOR</v>
      </c>
      <c r="H1216" s="7" t="str">
        <f>+'[1]BASE RED COMERCIAL'!$B1214</f>
        <v>SAN JUAN</v>
      </c>
      <c r="I1216" s="8" t="str">
        <f>+'[1]BASE RED COMERCIAL'!$C1214</f>
        <v>ANGACO</v>
      </c>
      <c r="J1216" s="10"/>
      <c r="K1216" s="10"/>
    </row>
    <row r="1217" spans="1:11" x14ac:dyDescent="0.25">
      <c r="A1217" s="14" t="str">
        <f>+'[1]BASE RED COMERCIAL'!$A1215</f>
        <v>J0048</v>
      </c>
      <c r="B1217" s="8" t="str">
        <f>+'[1]BASE RED COMERCIAL'!$H1215</f>
        <v>VILLA KRAUSE</v>
      </c>
      <c r="C1217" s="7" t="s">
        <v>33</v>
      </c>
      <c r="D1217" s="9" t="str">
        <f>+'[1]BASE RED COMERCIAL'!$E1215</f>
        <v>AV ESPAÃ‘A</v>
      </c>
      <c r="E1217" s="7">
        <f>+'[1]BASE RED COMERCIAL'!$F1215</f>
        <v>446</v>
      </c>
      <c r="F1217" s="14" t="str">
        <f>+'[1]BASE RED COMERCIAL'!$I1215</f>
        <v>J5425ZAA</v>
      </c>
      <c r="G1217" s="7" t="str">
        <f>+'[1]BASE RED COMERCIAL'!$D1215</f>
        <v>VILLA KRAUSE</v>
      </c>
      <c r="H1217" s="7" t="str">
        <f>+'[1]BASE RED COMERCIAL'!$B1215</f>
        <v>SAN JUAN</v>
      </c>
      <c r="I1217" s="8" t="str">
        <f>+'[1]BASE RED COMERCIAL'!$C1215</f>
        <v>RAWSON</v>
      </c>
      <c r="J1217" s="10"/>
      <c r="K1217" s="10"/>
    </row>
    <row r="1218" spans="1:11" x14ac:dyDescent="0.25">
      <c r="A1218" s="14" t="str">
        <f>+'[1]BASE RED COMERCIAL'!$A1216</f>
        <v>J0050</v>
      </c>
      <c r="B1218" s="8" t="str">
        <f>+'[1]BASE RED COMERCIAL'!$H1216</f>
        <v>VILLA SANTA ROSA</v>
      </c>
      <c r="C1218" s="7" t="s">
        <v>33</v>
      </c>
      <c r="D1218" s="9" t="str">
        <f>+'[1]BASE RED COMERCIAL'!$E1216</f>
        <v>9 DE JULIO</v>
      </c>
      <c r="E1218" s="7">
        <f>+'[1]BASE RED COMERCIAL'!$F1216</f>
        <v>400</v>
      </c>
      <c r="F1218" s="14" t="str">
        <f>+'[1]BASE RED COMERCIAL'!$I1216</f>
        <v>J5452ZAA</v>
      </c>
      <c r="G1218" s="7" t="str">
        <f>+'[1]BASE RED COMERCIAL'!$D1216</f>
        <v>VILLA SANTA ROSA</v>
      </c>
      <c r="H1218" s="7" t="str">
        <f>+'[1]BASE RED COMERCIAL'!$B1216</f>
        <v>SAN JUAN</v>
      </c>
      <c r="I1218" s="8" t="str">
        <f>+'[1]BASE RED COMERCIAL'!$C1216</f>
        <v>25 DE MAYO</v>
      </c>
      <c r="J1218" s="10"/>
      <c r="K1218" s="10"/>
    </row>
    <row r="1219" spans="1:11" x14ac:dyDescent="0.25">
      <c r="A1219" s="14" t="str">
        <f>+'[1]BASE RED COMERCIAL'!$A1217</f>
        <v>J1036</v>
      </c>
      <c r="B1219" s="8" t="str">
        <f>+'[1]BASE RED COMERCIAL'!$H1217</f>
        <v>SAN MARTÃN</v>
      </c>
      <c r="C1219" s="7" t="s">
        <v>33</v>
      </c>
      <c r="D1219" s="9" t="str">
        <f>+'[1]BASE RED COMERCIAL'!$E1217</f>
        <v>AV DOMINGO SARMIENTO</v>
      </c>
      <c r="E1219" s="7">
        <f>+'[1]BASE RED COMERCIAL'!$F1217</f>
        <v>0</v>
      </c>
      <c r="F1219" s="14" t="str">
        <f>+'[1]BASE RED COMERCIAL'!$I1217</f>
        <v>J5418ZAA</v>
      </c>
      <c r="G1219" s="7" t="str">
        <f>+'[1]BASE RED COMERCIAL'!$D1217</f>
        <v>SAN MARTIN</v>
      </c>
      <c r="H1219" s="7" t="str">
        <f>+'[1]BASE RED COMERCIAL'!$B1217</f>
        <v>SAN JUAN</v>
      </c>
      <c r="I1219" s="8" t="str">
        <f>+'[1]BASE RED COMERCIAL'!$C1217</f>
        <v>SAN MARTIN</v>
      </c>
      <c r="J1219" s="10"/>
      <c r="K1219" s="10"/>
    </row>
    <row r="1220" spans="1:11" x14ac:dyDescent="0.25">
      <c r="A1220" s="14" t="str">
        <f>+'[1]BASE RED COMERCIAL'!$A1218</f>
        <v>J1058</v>
      </c>
      <c r="B1220" s="8" t="str">
        <f>+'[1]BASE RED COMERCIAL'!$H1218</f>
        <v>VILLA MERCEDES</v>
      </c>
      <c r="C1220" s="7" t="s">
        <v>33</v>
      </c>
      <c r="D1220" s="9" t="str">
        <f>+'[1]BASE RED COMERCIAL'!$E1218</f>
        <v>EUGENIO FLORES S/N</v>
      </c>
      <c r="E1220" s="7">
        <f>+'[1]BASE RED COMERCIAL'!$F1218</f>
        <v>0</v>
      </c>
      <c r="F1220" s="14" t="str">
        <f>+'[1]BASE RED COMERCIAL'!$I1218</f>
        <v>J5461ZAB</v>
      </c>
      <c r="G1220" s="7" t="str">
        <f>+'[1]BASE RED COMERCIAL'!$D1218</f>
        <v>VILLA MERCEDES</v>
      </c>
      <c r="H1220" s="7" t="str">
        <f>+'[1]BASE RED COMERCIAL'!$B1218</f>
        <v>SAN JUAN</v>
      </c>
      <c r="I1220" s="8" t="str">
        <f>+'[1]BASE RED COMERCIAL'!$C1218</f>
        <v>JACHAL</v>
      </c>
      <c r="J1220" s="10"/>
      <c r="K1220" s="10"/>
    </row>
    <row r="1221" spans="1:11" x14ac:dyDescent="0.25">
      <c r="A1221" s="14" t="str">
        <f>+'[1]BASE RED COMERCIAL'!$A1219</f>
        <v>J1120</v>
      </c>
      <c r="B1221" s="8" t="str">
        <f>+'[1]BASE RED COMERCIAL'!$H1219</f>
        <v>ASTICA</v>
      </c>
      <c r="C1221" s="7" t="s">
        <v>33</v>
      </c>
      <c r="D1221" s="9" t="str">
        <f>+'[1]BASE RED COMERCIAL'!$E1219</f>
        <v>AV ING ENRIQUE ZULETA</v>
      </c>
      <c r="E1221" s="7">
        <f>+'[1]BASE RED COMERCIAL'!$F1219</f>
        <v>0</v>
      </c>
      <c r="F1221" s="14" t="str">
        <f>+'[1]BASE RED COMERCIAL'!$I1219</f>
        <v>J5681ZAA</v>
      </c>
      <c r="G1221" s="7" t="str">
        <f>+'[1]BASE RED COMERCIAL'!$D1219</f>
        <v>ASTICA</v>
      </c>
      <c r="H1221" s="7" t="str">
        <f>+'[1]BASE RED COMERCIAL'!$B1219</f>
        <v>SAN JUAN</v>
      </c>
      <c r="I1221" s="8" t="str">
        <f>+'[1]BASE RED COMERCIAL'!$C1219</f>
        <v>VALLE FERTIL</v>
      </c>
      <c r="J1221" s="10"/>
      <c r="K1221" s="10"/>
    </row>
    <row r="1222" spans="1:11" x14ac:dyDescent="0.25">
      <c r="A1222" s="14" t="str">
        <f>+'[1]BASE RED COMERCIAL'!$A1220</f>
        <v>D0000</v>
      </c>
      <c r="B1222" s="8" t="str">
        <f>+'[1]BASE RED COMERCIAL'!$H1220</f>
        <v>SAN LUIS</v>
      </c>
      <c r="C1222" s="7" t="s">
        <v>33</v>
      </c>
      <c r="D1222" s="9" t="str">
        <f>+'[1]BASE RED COMERCIAL'!$E1220</f>
        <v>SAN MARTIN</v>
      </c>
      <c r="E1222" s="7">
        <f>+'[1]BASE RED COMERCIAL'!$F1220</f>
        <v>801</v>
      </c>
      <c r="F1222" s="14" t="str">
        <f>+'[1]BASE RED COMERCIAL'!$I1220</f>
        <v>D5702ZAA</v>
      </c>
      <c r="G1222" s="7" t="str">
        <f>+'[1]BASE RED COMERCIAL'!$D1220</f>
        <v>SAN LUIS</v>
      </c>
      <c r="H1222" s="7" t="str">
        <f>+'[1]BASE RED COMERCIAL'!$B1220</f>
        <v>SAN LUIS</v>
      </c>
      <c r="I1222" s="8" t="str">
        <f>+'[1]BASE RED COMERCIAL'!$C1220</f>
        <v>JUAN MARTIN DE PUEYRREDON</v>
      </c>
      <c r="J1222" s="10"/>
      <c r="K1222" s="10"/>
    </row>
    <row r="1223" spans="1:11" x14ac:dyDescent="0.25">
      <c r="A1223" s="14" t="str">
        <f>+'[1]BASE RED COMERCIAL'!$A1221</f>
        <v>D0001</v>
      </c>
      <c r="B1223" s="8" t="str">
        <f>+'[1]BASE RED COMERCIAL'!$H1221</f>
        <v>SAN LUIS 1</v>
      </c>
      <c r="C1223" s="7" t="s">
        <v>33</v>
      </c>
      <c r="D1223" s="9" t="str">
        <f>+'[1]BASE RED COMERCIAL'!$E1221</f>
        <v>PTE J D PERON</v>
      </c>
      <c r="E1223" s="7">
        <f>+'[1]BASE RED COMERCIAL'!$F1221</f>
        <v>1024</v>
      </c>
      <c r="F1223" s="14" t="str">
        <f>+'[1]BASE RED COMERCIAL'!$I1221</f>
        <v>D5702ZAB</v>
      </c>
      <c r="G1223" s="7" t="str">
        <f>+'[1]BASE RED COMERCIAL'!$D1221</f>
        <v>SAN LUIS</v>
      </c>
      <c r="H1223" s="7" t="str">
        <f>+'[1]BASE RED COMERCIAL'!$B1221</f>
        <v>SAN LUIS</v>
      </c>
      <c r="I1223" s="8" t="str">
        <f>+'[1]BASE RED COMERCIAL'!$C1221</f>
        <v>JUAN MARTIN DE PUEYRREDON</v>
      </c>
      <c r="J1223" s="10"/>
      <c r="K1223" s="10"/>
    </row>
    <row r="1224" spans="1:11" x14ac:dyDescent="0.25">
      <c r="A1224" s="14" t="str">
        <f>+'[1]BASE RED COMERCIAL'!$A1222</f>
        <v>D0003</v>
      </c>
      <c r="B1224" s="8" t="str">
        <f>+'[1]BASE RED COMERCIAL'!$H1222</f>
        <v>ARIZONA</v>
      </c>
      <c r="C1224" s="7" t="s">
        <v>33</v>
      </c>
      <c r="D1224" s="9" t="str">
        <f>+'[1]BASE RED COMERCIAL'!$E1222</f>
        <v>SANTA MARINA</v>
      </c>
      <c r="E1224" s="7">
        <f>+'[1]BASE RED COMERCIAL'!$F1222</f>
        <v>0</v>
      </c>
      <c r="F1224" s="14" t="str">
        <f>+'[1]BASE RED COMERCIAL'!$I1222</f>
        <v>D6389ZAA</v>
      </c>
      <c r="G1224" s="7" t="str">
        <f>+'[1]BASE RED COMERCIAL'!$D1222</f>
        <v>ARIZONA</v>
      </c>
      <c r="H1224" s="7" t="str">
        <f>+'[1]BASE RED COMERCIAL'!$B1222</f>
        <v>SAN LUIS</v>
      </c>
      <c r="I1224" s="8" t="str">
        <f>+'[1]BASE RED COMERCIAL'!$C1222</f>
        <v>GOBERNADOR DUPUY</v>
      </c>
      <c r="J1224" s="10"/>
      <c r="K1224" s="10"/>
    </row>
    <row r="1225" spans="1:11" x14ac:dyDescent="0.25">
      <c r="A1225" s="14" t="str">
        <f>+'[1]BASE RED COMERCIAL'!$A1223</f>
        <v>D0004</v>
      </c>
      <c r="B1225" s="8" t="str">
        <f>+'[1]BASE RED COMERCIAL'!$H1223</f>
        <v>BUENA ESPERANZA</v>
      </c>
      <c r="C1225" s="7" t="s">
        <v>33</v>
      </c>
      <c r="D1225" s="9" t="str">
        <f>+'[1]BASE RED COMERCIAL'!$E1223</f>
        <v>PRINGLES</v>
      </c>
      <c r="E1225" s="7">
        <f>+'[1]BASE RED COMERCIAL'!$F1223</f>
        <v>0</v>
      </c>
      <c r="F1225" s="14" t="str">
        <f>+'[1]BASE RED COMERCIAL'!$I1223</f>
        <v>D6277ZAA</v>
      </c>
      <c r="G1225" s="7" t="str">
        <f>+'[1]BASE RED COMERCIAL'!$D1223</f>
        <v>BUENA ESPERANZA</v>
      </c>
      <c r="H1225" s="7" t="str">
        <f>+'[1]BASE RED COMERCIAL'!$B1223</f>
        <v>SAN LUIS</v>
      </c>
      <c r="I1225" s="8" t="str">
        <f>+'[1]BASE RED COMERCIAL'!$C1223</f>
        <v>GOBERNADOR DUPUY</v>
      </c>
      <c r="J1225" s="10"/>
      <c r="K1225" s="10"/>
    </row>
    <row r="1226" spans="1:11" x14ac:dyDescent="0.25">
      <c r="A1226" s="14" t="str">
        <f>+'[1]BASE RED COMERCIAL'!$A1224</f>
        <v>D0006</v>
      </c>
      <c r="B1226" s="8" t="str">
        <f>+'[1]BASE RED COMERCIAL'!$H1224</f>
        <v>CANDELARIA</v>
      </c>
      <c r="C1226" s="7" t="s">
        <v>33</v>
      </c>
      <c r="D1226" s="9" t="str">
        <f>+'[1]BASE RED COMERCIAL'!$E1224</f>
        <v>SANTA FE</v>
      </c>
      <c r="E1226" s="7">
        <f>+'[1]BASE RED COMERCIAL'!$F1224</f>
        <v>0</v>
      </c>
      <c r="F1226" s="14" t="str">
        <f>+'[1]BASE RED COMERCIAL'!$I1224</f>
        <v>D5713ZAA</v>
      </c>
      <c r="G1226" s="7" t="str">
        <f>+'[1]BASE RED COMERCIAL'!$D1224</f>
        <v>CANDELARIA</v>
      </c>
      <c r="H1226" s="7" t="str">
        <f>+'[1]BASE RED COMERCIAL'!$B1224</f>
        <v>SAN LUIS</v>
      </c>
      <c r="I1226" s="8" t="str">
        <f>+'[1]BASE RED COMERCIAL'!$C1224</f>
        <v>AYACUCHO</v>
      </c>
      <c r="J1226" s="10"/>
      <c r="K1226" s="10"/>
    </row>
    <row r="1227" spans="1:11" x14ac:dyDescent="0.25">
      <c r="A1227" s="14" t="str">
        <f>+'[1]BASE RED COMERCIAL'!$A1225</f>
        <v>D0008</v>
      </c>
      <c r="B1227" s="8" t="str">
        <f>+'[1]BASE RED COMERCIAL'!$H1225</f>
        <v>CONCARAN</v>
      </c>
      <c r="C1227" s="7" t="s">
        <v>33</v>
      </c>
      <c r="D1227" s="9" t="str">
        <f>+'[1]BASE RED COMERCIAL'!$E1225</f>
        <v>PTE H YRIGOYEN</v>
      </c>
      <c r="E1227" s="7">
        <f>+'[1]BASE RED COMERCIAL'!$F1225</f>
        <v>534</v>
      </c>
      <c r="F1227" s="14" t="str">
        <f>+'[1]BASE RED COMERCIAL'!$I1225</f>
        <v>D5770ZAA</v>
      </c>
      <c r="G1227" s="7" t="str">
        <f>+'[1]BASE RED COMERCIAL'!$D1225</f>
        <v>CONCARAN</v>
      </c>
      <c r="H1227" s="7" t="str">
        <f>+'[1]BASE RED COMERCIAL'!$B1225</f>
        <v>SAN LUIS</v>
      </c>
      <c r="I1227" s="8" t="str">
        <f>+'[1]BASE RED COMERCIAL'!$C1225</f>
        <v>CHACABUCO</v>
      </c>
      <c r="J1227" s="10"/>
      <c r="K1227" s="10"/>
    </row>
    <row r="1228" spans="1:11" x14ac:dyDescent="0.25">
      <c r="A1228" s="14" t="str">
        <f>+'[1]BASE RED COMERCIAL'!$A1226</f>
        <v>D0014</v>
      </c>
      <c r="B1228" s="8" t="str">
        <f>+'[1]BASE RED COMERCIAL'!$H1226</f>
        <v>JUSTO DARACT</v>
      </c>
      <c r="C1228" s="7" t="s">
        <v>33</v>
      </c>
      <c r="D1228" s="9" t="str">
        <f>+'[1]BASE RED COMERCIAL'!$E1226</f>
        <v>AV PTE H YRIGOYEN</v>
      </c>
      <c r="E1228" s="7">
        <f>+'[1]BASE RED COMERCIAL'!$F1226</f>
        <v>791</v>
      </c>
      <c r="F1228" s="14" t="str">
        <f>+'[1]BASE RED COMERCIAL'!$I1226</f>
        <v>D5738ZAA</v>
      </c>
      <c r="G1228" s="7" t="str">
        <f>+'[1]BASE RED COMERCIAL'!$D1226</f>
        <v>JUSTO DARACT</v>
      </c>
      <c r="H1228" s="7" t="str">
        <f>+'[1]BASE RED COMERCIAL'!$B1226</f>
        <v>SAN LUIS</v>
      </c>
      <c r="I1228" s="8" t="str">
        <f>+'[1]BASE RED COMERCIAL'!$C1226</f>
        <v>GENERAL PEDERNERA</v>
      </c>
      <c r="J1228" s="10"/>
      <c r="K1228" s="10"/>
    </row>
    <row r="1229" spans="1:11" x14ac:dyDescent="0.25">
      <c r="A1229" s="14" t="str">
        <f>+'[1]BASE RED COMERCIAL'!$A1227</f>
        <v>D0016</v>
      </c>
      <c r="B1229" s="8" t="str">
        <f>+'[1]BASE RED COMERCIAL'!$H1227</f>
        <v>LA TOMA</v>
      </c>
      <c r="C1229" s="7" t="s">
        <v>33</v>
      </c>
      <c r="D1229" s="9" t="str">
        <f>+'[1]BASE RED COMERCIAL'!$E1227</f>
        <v>GARCIARENA</v>
      </c>
      <c r="E1229" s="7">
        <f>+'[1]BASE RED COMERCIAL'!$F1227</f>
        <v>193</v>
      </c>
      <c r="F1229" s="14" t="str">
        <f>+'[1]BASE RED COMERCIAL'!$I1227</f>
        <v>D5750ZAA</v>
      </c>
      <c r="G1229" s="7" t="str">
        <f>+'[1]BASE RED COMERCIAL'!$D1227</f>
        <v>LA TOMA</v>
      </c>
      <c r="H1229" s="7" t="str">
        <f>+'[1]BASE RED COMERCIAL'!$B1227</f>
        <v>SAN LUIS</v>
      </c>
      <c r="I1229" s="8" t="str">
        <f>+'[1]BASE RED COMERCIAL'!$C1227</f>
        <v>CORONEL PRINGLES</v>
      </c>
      <c r="J1229" s="10"/>
      <c r="K1229" s="10"/>
    </row>
    <row r="1230" spans="1:11" x14ac:dyDescent="0.25">
      <c r="A1230" s="14" t="str">
        <f>+'[1]BASE RED COMERCIAL'!$A1228</f>
        <v>D0018</v>
      </c>
      <c r="B1230" s="8" t="str">
        <f>+'[1]BASE RED COMERCIAL'!$H1228</f>
        <v>LUJAN</v>
      </c>
      <c r="C1230" s="7" t="s">
        <v>33</v>
      </c>
      <c r="D1230" s="9" t="str">
        <f>+'[1]BASE RED COMERCIAL'!$E1228</f>
        <v>PRINGLES</v>
      </c>
      <c r="E1230" s="7">
        <f>+'[1]BASE RED COMERCIAL'!$F1228</f>
        <v>0</v>
      </c>
      <c r="F1230" s="14" t="str">
        <f>+'[1]BASE RED COMERCIAL'!$I1228</f>
        <v>D5709ZAA</v>
      </c>
      <c r="G1230" s="7" t="str">
        <f>+'[1]BASE RED COMERCIAL'!$D1228</f>
        <v>LUJAN</v>
      </c>
      <c r="H1230" s="7" t="str">
        <f>+'[1]BASE RED COMERCIAL'!$B1228</f>
        <v>SAN LUIS</v>
      </c>
      <c r="I1230" s="8" t="str">
        <f>+'[1]BASE RED COMERCIAL'!$C1228</f>
        <v>AYACUCHO</v>
      </c>
      <c r="J1230" s="10"/>
      <c r="K1230" s="10"/>
    </row>
    <row r="1231" spans="1:11" x14ac:dyDescent="0.25">
      <c r="A1231" s="14" t="str">
        <f>+'[1]BASE RED COMERCIAL'!$A1229</f>
        <v>D0020</v>
      </c>
      <c r="B1231" s="8" t="str">
        <f>+'[1]BASE RED COMERCIAL'!$H1229</f>
        <v>VILLA MERCEDES</v>
      </c>
      <c r="C1231" s="7" t="s">
        <v>33</v>
      </c>
      <c r="D1231" s="9" t="str">
        <f>+'[1]BASE RED COMERCIAL'!$E1229</f>
        <v>LEON GUILLET</v>
      </c>
      <c r="E1231" s="7">
        <f>+'[1]BASE RED COMERCIAL'!$F1229</f>
        <v>31</v>
      </c>
      <c r="F1231" s="14" t="str">
        <f>+'[1]BASE RED COMERCIAL'!$I1229</f>
        <v>D5732ZAA</v>
      </c>
      <c r="G1231" s="7" t="str">
        <f>+'[1]BASE RED COMERCIAL'!$D1229</f>
        <v>VILLA MERCEDES</v>
      </c>
      <c r="H1231" s="7" t="str">
        <f>+'[1]BASE RED COMERCIAL'!$B1229</f>
        <v>SAN LUIS</v>
      </c>
      <c r="I1231" s="8" t="str">
        <f>+'[1]BASE RED COMERCIAL'!$C1229</f>
        <v>GENERAL PEDERNERA</v>
      </c>
      <c r="J1231" s="10"/>
      <c r="K1231" s="10"/>
    </row>
    <row r="1232" spans="1:11" x14ac:dyDescent="0.25">
      <c r="A1232" s="14" t="str">
        <f>+'[1]BASE RED COMERCIAL'!$A1230</f>
        <v>D0022</v>
      </c>
      <c r="B1232" s="8" t="str">
        <f>+'[1]BASE RED COMERCIAL'!$H1230</f>
        <v>NÂº 1 VILLA MERCEDES</v>
      </c>
      <c r="C1232" s="7" t="s">
        <v>33</v>
      </c>
      <c r="D1232" s="9" t="str">
        <f>+'[1]BASE RED COMERCIAL'!$E1230</f>
        <v>J B JUSTO</v>
      </c>
      <c r="E1232" s="7">
        <f>+'[1]BASE RED COMERCIAL'!$F1230</f>
        <v>88</v>
      </c>
      <c r="F1232" s="14" t="str">
        <f>+'[1]BASE RED COMERCIAL'!$I1230</f>
        <v>D5732ZAB</v>
      </c>
      <c r="G1232" s="7" t="str">
        <f>+'[1]BASE RED COMERCIAL'!$D1230</f>
        <v>VILLA MERCEDES</v>
      </c>
      <c r="H1232" s="7" t="str">
        <f>+'[1]BASE RED COMERCIAL'!$B1230</f>
        <v>SAN LUIS</v>
      </c>
      <c r="I1232" s="8" t="str">
        <f>+'[1]BASE RED COMERCIAL'!$C1230</f>
        <v>GENERAL PEDERNERA</v>
      </c>
      <c r="J1232" s="10"/>
      <c r="K1232" s="10"/>
    </row>
    <row r="1233" spans="1:11" x14ac:dyDescent="0.25">
      <c r="A1233" s="14" t="str">
        <f>+'[1]BASE RED COMERCIAL'!$A1231</f>
        <v>D0024</v>
      </c>
      <c r="B1233" s="8" t="str">
        <f>+'[1]BASE RED COMERCIAL'!$H1231</f>
        <v>MERLO</v>
      </c>
      <c r="C1233" s="7" t="s">
        <v>33</v>
      </c>
      <c r="D1233" s="9" t="str">
        <f>+'[1]BASE RED COMERCIAL'!$E1231</f>
        <v>CNEL NICASIO MERCAU</v>
      </c>
      <c r="E1233" s="7">
        <f>+'[1]BASE RED COMERCIAL'!$F1231</f>
        <v>579</v>
      </c>
      <c r="F1233" s="14" t="str">
        <f>+'[1]BASE RED COMERCIAL'!$I1231</f>
        <v>D5881ZAA</v>
      </c>
      <c r="G1233" s="7" t="str">
        <f>+'[1]BASE RED COMERCIAL'!$D1231</f>
        <v>MERLO</v>
      </c>
      <c r="H1233" s="7" t="str">
        <f>+'[1]BASE RED COMERCIAL'!$B1231</f>
        <v>SAN LUIS</v>
      </c>
      <c r="I1233" s="8" t="str">
        <f>+'[1]BASE RED COMERCIAL'!$C1231</f>
        <v>JUNIN</v>
      </c>
      <c r="J1233" s="10"/>
      <c r="K1233" s="10"/>
    </row>
    <row r="1234" spans="1:11" x14ac:dyDescent="0.25">
      <c r="A1234" s="14" t="str">
        <f>+'[1]BASE RED COMERCIAL'!$A1232</f>
        <v>D0026</v>
      </c>
      <c r="B1234" s="8" t="str">
        <f>+'[1]BASE RED COMERCIAL'!$H1232</f>
        <v>NASCHEL</v>
      </c>
      <c r="C1234" s="7" t="s">
        <v>33</v>
      </c>
      <c r="D1234" s="9" t="str">
        <f>+'[1]BASE RED COMERCIAL'!$E1232</f>
        <v>SAN MARTIN</v>
      </c>
      <c r="E1234" s="7">
        <f>+'[1]BASE RED COMERCIAL'!$F1232</f>
        <v>493</v>
      </c>
      <c r="F1234" s="14" t="str">
        <f>+'[1]BASE RED COMERCIAL'!$I1232</f>
        <v>D5759ZAA</v>
      </c>
      <c r="G1234" s="7" t="str">
        <f>+'[1]BASE RED COMERCIAL'!$D1232</f>
        <v>NASCHEL</v>
      </c>
      <c r="H1234" s="7" t="str">
        <f>+'[1]BASE RED COMERCIAL'!$B1232</f>
        <v>SAN LUIS</v>
      </c>
      <c r="I1234" s="8" t="str">
        <f>+'[1]BASE RED COMERCIAL'!$C1232</f>
        <v>CHACABUCO</v>
      </c>
      <c r="J1234" s="10"/>
      <c r="K1234" s="10"/>
    </row>
    <row r="1235" spans="1:11" x14ac:dyDescent="0.25">
      <c r="A1235" s="14" t="str">
        <f>+'[1]BASE RED COMERCIAL'!$A1233</f>
        <v>D0028</v>
      </c>
      <c r="B1235" s="8" t="str">
        <f>+'[1]BASE RED COMERCIAL'!$H1233</f>
        <v>NUEVA GALIA</v>
      </c>
      <c r="C1235" s="7" t="s">
        <v>33</v>
      </c>
      <c r="D1235" s="9" t="str">
        <f>+'[1]BASE RED COMERCIAL'!$E1233</f>
        <v>SAN MARTIN</v>
      </c>
      <c r="E1235" s="7">
        <f>+'[1]BASE RED COMERCIAL'!$F1233</f>
        <v>0</v>
      </c>
      <c r="F1235" s="14" t="str">
        <f>+'[1]BASE RED COMERCIAL'!$I1233</f>
        <v>D6217ZAA</v>
      </c>
      <c r="G1235" s="7" t="str">
        <f>+'[1]BASE RED COMERCIAL'!$D1233</f>
        <v>NUEVA GALIA</v>
      </c>
      <c r="H1235" s="7" t="str">
        <f>+'[1]BASE RED COMERCIAL'!$B1233</f>
        <v>SAN LUIS</v>
      </c>
      <c r="I1235" s="8" t="str">
        <f>+'[1]BASE RED COMERCIAL'!$C1233</f>
        <v>GOBERNADOR DUPUY</v>
      </c>
      <c r="J1235" s="10"/>
      <c r="K1235" s="10"/>
    </row>
    <row r="1236" spans="1:11" x14ac:dyDescent="0.25">
      <c r="A1236" s="14" t="str">
        <f>+'[1]BASE RED COMERCIAL'!$A1234</f>
        <v>D0030</v>
      </c>
      <c r="B1236" s="8" t="str">
        <f>+'[1]BASE RED COMERCIAL'!$H1234</f>
        <v>QUINES</v>
      </c>
      <c r="C1236" s="7" t="s">
        <v>33</v>
      </c>
      <c r="D1236" s="9" t="str">
        <f>+'[1]BASE RED COMERCIAL'!$E1234</f>
        <v>SAAVEDRA</v>
      </c>
      <c r="E1236" s="7">
        <f>+'[1]BASE RED COMERCIAL'!$F1234</f>
        <v>210</v>
      </c>
      <c r="F1236" s="14" t="str">
        <f>+'[1]BASE RED COMERCIAL'!$I1234</f>
        <v>D5711ZAA</v>
      </c>
      <c r="G1236" s="7" t="str">
        <f>+'[1]BASE RED COMERCIAL'!$D1234</f>
        <v>QUINES</v>
      </c>
      <c r="H1236" s="7" t="str">
        <f>+'[1]BASE RED COMERCIAL'!$B1234</f>
        <v>SAN LUIS</v>
      </c>
      <c r="I1236" s="8" t="str">
        <f>+'[1]BASE RED COMERCIAL'!$C1234</f>
        <v>AYACUCHO</v>
      </c>
      <c r="J1236" s="10"/>
      <c r="K1236" s="10"/>
    </row>
    <row r="1237" spans="1:11" x14ac:dyDescent="0.25">
      <c r="A1237" s="14" t="str">
        <f>+'[1]BASE RED COMERCIAL'!$A1235</f>
        <v>D0032</v>
      </c>
      <c r="B1237" s="8" t="str">
        <f>+'[1]BASE RED COMERCIAL'!$H1235</f>
        <v>SAN FCO. DEL MONTE DE ORO</v>
      </c>
      <c r="C1237" s="7" t="s">
        <v>33</v>
      </c>
      <c r="D1237" s="9" t="str">
        <f>+'[1]BASE RED COMERCIAL'!$E1235</f>
        <v>GRAL SAN MARTIN</v>
      </c>
      <c r="E1237" s="7">
        <f>+'[1]BASE RED COMERCIAL'!$F1235</f>
        <v>0</v>
      </c>
      <c r="F1237" s="14" t="str">
        <f>+'[1]BASE RED COMERCIAL'!$I1235</f>
        <v>D5705ZAA</v>
      </c>
      <c r="G1237" s="7" t="str">
        <f>+'[1]BASE RED COMERCIAL'!$D1235</f>
        <v>SAN FRANCISCO DEL MONTE DE ORO</v>
      </c>
      <c r="H1237" s="7" t="str">
        <f>+'[1]BASE RED COMERCIAL'!$B1235</f>
        <v>SAN LUIS</v>
      </c>
      <c r="I1237" s="8" t="str">
        <f>+'[1]BASE RED COMERCIAL'!$C1235</f>
        <v>AYACUCHO</v>
      </c>
      <c r="J1237" s="10"/>
      <c r="K1237" s="10"/>
    </row>
    <row r="1238" spans="1:11" x14ac:dyDescent="0.25">
      <c r="A1238" s="14" t="str">
        <f>+'[1]BASE RED COMERCIAL'!$A1236</f>
        <v>D0038</v>
      </c>
      <c r="B1238" s="8" t="str">
        <f>+'[1]BASE RED COMERCIAL'!$H1236</f>
        <v>SAN MARTÃN</v>
      </c>
      <c r="C1238" s="7" t="s">
        <v>33</v>
      </c>
      <c r="D1238" s="9" t="str">
        <f>+'[1]BASE RED COMERCIAL'!$E1236</f>
        <v>LAFINUR</v>
      </c>
      <c r="E1238" s="7">
        <f>+'[1]BASE RED COMERCIAL'!$F1236</f>
        <v>0</v>
      </c>
      <c r="F1238" s="14" t="str">
        <f>+'[1]BASE RED COMERCIAL'!$I1236</f>
        <v>D5755ZAA</v>
      </c>
      <c r="G1238" s="7" t="str">
        <f>+'[1]BASE RED COMERCIAL'!$D1236</f>
        <v>SAN MARTIN</v>
      </c>
      <c r="H1238" s="7" t="str">
        <f>+'[1]BASE RED COMERCIAL'!$B1236</f>
        <v>SAN LUIS</v>
      </c>
      <c r="I1238" s="8" t="str">
        <f>+'[1]BASE RED COMERCIAL'!$C1236</f>
        <v>LIBERTADOR GENERAL SAN MARTIN</v>
      </c>
      <c r="J1238" s="10"/>
      <c r="K1238" s="10"/>
    </row>
    <row r="1239" spans="1:11" x14ac:dyDescent="0.25">
      <c r="A1239" s="14" t="str">
        <f>+'[1]BASE RED COMERCIAL'!$A1237</f>
        <v>D0040</v>
      </c>
      <c r="B1239" s="8" t="str">
        <f>+'[1]BASE RED COMERCIAL'!$H1237</f>
        <v>SANTA ROSA DE CONLARA</v>
      </c>
      <c r="C1239" s="7" t="s">
        <v>33</v>
      </c>
      <c r="D1239" s="9" t="str">
        <f>+'[1]BASE RED COMERCIAL'!$E1237</f>
        <v>PTE H YRIGOYEN</v>
      </c>
      <c r="E1239" s="7">
        <f>+'[1]BASE RED COMERCIAL'!$F1237</f>
        <v>700</v>
      </c>
      <c r="F1239" s="14" t="str">
        <f>+'[1]BASE RED COMERCIAL'!$I1237</f>
        <v>D5777ZAA</v>
      </c>
      <c r="G1239" s="7" t="str">
        <f>+'[1]BASE RED COMERCIAL'!$D1237</f>
        <v>SANTA ROSA DE CONLARA</v>
      </c>
      <c r="H1239" s="7" t="str">
        <f>+'[1]BASE RED COMERCIAL'!$B1237</f>
        <v>SAN LUIS</v>
      </c>
      <c r="I1239" s="8" t="str">
        <f>+'[1]BASE RED COMERCIAL'!$C1237</f>
        <v>JUNIN</v>
      </c>
      <c r="J1239" s="10"/>
      <c r="K1239" s="10"/>
    </row>
    <row r="1240" spans="1:11" x14ac:dyDescent="0.25">
      <c r="A1240" s="14" t="str">
        <f>+'[1]BASE RED COMERCIAL'!$A1238</f>
        <v>D0042</v>
      </c>
      <c r="B1240" s="8" t="str">
        <f>+'[1]BASE RED COMERCIAL'!$H1238</f>
        <v>TILISARAO</v>
      </c>
      <c r="C1240" s="7" t="s">
        <v>33</v>
      </c>
      <c r="D1240" s="9" t="str">
        <f>+'[1]BASE RED COMERCIAL'!$E1238</f>
        <v>PRINGLES</v>
      </c>
      <c r="E1240" s="7">
        <f>+'[1]BASE RED COMERCIAL'!$F1238</f>
        <v>232</v>
      </c>
      <c r="F1240" s="14" t="str">
        <f>+'[1]BASE RED COMERCIAL'!$I1238</f>
        <v>D5773ZAA</v>
      </c>
      <c r="G1240" s="7" t="str">
        <f>+'[1]BASE RED COMERCIAL'!$D1238</f>
        <v>TILISARAO</v>
      </c>
      <c r="H1240" s="7" t="str">
        <f>+'[1]BASE RED COMERCIAL'!$B1238</f>
        <v>SAN LUIS</v>
      </c>
      <c r="I1240" s="8" t="str">
        <f>+'[1]BASE RED COMERCIAL'!$C1238</f>
        <v>CHACABUCO</v>
      </c>
      <c r="J1240" s="10"/>
      <c r="K1240" s="10"/>
    </row>
    <row r="1241" spans="1:11" x14ac:dyDescent="0.25">
      <c r="A1241" s="14" t="str">
        <f>+'[1]BASE RED COMERCIAL'!$A1239</f>
        <v>D0044</v>
      </c>
      <c r="B1241" s="8" t="str">
        <f>+'[1]BASE RED COMERCIAL'!$H1239</f>
        <v>UNION</v>
      </c>
      <c r="C1241" s="7" t="s">
        <v>33</v>
      </c>
      <c r="D1241" s="9" t="str">
        <f>+'[1]BASE RED COMERCIAL'!$E1239</f>
        <v>AV ANTONIO DASSA</v>
      </c>
      <c r="E1241" s="7">
        <f>+'[1]BASE RED COMERCIAL'!$F1239</f>
        <v>340</v>
      </c>
      <c r="F1241" s="14" t="str">
        <f>+'[1]BASE RED COMERCIAL'!$I1239</f>
        <v>D6219ZAA</v>
      </c>
      <c r="G1241" s="7" t="str">
        <f>+'[1]BASE RED COMERCIAL'!$D1239</f>
        <v>UNION</v>
      </c>
      <c r="H1241" s="7" t="str">
        <f>+'[1]BASE RED COMERCIAL'!$B1239</f>
        <v>SAN LUIS</v>
      </c>
      <c r="I1241" s="8" t="str">
        <f>+'[1]BASE RED COMERCIAL'!$C1239</f>
        <v>GOBERNADOR DUPUY</v>
      </c>
      <c r="J1241" s="10"/>
      <c r="K1241" s="10"/>
    </row>
    <row r="1242" spans="1:11" x14ac:dyDescent="0.25">
      <c r="A1242" s="14" t="str">
        <f>+'[1]BASE RED COMERCIAL'!$A1240</f>
        <v>D0048</v>
      </c>
      <c r="B1242" s="8" t="str">
        <f>+'[1]BASE RED COMERCIAL'!$H1240</f>
        <v>VILLA REYNOLDS</v>
      </c>
      <c r="C1242" s="7" t="s">
        <v>33</v>
      </c>
      <c r="D1242" s="9" t="str">
        <f>+'[1]BASE RED COMERCIAL'!$E1240</f>
        <v>TENIENTE JORGE VAZQUEZ</v>
      </c>
      <c r="E1242" s="7">
        <f>+'[1]BASE RED COMERCIAL'!$F1240</f>
        <v>0</v>
      </c>
      <c r="F1242" s="14" t="str">
        <f>+'[1]BASE RED COMERCIAL'!$I1240</f>
        <v>D5733ZAA</v>
      </c>
      <c r="G1242" s="7" t="str">
        <f>+'[1]BASE RED COMERCIAL'!$D1240</f>
        <v>VILLA REYNOLDS</v>
      </c>
      <c r="H1242" s="7" t="str">
        <f>+'[1]BASE RED COMERCIAL'!$B1240</f>
        <v>SAN LUIS</v>
      </c>
      <c r="I1242" s="8" t="str">
        <f>+'[1]BASE RED COMERCIAL'!$C1240</f>
        <v>GENERAL PEDERNERA</v>
      </c>
      <c r="J1242" s="10"/>
      <c r="K1242" s="10"/>
    </row>
    <row r="1243" spans="1:11" x14ac:dyDescent="0.25">
      <c r="A1243" s="14" t="str">
        <f>+'[1]BASE RED COMERCIAL'!$A1241</f>
        <v>D1032</v>
      </c>
      <c r="B1243" s="8" t="str">
        <f>+'[1]BASE RED COMERCIAL'!$H1241</f>
        <v>ESTACION ZANJITA</v>
      </c>
      <c r="C1243" s="7" t="s">
        <v>33</v>
      </c>
      <c r="D1243" s="9">
        <f>+'[1]BASE RED COMERCIAL'!$E1241</f>
        <v>0</v>
      </c>
      <c r="E1243" s="7">
        <f>+'[1]BASE RED COMERCIAL'!$F1241</f>
        <v>0</v>
      </c>
      <c r="F1243" s="14" t="str">
        <f>+'[1]BASE RED COMERCIAL'!$I1241</f>
        <v>D5721ZAA</v>
      </c>
      <c r="G1243" s="7" t="str">
        <f>+'[1]BASE RED COMERCIAL'!$D1241</f>
        <v>ESTACION ZANJITAS</v>
      </c>
      <c r="H1243" s="7" t="str">
        <f>+'[1]BASE RED COMERCIAL'!$B1241</f>
        <v>SAN LUIS</v>
      </c>
      <c r="I1243" s="8" t="str">
        <f>+'[1]BASE RED COMERCIAL'!$C1241</f>
        <v>JUAN MARTIN DE PUEYRREDON</v>
      </c>
      <c r="J1243" s="10"/>
      <c r="K1243" s="10"/>
    </row>
    <row r="1244" spans="1:11" x14ac:dyDescent="0.25">
      <c r="A1244" s="14" t="str">
        <f>+'[1]BASE RED COMERCIAL'!$A1242</f>
        <v>D1044</v>
      </c>
      <c r="B1244" s="8" t="str">
        <f>+'[1]BASE RED COMERCIAL'!$H1242</f>
        <v>LAS BARRANCAS</v>
      </c>
      <c r="C1244" s="7" t="s">
        <v>33</v>
      </c>
      <c r="D1244" s="9">
        <f>+'[1]BASE RED COMERCIAL'!$E1242</f>
        <v>0</v>
      </c>
      <c r="E1244" s="7">
        <f>+'[1]BASE RED COMERCIAL'!$F1242</f>
        <v>0</v>
      </c>
      <c r="F1244" s="14" t="str">
        <f>+'[1]BASE RED COMERCIAL'!$I1242</f>
        <v>D5871ZAA</v>
      </c>
      <c r="G1244" s="7" t="str">
        <f>+'[1]BASE RED COMERCIAL'!$D1242</f>
        <v>LAS BARRANCAS</v>
      </c>
      <c r="H1244" s="7" t="str">
        <f>+'[1]BASE RED COMERCIAL'!$B1242</f>
        <v>SAN LUIS</v>
      </c>
      <c r="I1244" s="8" t="str">
        <f>+'[1]BASE RED COMERCIAL'!$C1242</f>
        <v>JUAN MARTIN DE PUEYRREDON</v>
      </c>
      <c r="J1244" s="10"/>
      <c r="K1244" s="10"/>
    </row>
    <row r="1245" spans="1:11" x14ac:dyDescent="0.25">
      <c r="A1245" s="14" t="str">
        <f>+'[1]BASE RED COMERCIAL'!$A1243</f>
        <v>D1066</v>
      </c>
      <c r="B1245" s="8" t="str">
        <f>+'[1]BASE RED COMERCIAL'!$H1243</f>
        <v>PUERTA COLORADA</v>
      </c>
      <c r="C1245" s="7" t="s">
        <v>33</v>
      </c>
      <c r="D1245" s="9">
        <f>+'[1]BASE RED COMERCIAL'!$E1243</f>
        <v>0</v>
      </c>
      <c r="E1245" s="7">
        <f>+'[1]BASE RED COMERCIAL'!$F1243</f>
        <v>0</v>
      </c>
      <c r="F1245" s="14" t="str">
        <f>+'[1]BASE RED COMERCIAL'!$I1243</f>
        <v>D5771ZAA</v>
      </c>
      <c r="G1245" s="7" t="str">
        <f>+'[1]BASE RED COMERCIAL'!$D1243</f>
        <v>PUERTA COLORADA</v>
      </c>
      <c r="H1245" s="7" t="str">
        <f>+'[1]BASE RED COMERCIAL'!$B1243</f>
        <v>SAN LUIS</v>
      </c>
      <c r="I1245" s="8" t="str">
        <f>+'[1]BASE RED COMERCIAL'!$C1243</f>
        <v>LIBERTADOR GENERAL SAN MARTIN</v>
      </c>
      <c r="J1245" s="10"/>
      <c r="K1245" s="10"/>
    </row>
    <row r="1246" spans="1:11" x14ac:dyDescent="0.25">
      <c r="A1246" s="14" t="str">
        <f>+'[1]BASE RED COMERCIAL'!$A1244</f>
        <v>D1092</v>
      </c>
      <c r="B1246" s="8" t="str">
        <f>+'[1]BASE RED COMERCIAL'!$H1244</f>
        <v>VILLA GRAL ROCA</v>
      </c>
      <c r="C1246" s="7" t="s">
        <v>33</v>
      </c>
      <c r="D1246" s="9" t="str">
        <f>+'[1]BASE RED COMERCIAL'!$E1244</f>
        <v>DR NICOLAS AVELLANEDA</v>
      </c>
      <c r="E1246" s="7">
        <f>+'[1]BASE RED COMERCIAL'!$F1244</f>
        <v>0</v>
      </c>
      <c r="F1246" s="14" t="str">
        <f>+'[1]BASE RED COMERCIAL'!$I1244</f>
        <v>D5722ZAA</v>
      </c>
      <c r="G1246" s="7" t="str">
        <f>+'[1]BASE RED COMERCIAL'!$D1244</f>
        <v>VILLA GENERAL ROCA</v>
      </c>
      <c r="H1246" s="7" t="str">
        <f>+'[1]BASE RED COMERCIAL'!$B1244</f>
        <v>SAN LUIS</v>
      </c>
      <c r="I1246" s="8" t="str">
        <f>+'[1]BASE RED COMERCIAL'!$C1244</f>
        <v>BELGRANO</v>
      </c>
      <c r="J1246" s="10"/>
      <c r="K1246" s="10"/>
    </row>
    <row r="1247" spans="1:11" x14ac:dyDescent="0.25">
      <c r="A1247" s="14" t="str">
        <f>+'[1]BASE RED COMERCIAL'!$A1245</f>
        <v>D3090</v>
      </c>
      <c r="B1247" s="8" t="str">
        <f>+'[1]BASE RED COMERCIAL'!$H1245</f>
        <v>SAN LUIS MINI-POST</v>
      </c>
      <c r="C1247" s="7" t="s">
        <v>33</v>
      </c>
      <c r="D1247" s="9" t="str">
        <f>+'[1]BASE RED COMERCIAL'!$E1245</f>
        <v>AYACUCHO</v>
      </c>
      <c r="E1247" s="7">
        <f>+'[1]BASE RED COMERCIAL'!$F1245</f>
        <v>945</v>
      </c>
      <c r="F1247" s="14" t="str">
        <f>+'[1]BASE RED COMERCIAL'!$I1245</f>
        <v>D5700ZAB</v>
      </c>
      <c r="G1247" s="7" t="str">
        <f>+'[1]BASE RED COMERCIAL'!$D1245</f>
        <v>SAN LUIS</v>
      </c>
      <c r="H1247" s="7" t="str">
        <f>+'[1]BASE RED COMERCIAL'!$B1245</f>
        <v>SAN LUIS</v>
      </c>
      <c r="I1247" s="8" t="str">
        <f>+'[1]BASE RED COMERCIAL'!$C1245</f>
        <v>JUAN MARTIN DE PUEYRREDON</v>
      </c>
      <c r="J1247" s="10"/>
      <c r="K1247" s="10"/>
    </row>
    <row r="1248" spans="1:11" x14ac:dyDescent="0.25">
      <c r="A1248" s="14" t="str">
        <f>+'[1]BASE RED COMERCIAL'!$A1246</f>
        <v>D3152</v>
      </c>
      <c r="B1248" s="8" t="str">
        <f>+'[1]BASE RED COMERCIAL'!$H1246</f>
        <v>CIUDAD DE LA PUNTA</v>
      </c>
      <c r="C1248" s="7" t="s">
        <v>33</v>
      </c>
      <c r="D1248" s="9" t="str">
        <f>+'[1]BASE RED COMERCIAL'!$E1246</f>
        <v>CALLE 9</v>
      </c>
      <c r="E1248" s="7">
        <f>+'[1]BASE RED COMERCIAL'!$F1246</f>
        <v>0</v>
      </c>
      <c r="F1248" s="14" t="str">
        <f>+'[1]BASE RED COMERCIAL'!$I1246</f>
        <v>D5710ZAA</v>
      </c>
      <c r="G1248" s="7" t="str">
        <f>+'[1]BASE RED COMERCIAL'!$D1246</f>
        <v>LA PUNTA</v>
      </c>
      <c r="H1248" s="7" t="str">
        <f>+'[1]BASE RED COMERCIAL'!$B1246</f>
        <v>SAN LUIS</v>
      </c>
      <c r="I1248" s="8" t="str">
        <f>+'[1]BASE RED COMERCIAL'!$C1246</f>
        <v>JUAN MARTIN DE PUEYRREDON</v>
      </c>
      <c r="J1248" s="10"/>
      <c r="K1248" s="10"/>
    </row>
    <row r="1249" spans="1:11" x14ac:dyDescent="0.25">
      <c r="A1249" s="14" t="str">
        <f>+'[1]BASE RED COMERCIAL'!$A1247</f>
        <v>Z0000</v>
      </c>
      <c r="B1249" s="8" t="str">
        <f>+'[1]BASE RED COMERCIAL'!$H1247</f>
        <v>RIO GALLEGOS</v>
      </c>
      <c r="C1249" s="7" t="s">
        <v>33</v>
      </c>
      <c r="D1249" s="9" t="str">
        <f>+'[1]BASE RED COMERCIAL'!$E1247</f>
        <v>AV PTE DR NESTOR C KIRCHNER</v>
      </c>
      <c r="E1249" s="7">
        <f>+'[1]BASE RED COMERCIAL'!$F1247</f>
        <v>893</v>
      </c>
      <c r="F1249" s="14" t="str">
        <f>+'[1]BASE RED COMERCIAL'!$I1247</f>
        <v>Z9400ZAA</v>
      </c>
      <c r="G1249" s="7" t="str">
        <f>+'[1]BASE RED COMERCIAL'!$D1247</f>
        <v>RIO GALLEGOS</v>
      </c>
      <c r="H1249" s="7" t="str">
        <f>+'[1]BASE RED COMERCIAL'!$B1247</f>
        <v>SANTA CRUZ</v>
      </c>
      <c r="I1249" s="8" t="str">
        <f>+'[1]BASE RED COMERCIAL'!$C1247</f>
        <v>GUER AIKE</v>
      </c>
      <c r="J1249" s="10"/>
      <c r="K1249" s="10"/>
    </row>
    <row r="1250" spans="1:11" x14ac:dyDescent="0.25">
      <c r="A1250" s="14" t="str">
        <f>+'[1]BASE RED COMERCIAL'!$A1248</f>
        <v>Z0001</v>
      </c>
      <c r="B1250" s="8" t="str">
        <f>+'[1]BASE RED COMERCIAL'!$H1248</f>
        <v>RIO GALLEGOS SUCURSAL 1</v>
      </c>
      <c r="C1250" s="7" t="s">
        <v>33</v>
      </c>
      <c r="D1250" s="9" t="str">
        <f>+'[1]BASE RED COMERCIAL'!$E1248</f>
        <v>MEXICO</v>
      </c>
      <c r="E1250" s="7">
        <f>+'[1]BASE RED COMERCIAL'!$F1248</f>
        <v>1501</v>
      </c>
      <c r="F1250" s="14" t="str">
        <f>+'[1]BASE RED COMERCIAL'!$I1248</f>
        <v>Z9400ZAB</v>
      </c>
      <c r="G1250" s="7" t="str">
        <f>+'[1]BASE RED COMERCIAL'!$D1248</f>
        <v>RIO GALLEGOS</v>
      </c>
      <c r="H1250" s="7" t="str">
        <f>+'[1]BASE RED COMERCIAL'!$B1248</f>
        <v>SANTA CRUZ</v>
      </c>
      <c r="I1250" s="8" t="str">
        <f>+'[1]BASE RED COMERCIAL'!$C1248</f>
        <v>GUER AIKE</v>
      </c>
      <c r="J1250" s="10"/>
      <c r="K1250" s="10"/>
    </row>
    <row r="1251" spans="1:11" x14ac:dyDescent="0.25">
      <c r="A1251" s="14" t="str">
        <f>+'[1]BASE RED COMERCIAL'!$A1249</f>
        <v>Z0002</v>
      </c>
      <c r="B1251" s="8" t="str">
        <f>+'[1]BASE RED COMERCIAL'!$H1249</f>
        <v>EL CALAFATE</v>
      </c>
      <c r="C1251" s="7" t="s">
        <v>33</v>
      </c>
      <c r="D1251" s="9" t="str">
        <f>+'[1]BASE RED COMERCIAL'!$E1249</f>
        <v>AV DEL LIB G SAN MARTIN</v>
      </c>
      <c r="E1251" s="7">
        <f>+'[1]BASE RED COMERCIAL'!$F1249</f>
        <v>1133</v>
      </c>
      <c r="F1251" s="14" t="str">
        <f>+'[1]BASE RED COMERCIAL'!$I1249</f>
        <v>Z9405ZAA</v>
      </c>
      <c r="G1251" s="7" t="str">
        <f>+'[1]BASE RED COMERCIAL'!$D1249</f>
        <v>EL CALAFATE</v>
      </c>
      <c r="H1251" s="7" t="str">
        <f>+'[1]BASE RED COMERCIAL'!$B1249</f>
        <v>SANTA CRUZ</v>
      </c>
      <c r="I1251" s="8" t="str">
        <f>+'[1]BASE RED COMERCIAL'!$C1249</f>
        <v>LAGO ARGENTINO</v>
      </c>
      <c r="J1251" s="10"/>
      <c r="K1251" s="10"/>
    </row>
    <row r="1252" spans="1:11" x14ac:dyDescent="0.25">
      <c r="A1252" s="14" t="str">
        <f>+'[1]BASE RED COMERCIAL'!$A1250</f>
        <v>Z0004</v>
      </c>
      <c r="B1252" s="8" t="str">
        <f>+'[1]BASE RED COMERCIAL'!$H1250</f>
        <v>CMTE. LUIS PIEDRABUENA</v>
      </c>
      <c r="C1252" s="7" t="s">
        <v>33</v>
      </c>
      <c r="D1252" s="9" t="str">
        <f>+'[1]BASE RED COMERCIAL'!$E1250</f>
        <v>AV JORGE IBAÃ‘EZ</v>
      </c>
      <c r="E1252" s="7">
        <f>+'[1]BASE RED COMERCIAL'!$F1250</f>
        <v>374</v>
      </c>
      <c r="F1252" s="14" t="str">
        <f>+'[1]BASE RED COMERCIAL'!$I1250</f>
        <v>Z9303ZAA</v>
      </c>
      <c r="G1252" s="7" t="str">
        <f>+'[1]BASE RED COMERCIAL'!$D1250</f>
        <v>COMANDANTE LUIS PIEDRABUENA</v>
      </c>
      <c r="H1252" s="7" t="str">
        <f>+'[1]BASE RED COMERCIAL'!$B1250</f>
        <v>SANTA CRUZ</v>
      </c>
      <c r="I1252" s="8" t="str">
        <f>+'[1]BASE RED COMERCIAL'!$C1250</f>
        <v>CORPEN AIKE</v>
      </c>
      <c r="J1252" s="10"/>
      <c r="K1252" s="10"/>
    </row>
    <row r="1253" spans="1:11" x14ac:dyDescent="0.25">
      <c r="A1253" s="14" t="str">
        <f>+'[1]BASE RED COMERCIAL'!$A1251</f>
        <v>Z0006</v>
      </c>
      <c r="B1253" s="8" t="str">
        <f>+'[1]BASE RED COMERCIAL'!$H1251</f>
        <v>GOBERNADOR GREGORES</v>
      </c>
      <c r="C1253" s="7" t="s">
        <v>33</v>
      </c>
      <c r="D1253" s="9" t="str">
        <f>+'[1]BASE RED COMERCIAL'!$E1251</f>
        <v>JUAN B ALBERDI</v>
      </c>
      <c r="E1253" s="7">
        <f>+'[1]BASE RED COMERCIAL'!$F1251</f>
        <v>490</v>
      </c>
      <c r="F1253" s="14" t="str">
        <f>+'[1]BASE RED COMERCIAL'!$I1251</f>
        <v>Z9311ZAA</v>
      </c>
      <c r="G1253" s="7" t="str">
        <f>+'[1]BASE RED COMERCIAL'!$D1251</f>
        <v>GOBERNADOR GREGORES</v>
      </c>
      <c r="H1253" s="7" t="str">
        <f>+'[1]BASE RED COMERCIAL'!$B1251</f>
        <v>SANTA CRUZ</v>
      </c>
      <c r="I1253" s="8" t="str">
        <f>+'[1]BASE RED COMERCIAL'!$C1251</f>
        <v>RIO CHICO</v>
      </c>
      <c r="J1253" s="10"/>
      <c r="K1253" s="10"/>
    </row>
    <row r="1254" spans="1:11" x14ac:dyDescent="0.25">
      <c r="A1254" s="14" t="str">
        <f>+'[1]BASE RED COMERCIAL'!$A1252</f>
        <v>Z0008</v>
      </c>
      <c r="B1254" s="8" t="str">
        <f>+'[1]BASE RED COMERCIAL'!$H1252</f>
        <v>PTO. SAN JULIAN</v>
      </c>
      <c r="C1254" s="7" t="s">
        <v>33</v>
      </c>
      <c r="D1254" s="9" t="str">
        <f>+'[1]BASE RED COMERCIAL'!$E1252</f>
        <v>AV GRAL SAN MARTIN</v>
      </c>
      <c r="E1254" s="7">
        <f>+'[1]BASE RED COMERCIAL'!$F1252</f>
        <v>155</v>
      </c>
      <c r="F1254" s="14" t="str">
        <f>+'[1]BASE RED COMERCIAL'!$I1252</f>
        <v>Z9310ZAA</v>
      </c>
      <c r="G1254" s="7" t="str">
        <f>+'[1]BASE RED COMERCIAL'!$D1252</f>
        <v>PUERTO SAN JULIAN</v>
      </c>
      <c r="H1254" s="7" t="str">
        <f>+'[1]BASE RED COMERCIAL'!$B1252</f>
        <v>SANTA CRUZ</v>
      </c>
      <c r="I1254" s="8" t="str">
        <f>+'[1]BASE RED COMERCIAL'!$C1252</f>
        <v>MAGALLANES</v>
      </c>
      <c r="J1254" s="10"/>
      <c r="K1254" s="10"/>
    </row>
    <row r="1255" spans="1:11" x14ac:dyDescent="0.25">
      <c r="A1255" s="14" t="str">
        <f>+'[1]BASE RED COMERCIAL'!$A1253</f>
        <v>Z0009</v>
      </c>
      <c r="B1255" s="8" t="str">
        <f>+'[1]BASE RED COMERCIAL'!$H1253</f>
        <v>CAÃ‘ADON SECO</v>
      </c>
      <c r="C1255" s="7" t="s">
        <v>33</v>
      </c>
      <c r="D1255" s="9" t="str">
        <f>+'[1]BASE RED COMERCIAL'!$E1253</f>
        <v>BARRANCAS</v>
      </c>
      <c r="E1255" s="7">
        <f>+'[1]BASE RED COMERCIAL'!$F1253</f>
        <v>201</v>
      </c>
      <c r="F1255" s="14" t="str">
        <f>+'[1]BASE RED COMERCIAL'!$I1253</f>
        <v>Z9013ZAA</v>
      </c>
      <c r="G1255" s="7" t="str">
        <f>+'[1]BASE RED COMERCIAL'!$D1253</f>
        <v>CAÃ‘ADON SECO</v>
      </c>
      <c r="H1255" s="7" t="str">
        <f>+'[1]BASE RED COMERCIAL'!$B1253</f>
        <v>SANTA CRUZ</v>
      </c>
      <c r="I1255" s="8" t="str">
        <f>+'[1]BASE RED COMERCIAL'!$C1253</f>
        <v>DESEADO</v>
      </c>
      <c r="J1255" s="10"/>
      <c r="K1255" s="10"/>
    </row>
    <row r="1256" spans="1:11" x14ac:dyDescent="0.25">
      <c r="A1256" s="14" t="str">
        <f>+'[1]BASE RED COMERCIAL'!$A1254</f>
        <v>Z0010</v>
      </c>
      <c r="B1256" s="8" t="str">
        <f>+'[1]BASE RED COMERCIAL'!$H1254</f>
        <v>PUERTO SANTA CRUZ</v>
      </c>
      <c r="C1256" s="7" t="s">
        <v>33</v>
      </c>
      <c r="D1256" s="9" t="str">
        <f>+'[1]BASE RED COMERCIAL'!$E1254</f>
        <v>DR MANUEL BELGRANO</v>
      </c>
      <c r="E1256" s="7">
        <f>+'[1]BASE RED COMERCIAL'!$F1254</f>
        <v>131</v>
      </c>
      <c r="F1256" s="14" t="str">
        <f>+'[1]BASE RED COMERCIAL'!$I1254</f>
        <v>Z9300ZAA</v>
      </c>
      <c r="G1256" s="7" t="str">
        <f>+'[1]BASE RED COMERCIAL'!$D1254</f>
        <v>PUERTO SANTA CRUZ</v>
      </c>
      <c r="H1256" s="7" t="str">
        <f>+'[1]BASE RED COMERCIAL'!$B1254</f>
        <v>SANTA CRUZ</v>
      </c>
      <c r="I1256" s="8" t="str">
        <f>+'[1]BASE RED COMERCIAL'!$C1254</f>
        <v>CORPEN AIKE</v>
      </c>
      <c r="J1256" s="10"/>
      <c r="K1256" s="10"/>
    </row>
    <row r="1257" spans="1:11" x14ac:dyDescent="0.25">
      <c r="A1257" s="14" t="str">
        <f>+'[1]BASE RED COMERCIAL'!$A1255</f>
        <v>Z0013</v>
      </c>
      <c r="B1257" s="8" t="str">
        <f>+'[1]BASE RED COMERCIAL'!$H1255</f>
        <v>CALETA OLIVIA</v>
      </c>
      <c r="C1257" s="7" t="s">
        <v>33</v>
      </c>
      <c r="D1257" s="9" t="str">
        <f>+'[1]BASE RED COMERCIAL'!$E1255</f>
        <v>PTE H YRIGOYEN</v>
      </c>
      <c r="E1257" s="7">
        <f>+'[1]BASE RED COMERCIAL'!$F1255</f>
        <v>194</v>
      </c>
      <c r="F1257" s="14" t="str">
        <f>+'[1]BASE RED COMERCIAL'!$I1255</f>
        <v>Z9011ZAA</v>
      </c>
      <c r="G1257" s="7" t="str">
        <f>+'[1]BASE RED COMERCIAL'!$D1255</f>
        <v>CALETA OLIVIA</v>
      </c>
      <c r="H1257" s="7" t="str">
        <f>+'[1]BASE RED COMERCIAL'!$B1255</f>
        <v>SANTA CRUZ</v>
      </c>
      <c r="I1257" s="8" t="str">
        <f>+'[1]BASE RED COMERCIAL'!$C1255</f>
        <v>DESEADO</v>
      </c>
      <c r="J1257" s="10"/>
      <c r="K1257" s="10"/>
    </row>
    <row r="1258" spans="1:11" x14ac:dyDescent="0.25">
      <c r="A1258" s="14" t="str">
        <f>+'[1]BASE RED COMERCIAL'!$A1256</f>
        <v>Z0016</v>
      </c>
      <c r="B1258" s="8" t="str">
        <f>+'[1]BASE RED COMERCIAL'!$H1256</f>
        <v>TRES LAGOS</v>
      </c>
      <c r="C1258" s="7" t="s">
        <v>33</v>
      </c>
      <c r="D1258" s="9" t="str">
        <f>+'[1]BASE RED COMERCIAL'!$E1256</f>
        <v>SAN MARTIN S N</v>
      </c>
      <c r="E1258" s="7">
        <f>+'[1]BASE RED COMERCIAL'!$F1256</f>
        <v>0</v>
      </c>
      <c r="F1258" s="14" t="str">
        <f>+'[1]BASE RED COMERCIAL'!$I1256</f>
        <v>Z9301ZAA</v>
      </c>
      <c r="G1258" s="7" t="str">
        <f>+'[1]BASE RED COMERCIAL'!$D1256</f>
        <v>TRES LAGOS</v>
      </c>
      <c r="H1258" s="7" t="str">
        <f>+'[1]BASE RED COMERCIAL'!$B1256</f>
        <v>SANTA CRUZ</v>
      </c>
      <c r="I1258" s="8" t="str">
        <f>+'[1]BASE RED COMERCIAL'!$C1256</f>
        <v>LAGO ARGENTINO</v>
      </c>
      <c r="J1258" s="10"/>
      <c r="K1258" s="10"/>
    </row>
    <row r="1259" spans="1:11" x14ac:dyDescent="0.25">
      <c r="A1259" s="14" t="str">
        <f>+'[1]BASE RED COMERCIAL'!$A1257</f>
        <v>Z0020</v>
      </c>
      <c r="B1259" s="8" t="str">
        <f>+'[1]BASE RED COMERCIAL'!$H1257</f>
        <v>RIO TURBIO</v>
      </c>
      <c r="C1259" s="7" t="s">
        <v>33</v>
      </c>
      <c r="D1259" s="9" t="str">
        <f>+'[1]BASE RED COMERCIAL'!$E1257</f>
        <v>AV DE LOS MINEROS</v>
      </c>
      <c r="E1259" s="7">
        <f>+'[1]BASE RED COMERCIAL'!$F1257</f>
        <v>494</v>
      </c>
      <c r="F1259" s="14" t="str">
        <f>+'[1]BASE RED COMERCIAL'!$I1257</f>
        <v>Z9407ZAA</v>
      </c>
      <c r="G1259" s="7" t="str">
        <f>+'[1]BASE RED COMERCIAL'!$D1257</f>
        <v>RIO TURBIO</v>
      </c>
      <c r="H1259" s="7" t="str">
        <f>+'[1]BASE RED COMERCIAL'!$B1257</f>
        <v>SANTA CRUZ</v>
      </c>
      <c r="I1259" s="8" t="str">
        <f>+'[1]BASE RED COMERCIAL'!$C1257</f>
        <v>GUER AIKE</v>
      </c>
      <c r="J1259" s="10"/>
      <c r="K1259" s="10"/>
    </row>
    <row r="1260" spans="1:11" x14ac:dyDescent="0.25">
      <c r="A1260" s="14" t="str">
        <f>+'[1]BASE RED COMERCIAL'!$A1258</f>
        <v>Z0022</v>
      </c>
      <c r="B1260" s="8" t="str">
        <f>+'[1]BASE RED COMERCIAL'!$H1258</f>
        <v>28 DE NOVIEMBRE</v>
      </c>
      <c r="C1260" s="7" t="s">
        <v>33</v>
      </c>
      <c r="D1260" s="9" t="str">
        <f>+'[1]BASE RED COMERCIAL'!$E1258</f>
        <v>AV TTE GRAL JUAN D PERON</v>
      </c>
      <c r="E1260" s="7">
        <f>+'[1]BASE RED COMERCIAL'!$F1258</f>
        <v>478</v>
      </c>
      <c r="F1260" s="14" t="str">
        <f>+'[1]BASE RED COMERCIAL'!$I1258</f>
        <v>Z9408ZAA</v>
      </c>
      <c r="G1260" s="7" t="str">
        <f>+'[1]BASE RED COMERCIAL'!$D1258</f>
        <v>28 DE NOVIEMBRE</v>
      </c>
      <c r="H1260" s="7" t="str">
        <f>+'[1]BASE RED COMERCIAL'!$B1258</f>
        <v>SANTA CRUZ</v>
      </c>
      <c r="I1260" s="8" t="str">
        <f>+'[1]BASE RED COMERCIAL'!$C1258</f>
        <v>GUER AIKE</v>
      </c>
      <c r="J1260" s="10"/>
      <c r="K1260" s="10"/>
    </row>
    <row r="1261" spans="1:11" x14ac:dyDescent="0.25">
      <c r="A1261" s="14" t="str">
        <f>+'[1]BASE RED COMERCIAL'!$A1259</f>
        <v>Z0024</v>
      </c>
      <c r="B1261" s="8" t="str">
        <f>+'[1]BASE RED COMERCIAL'!$H1259</f>
        <v>ROSPENTEK</v>
      </c>
      <c r="C1261" s="7" t="s">
        <v>33</v>
      </c>
      <c r="D1261" s="9" t="str">
        <f>+'[1]BASE RED COMERCIAL'!$E1259</f>
        <v>S/C</v>
      </c>
      <c r="E1261" s="7">
        <f>+'[1]BASE RED COMERCIAL'!$F1259</f>
        <v>0</v>
      </c>
      <c r="F1261" s="14" t="str">
        <f>+'[1]BASE RED COMERCIAL'!$I1259</f>
        <v>Z9398ZAA</v>
      </c>
      <c r="G1261" s="7" t="str">
        <f>+'[1]BASE RED COMERCIAL'!$D1259</f>
        <v>ROSPENTEK</v>
      </c>
      <c r="H1261" s="7" t="str">
        <f>+'[1]BASE RED COMERCIAL'!$B1259</f>
        <v>SANTA CRUZ</v>
      </c>
      <c r="I1261" s="8" t="str">
        <f>+'[1]BASE RED COMERCIAL'!$C1259</f>
        <v>GUER AIKE</v>
      </c>
      <c r="J1261" s="10"/>
      <c r="K1261" s="10"/>
    </row>
    <row r="1262" spans="1:11" x14ac:dyDescent="0.25">
      <c r="A1262" s="14" t="str">
        <f>+'[1]BASE RED COMERCIAL'!$A1260</f>
        <v>Z0041</v>
      </c>
      <c r="B1262" s="8" t="str">
        <f>+'[1]BASE RED COMERCIAL'!$H1260</f>
        <v>LAS HERAS</v>
      </c>
      <c r="C1262" s="7" t="s">
        <v>33</v>
      </c>
      <c r="D1262" s="9" t="str">
        <f>+'[1]BASE RED COMERCIAL'!$E1260</f>
        <v>SAN MARTIN</v>
      </c>
      <c r="E1262" s="7">
        <f>+'[1]BASE RED COMERCIAL'!$F1260</f>
        <v>300</v>
      </c>
      <c r="F1262" s="14" t="str">
        <f>+'[1]BASE RED COMERCIAL'!$I1260</f>
        <v>Z9017ZAA</v>
      </c>
      <c r="G1262" s="7" t="str">
        <f>+'[1]BASE RED COMERCIAL'!$D1260</f>
        <v>LAS HERAS</v>
      </c>
      <c r="H1262" s="7" t="str">
        <f>+'[1]BASE RED COMERCIAL'!$B1260</f>
        <v>SANTA CRUZ</v>
      </c>
      <c r="I1262" s="8" t="str">
        <f>+'[1]BASE RED COMERCIAL'!$C1260</f>
        <v>DESEADO</v>
      </c>
      <c r="J1262" s="10"/>
      <c r="K1262" s="10"/>
    </row>
    <row r="1263" spans="1:11" x14ac:dyDescent="0.25">
      <c r="A1263" s="14" t="str">
        <f>+'[1]BASE RED COMERCIAL'!$A1261</f>
        <v>Z0047</v>
      </c>
      <c r="B1263" s="8" t="str">
        <f>+'[1]BASE RED COMERCIAL'!$H1261</f>
        <v>LOS ANTIGUOS</v>
      </c>
      <c r="C1263" s="7" t="s">
        <v>33</v>
      </c>
      <c r="D1263" s="9" t="str">
        <f>+'[1]BASE RED COMERCIAL'!$E1261</f>
        <v>GDOR GREGORES</v>
      </c>
      <c r="E1263" s="7">
        <f>+'[1]BASE RED COMERCIAL'!$F1261</f>
        <v>19</v>
      </c>
      <c r="F1263" s="14" t="str">
        <f>+'[1]BASE RED COMERCIAL'!$I1261</f>
        <v>Z9041ZAA</v>
      </c>
      <c r="G1263" s="7" t="str">
        <f>+'[1]BASE RED COMERCIAL'!$D1261</f>
        <v>LOS ANTIGUOS</v>
      </c>
      <c r="H1263" s="7" t="str">
        <f>+'[1]BASE RED COMERCIAL'!$B1261</f>
        <v>SANTA CRUZ</v>
      </c>
      <c r="I1263" s="8" t="str">
        <f>+'[1]BASE RED COMERCIAL'!$C1261</f>
        <v>LAGO BUENOS AIRES</v>
      </c>
      <c r="J1263" s="10"/>
      <c r="K1263" s="10"/>
    </row>
    <row r="1264" spans="1:11" x14ac:dyDescent="0.25">
      <c r="A1264" s="14" t="str">
        <f>+'[1]BASE RED COMERCIAL'!$A1262</f>
        <v>Z0049</v>
      </c>
      <c r="B1264" s="8" t="str">
        <f>+'[1]BASE RED COMERCIAL'!$H1262</f>
        <v>PERITO MORENO</v>
      </c>
      <c r="C1264" s="7" t="s">
        <v>33</v>
      </c>
      <c r="D1264" s="9" t="str">
        <f>+'[1]BASE RED COMERCIAL'!$E1262</f>
        <v>AV JUAN D PERON</v>
      </c>
      <c r="E1264" s="7">
        <f>+'[1]BASE RED COMERCIAL'!$F1262</f>
        <v>1327</v>
      </c>
      <c r="F1264" s="14" t="str">
        <f>+'[1]BASE RED COMERCIAL'!$I1262</f>
        <v>Z9040ZAA</v>
      </c>
      <c r="G1264" s="7" t="str">
        <f>+'[1]BASE RED COMERCIAL'!$D1262</f>
        <v>PERITO MORENO</v>
      </c>
      <c r="H1264" s="7" t="str">
        <f>+'[1]BASE RED COMERCIAL'!$B1262</f>
        <v>SANTA CRUZ</v>
      </c>
      <c r="I1264" s="8" t="str">
        <f>+'[1]BASE RED COMERCIAL'!$C1262</f>
        <v>LAGO BUENOS AIRES</v>
      </c>
      <c r="J1264" s="10"/>
      <c r="K1264" s="10"/>
    </row>
    <row r="1265" spans="1:11" x14ac:dyDescent="0.25">
      <c r="A1265" s="14" t="str">
        <f>+'[1]BASE RED COMERCIAL'!$A1263</f>
        <v>Z0051</v>
      </c>
      <c r="B1265" s="8" t="str">
        <f>+'[1]BASE RED COMERCIAL'!$H1263</f>
        <v>PICO TRUNCADO</v>
      </c>
      <c r="C1265" s="7" t="s">
        <v>33</v>
      </c>
      <c r="D1265" s="9" t="str">
        <f>+'[1]BASE RED COMERCIAL'!$E1263</f>
        <v>AV B RIVADAVIA</v>
      </c>
      <c r="E1265" s="7">
        <f>+'[1]BASE RED COMERCIAL'!$F1263</f>
        <v>455</v>
      </c>
      <c r="F1265" s="14" t="str">
        <f>+'[1]BASE RED COMERCIAL'!$I1263</f>
        <v>Z9015ZAA</v>
      </c>
      <c r="G1265" s="7" t="str">
        <f>+'[1]BASE RED COMERCIAL'!$D1263</f>
        <v>PICO TRUNCADO</v>
      </c>
      <c r="H1265" s="7" t="str">
        <f>+'[1]BASE RED COMERCIAL'!$B1263</f>
        <v>SANTA CRUZ</v>
      </c>
      <c r="I1265" s="8" t="str">
        <f>+'[1]BASE RED COMERCIAL'!$C1263</f>
        <v>DESEADO</v>
      </c>
      <c r="J1265" s="10"/>
      <c r="K1265" s="10"/>
    </row>
    <row r="1266" spans="1:11" x14ac:dyDescent="0.25">
      <c r="A1266" s="14" t="str">
        <f>+'[1]BASE RED COMERCIAL'!$A1264</f>
        <v>Z0053</v>
      </c>
      <c r="B1266" s="8" t="str">
        <f>+'[1]BASE RED COMERCIAL'!$H1264</f>
        <v>PUERTO DESEADO</v>
      </c>
      <c r="C1266" s="7" t="s">
        <v>33</v>
      </c>
      <c r="D1266" s="9" t="str">
        <f>+'[1]BASE RED COMERCIAL'!$E1264</f>
        <v>GRAL SAN MARTIN</v>
      </c>
      <c r="E1266" s="7">
        <f>+'[1]BASE RED COMERCIAL'!$F1264</f>
        <v>1075</v>
      </c>
      <c r="F1266" s="14" t="str">
        <f>+'[1]BASE RED COMERCIAL'!$I1264</f>
        <v>Z9050ZAA</v>
      </c>
      <c r="G1266" s="7" t="str">
        <f>+'[1]BASE RED COMERCIAL'!$D1264</f>
        <v>PUERTO DESEADO</v>
      </c>
      <c r="H1266" s="7" t="str">
        <f>+'[1]BASE RED COMERCIAL'!$B1264</f>
        <v>SANTA CRUZ</v>
      </c>
      <c r="I1266" s="8" t="str">
        <f>+'[1]BASE RED COMERCIAL'!$C1264</f>
        <v>DESEADO</v>
      </c>
      <c r="J1266" s="10"/>
      <c r="K1266" s="10"/>
    </row>
    <row r="1267" spans="1:11" x14ac:dyDescent="0.25">
      <c r="A1267" s="14" t="str">
        <f>+'[1]BASE RED COMERCIAL'!$A1265</f>
        <v>Z1112</v>
      </c>
      <c r="B1267" s="8" t="str">
        <f>+'[1]BASE RED COMERCIAL'!$H1265</f>
        <v>EL CHALTEN</v>
      </c>
      <c r="C1267" s="7" t="s">
        <v>33</v>
      </c>
      <c r="D1267" s="9" t="str">
        <f>+'[1]BASE RED COMERCIAL'!$E1265</f>
        <v>ANDREA MADSEN</v>
      </c>
      <c r="E1267" s="7">
        <f>+'[1]BASE RED COMERCIAL'!$F1265</f>
        <v>22</v>
      </c>
      <c r="F1267" s="14" t="str">
        <f>+'[1]BASE RED COMERCIAL'!$I1265</f>
        <v>Z9301ZAB</v>
      </c>
      <c r="G1267" s="7" t="str">
        <f>+'[1]BASE RED COMERCIAL'!$D1265</f>
        <v>EL CHALTEN</v>
      </c>
      <c r="H1267" s="7" t="str">
        <f>+'[1]BASE RED COMERCIAL'!$B1265</f>
        <v>SANTA CRUZ</v>
      </c>
      <c r="I1267" s="8" t="str">
        <f>+'[1]BASE RED COMERCIAL'!$C1265</f>
        <v>LAGO ARGENTINO</v>
      </c>
      <c r="J1267" s="10"/>
      <c r="K1267" s="10"/>
    </row>
    <row r="1268" spans="1:11" x14ac:dyDescent="0.25">
      <c r="A1268" s="14" t="str">
        <f>+'[1]BASE RED COMERCIAL'!$A1266</f>
        <v>Z3110</v>
      </c>
      <c r="B1268" s="8" t="str">
        <f>+'[1]BASE RED COMERCIAL'!$H1266</f>
        <v>LAGO POSADAS</v>
      </c>
      <c r="C1268" s="7" t="s">
        <v>33</v>
      </c>
      <c r="D1268" s="9" t="str">
        <f>+'[1]BASE RED COMERCIAL'!$E1266</f>
        <v>AVDA. SAN MARTIN</v>
      </c>
      <c r="E1268" s="7">
        <f>+'[1]BASE RED COMERCIAL'!$F1266</f>
        <v>0</v>
      </c>
      <c r="F1268" s="14" t="str">
        <f>+'[1]BASE RED COMERCIAL'!$I1266</f>
        <v>Z9315ZAF</v>
      </c>
      <c r="G1268" s="7" t="str">
        <f>+'[1]BASE RED COMERCIAL'!$D1266</f>
        <v>H YRIGOYEN LAGO POSADAS</v>
      </c>
      <c r="H1268" s="7" t="str">
        <f>+'[1]BASE RED COMERCIAL'!$B1266</f>
        <v>SANTA CRUZ</v>
      </c>
      <c r="I1268" s="8" t="str">
        <f>+'[1]BASE RED COMERCIAL'!$C1266</f>
        <v>RIO CHICO</v>
      </c>
      <c r="J1268" s="10"/>
      <c r="K1268" s="10"/>
    </row>
    <row r="1269" spans="1:11" x14ac:dyDescent="0.25">
      <c r="A1269" s="14" t="str">
        <f>+'[1]BASE RED COMERCIAL'!$A1267</f>
        <v>S0000</v>
      </c>
      <c r="B1269" s="8" t="str">
        <f>+'[1]BASE RED COMERCIAL'!$H1267</f>
        <v>SANTA FE</v>
      </c>
      <c r="C1269" s="7" t="s">
        <v>33</v>
      </c>
      <c r="D1269" s="9" t="str">
        <f>+'[1]BASE RED COMERCIAL'!$E1267</f>
        <v>MENDOZA</v>
      </c>
      <c r="E1269" s="7">
        <f>+'[1]BASE RED COMERCIAL'!$F1267</f>
        <v>2430</v>
      </c>
      <c r="F1269" s="14" t="str">
        <f>+'[1]BASE RED COMERCIAL'!$I1267</f>
        <v>S3000ZAE</v>
      </c>
      <c r="G1269" s="7" t="str">
        <f>+'[1]BASE RED COMERCIAL'!$D1267</f>
        <v>SANTA FE</v>
      </c>
      <c r="H1269" s="7" t="str">
        <f>+'[1]BASE RED COMERCIAL'!$B1267</f>
        <v>SANTA FE</v>
      </c>
      <c r="I1269" s="8" t="str">
        <f>+'[1]BASE RED COMERCIAL'!$C1267</f>
        <v>LA CAPITAL</v>
      </c>
      <c r="J1269" s="10"/>
      <c r="K1269" s="10"/>
    </row>
    <row r="1270" spans="1:11" x14ac:dyDescent="0.25">
      <c r="A1270" s="14" t="str">
        <f>+'[1]BASE RED COMERCIAL'!$A1268</f>
        <v>S0001</v>
      </c>
      <c r="B1270" s="8" t="str">
        <f>+'[1]BASE RED COMERCIAL'!$H1268</f>
        <v>SUCURSAL 1</v>
      </c>
      <c r="C1270" s="7" t="s">
        <v>33</v>
      </c>
      <c r="D1270" s="9" t="str">
        <f>+'[1]BASE RED COMERCIAL'!$E1268</f>
        <v>GRAL SAN MARTIN</v>
      </c>
      <c r="E1270" s="7">
        <f>+'[1]BASE RED COMERCIAL'!$F1268</f>
        <v>1863</v>
      </c>
      <c r="F1270" s="14" t="str">
        <f>+'[1]BASE RED COMERCIAL'!$I1268</f>
        <v>S3000ZAF</v>
      </c>
      <c r="G1270" s="7" t="str">
        <f>+'[1]BASE RED COMERCIAL'!$D1268</f>
        <v>SANTA FE</v>
      </c>
      <c r="H1270" s="7" t="str">
        <f>+'[1]BASE RED COMERCIAL'!$B1268</f>
        <v>SANTA FE</v>
      </c>
      <c r="I1270" s="8" t="str">
        <f>+'[1]BASE RED COMERCIAL'!$C1268</f>
        <v>LA CAPITAL</v>
      </c>
      <c r="J1270" s="10"/>
      <c r="K1270" s="10"/>
    </row>
    <row r="1271" spans="1:11" x14ac:dyDescent="0.25">
      <c r="A1271" s="14" t="str">
        <f>+'[1]BASE RED COMERCIAL'!$A1269</f>
        <v>S0002</v>
      </c>
      <c r="B1271" s="8" t="str">
        <f>+'[1]BASE RED COMERCIAL'!$H1269</f>
        <v>SUCURSAL 2</v>
      </c>
      <c r="C1271" s="7" t="s">
        <v>33</v>
      </c>
      <c r="D1271" s="9" t="str">
        <f>+'[1]BASE RED COMERCIAL'!$E1269</f>
        <v>AARON CASTELLANOS</v>
      </c>
      <c r="E1271" s="7">
        <f>+'[1]BASE RED COMERCIAL'!$F1269</f>
        <v>1408</v>
      </c>
      <c r="F1271" s="14" t="str">
        <f>+'[1]BASE RED COMERCIAL'!$I1269</f>
        <v>S3002ZAA</v>
      </c>
      <c r="G1271" s="7" t="str">
        <f>+'[1]BASE RED COMERCIAL'!$D1269</f>
        <v>SANTA FE</v>
      </c>
      <c r="H1271" s="7" t="str">
        <f>+'[1]BASE RED COMERCIAL'!$B1269</f>
        <v>SANTA FE</v>
      </c>
      <c r="I1271" s="8" t="str">
        <f>+'[1]BASE RED COMERCIAL'!$C1269</f>
        <v>LA CAPITAL</v>
      </c>
      <c r="J1271" s="10"/>
      <c r="K1271" s="10"/>
    </row>
    <row r="1272" spans="1:11" x14ac:dyDescent="0.25">
      <c r="A1272" s="14" t="str">
        <f>+'[1]BASE RED COMERCIAL'!$A1270</f>
        <v>S0003</v>
      </c>
      <c r="B1272" s="8" t="str">
        <f>+'[1]BASE RED COMERCIAL'!$H1270</f>
        <v>SUCURSAL 3</v>
      </c>
      <c r="C1272" s="7" t="s">
        <v>33</v>
      </c>
      <c r="D1272" s="9" t="str">
        <f>+'[1]BASE RED COMERCIAL'!$E1270</f>
        <v>9 DE JULIO</v>
      </c>
      <c r="E1272" s="7">
        <f>+'[1]BASE RED COMERCIAL'!$F1270</f>
        <v>3501</v>
      </c>
      <c r="F1272" s="14" t="str">
        <f>+'[1]BASE RED COMERCIAL'!$I1270</f>
        <v>S3002ZAC</v>
      </c>
      <c r="G1272" s="7" t="str">
        <f>+'[1]BASE RED COMERCIAL'!$D1270</f>
        <v>SANTA FE</v>
      </c>
      <c r="H1272" s="7" t="str">
        <f>+'[1]BASE RED COMERCIAL'!$B1270</f>
        <v>SANTA FE</v>
      </c>
      <c r="I1272" s="8" t="str">
        <f>+'[1]BASE RED COMERCIAL'!$C1270</f>
        <v>LA CAPITAL</v>
      </c>
      <c r="J1272" s="10"/>
      <c r="K1272" s="10"/>
    </row>
    <row r="1273" spans="1:11" x14ac:dyDescent="0.25">
      <c r="A1273" s="14" t="str">
        <f>+'[1]BASE RED COMERCIAL'!$A1271</f>
        <v>S0004</v>
      </c>
      <c r="B1273" s="8" t="str">
        <f>+'[1]BASE RED COMERCIAL'!$H1271</f>
        <v>SUCURSAL 4</v>
      </c>
      <c r="C1273" s="7" t="s">
        <v>33</v>
      </c>
      <c r="D1273" s="9" t="str">
        <f>+'[1]BASE RED COMERCIAL'!$E1271</f>
        <v>PRES BERNARDINO RIVADAVIA</v>
      </c>
      <c r="E1273" s="7">
        <f>+'[1]BASE RED COMERCIAL'!$F1271</f>
        <v>2999</v>
      </c>
      <c r="F1273" s="14" t="str">
        <f>+'[1]BASE RED COMERCIAL'!$I1271</f>
        <v>S3000ZAC</v>
      </c>
      <c r="G1273" s="7" t="str">
        <f>+'[1]BASE RED COMERCIAL'!$D1271</f>
        <v>SANTA FE</v>
      </c>
      <c r="H1273" s="7" t="str">
        <f>+'[1]BASE RED COMERCIAL'!$B1271</f>
        <v>SANTA FE</v>
      </c>
      <c r="I1273" s="8" t="str">
        <f>+'[1]BASE RED COMERCIAL'!$C1271</f>
        <v>LA CAPITAL</v>
      </c>
      <c r="J1273" s="10"/>
      <c r="K1273" s="10"/>
    </row>
    <row r="1274" spans="1:11" x14ac:dyDescent="0.25">
      <c r="A1274" s="14" t="str">
        <f>+'[1]BASE RED COMERCIAL'!$A1272</f>
        <v>S0005</v>
      </c>
      <c r="B1274" s="8" t="str">
        <f>+'[1]BASE RED COMERCIAL'!$H1272</f>
        <v>SUCURSAL 5</v>
      </c>
      <c r="C1274" s="7" t="s">
        <v>33</v>
      </c>
      <c r="D1274" s="9" t="str">
        <f>+'[1]BASE RED COMERCIAL'!$E1272</f>
        <v>AV GRAL PAZ</v>
      </c>
      <c r="E1274" s="7">
        <f>+'[1]BASE RED COMERCIAL'!$F1272</f>
        <v>7276</v>
      </c>
      <c r="F1274" s="14" t="str">
        <f>+'[1]BASE RED COMERCIAL'!$I1272</f>
        <v>S3004ZAA</v>
      </c>
      <c r="G1274" s="7" t="str">
        <f>+'[1]BASE RED COMERCIAL'!$D1272</f>
        <v>SANTA FE</v>
      </c>
      <c r="H1274" s="7" t="str">
        <f>+'[1]BASE RED COMERCIAL'!$B1272</f>
        <v>SANTA FE</v>
      </c>
      <c r="I1274" s="8" t="str">
        <f>+'[1]BASE RED COMERCIAL'!$C1272</f>
        <v>LA CAPITAL</v>
      </c>
      <c r="J1274" s="10"/>
      <c r="K1274" s="10"/>
    </row>
    <row r="1275" spans="1:11" x14ac:dyDescent="0.25">
      <c r="A1275" s="14" t="str">
        <f>+'[1]BASE RED COMERCIAL'!$A1273</f>
        <v>S0006</v>
      </c>
      <c r="B1275" s="8" t="str">
        <f>+'[1]BASE RED COMERCIAL'!$H1273</f>
        <v>SUCURSAL 6</v>
      </c>
      <c r="C1275" s="7" t="s">
        <v>33</v>
      </c>
      <c r="D1275" s="9" t="str">
        <f>+'[1]BASE RED COMERCIAL'!$E1273</f>
        <v>GRAL PAZ</v>
      </c>
      <c r="E1275" s="7">
        <f>+'[1]BASE RED COMERCIAL'!$F1273</f>
        <v>5347</v>
      </c>
      <c r="F1275" s="14" t="str">
        <f>+'[1]BASE RED COMERCIAL'!$I1273</f>
        <v>S3002ZAD</v>
      </c>
      <c r="G1275" s="7" t="str">
        <f>+'[1]BASE RED COMERCIAL'!$D1273</f>
        <v>SANTA FE</v>
      </c>
      <c r="H1275" s="7" t="str">
        <f>+'[1]BASE RED COMERCIAL'!$B1273</f>
        <v>SANTA FE</v>
      </c>
      <c r="I1275" s="8" t="str">
        <f>+'[1]BASE RED COMERCIAL'!$C1273</f>
        <v>LA CAPITAL</v>
      </c>
      <c r="J1275" s="10"/>
      <c r="K1275" s="10"/>
    </row>
    <row r="1276" spans="1:11" x14ac:dyDescent="0.25">
      <c r="A1276" s="14" t="str">
        <f>+'[1]BASE RED COMERCIAL'!$A1274</f>
        <v>S0007</v>
      </c>
      <c r="B1276" s="8" t="str">
        <f>+'[1]BASE RED COMERCIAL'!$H1274</f>
        <v>SUCURSAL 7</v>
      </c>
      <c r="C1276" s="7" t="s">
        <v>33</v>
      </c>
      <c r="D1276" s="9" t="str">
        <f>+'[1]BASE RED COMERCIAL'!$E1274</f>
        <v>AV PROF ARISTOBULO DEL VALLE</v>
      </c>
      <c r="E1276" s="7">
        <f>+'[1]BASE RED COMERCIAL'!$F1274</f>
        <v>6855</v>
      </c>
      <c r="F1276" s="14" t="str">
        <f>+'[1]BASE RED COMERCIAL'!$I1274</f>
        <v>S3004ZAB</v>
      </c>
      <c r="G1276" s="7" t="str">
        <f>+'[1]BASE RED COMERCIAL'!$D1274</f>
        <v>SANTA FE</v>
      </c>
      <c r="H1276" s="7" t="str">
        <f>+'[1]BASE RED COMERCIAL'!$B1274</f>
        <v>SANTA FE</v>
      </c>
      <c r="I1276" s="8" t="str">
        <f>+'[1]BASE RED COMERCIAL'!$C1274</f>
        <v>LA CAPITAL</v>
      </c>
      <c r="J1276" s="10"/>
      <c r="K1276" s="10"/>
    </row>
    <row r="1277" spans="1:11" x14ac:dyDescent="0.25">
      <c r="A1277" s="14" t="str">
        <f>+'[1]BASE RED COMERCIAL'!$A1275</f>
        <v>S0008</v>
      </c>
      <c r="B1277" s="8" t="str">
        <f>+'[1]BASE RED COMERCIAL'!$H1275</f>
        <v>SUCURSAL 8</v>
      </c>
      <c r="C1277" s="7" t="s">
        <v>33</v>
      </c>
      <c r="D1277" s="9" t="str">
        <f>+'[1]BASE RED COMERCIAL'!$E1275</f>
        <v>GRAL GREGORIO DE LAMADRID</v>
      </c>
      <c r="E1277" s="7">
        <f>+'[1]BASE RED COMERCIAL'!$F1275</f>
        <v>7699</v>
      </c>
      <c r="F1277" s="14" t="str">
        <f>+'[1]BASE RED COMERCIAL'!$I1275</f>
        <v>S3006ZAA</v>
      </c>
      <c r="G1277" s="7" t="str">
        <f>+'[1]BASE RED COMERCIAL'!$D1275</f>
        <v>SANTA FE</v>
      </c>
      <c r="H1277" s="7" t="str">
        <f>+'[1]BASE RED COMERCIAL'!$B1275</f>
        <v>SANTA FE</v>
      </c>
      <c r="I1277" s="8" t="str">
        <f>+'[1]BASE RED COMERCIAL'!$C1275</f>
        <v>LA CAPITAL</v>
      </c>
      <c r="J1277" s="10"/>
      <c r="K1277" s="10"/>
    </row>
    <row r="1278" spans="1:11" x14ac:dyDescent="0.25">
      <c r="A1278" s="14" t="str">
        <f>+'[1]BASE RED COMERCIAL'!$A1276</f>
        <v>S0010</v>
      </c>
      <c r="B1278" s="8" t="str">
        <f>+'[1]BASE RED COMERCIAL'!$H1276</f>
        <v>ALEJANDRA</v>
      </c>
      <c r="C1278" s="7" t="s">
        <v>33</v>
      </c>
      <c r="D1278" s="9" t="str">
        <f>+'[1]BASE RED COMERCIAL'!$E1276</f>
        <v>AV SAN MARTIN</v>
      </c>
      <c r="E1278" s="7">
        <f>+'[1]BASE RED COMERCIAL'!$F1276</f>
        <v>1405</v>
      </c>
      <c r="F1278" s="14" t="str">
        <f>+'[1]BASE RED COMERCIAL'!$I1276</f>
        <v>S3051ZAA</v>
      </c>
      <c r="G1278" s="7" t="str">
        <f>+'[1]BASE RED COMERCIAL'!$D1276</f>
        <v>ALEJANDRA</v>
      </c>
      <c r="H1278" s="7" t="str">
        <f>+'[1]BASE RED COMERCIAL'!$B1276</f>
        <v>SANTA FE</v>
      </c>
      <c r="I1278" s="8" t="str">
        <f>+'[1]BASE RED COMERCIAL'!$C1276</f>
        <v>SAN JAVIER</v>
      </c>
      <c r="J1278" s="10"/>
      <c r="K1278" s="10"/>
    </row>
    <row r="1279" spans="1:11" x14ac:dyDescent="0.25">
      <c r="A1279" s="14" t="str">
        <f>+'[1]BASE RED COMERCIAL'!$A1277</f>
        <v>S0011</v>
      </c>
      <c r="B1279" s="8" t="str">
        <f>+'[1]BASE RED COMERCIAL'!$H1277</f>
        <v>ANGELICA</v>
      </c>
      <c r="C1279" s="7" t="s">
        <v>33</v>
      </c>
      <c r="D1279" s="9" t="str">
        <f>+'[1]BASE RED COMERCIAL'!$E1277</f>
        <v>DR LISANDRO DE LA TORRE</v>
      </c>
      <c r="E1279" s="7">
        <f>+'[1]BASE RED COMERCIAL'!$F1277</f>
        <v>348</v>
      </c>
      <c r="F1279" s="14" t="str">
        <f>+'[1]BASE RED COMERCIAL'!$I1277</f>
        <v>S2303ZAA</v>
      </c>
      <c r="G1279" s="7" t="str">
        <f>+'[1]BASE RED COMERCIAL'!$D1277</f>
        <v>ANGELICA</v>
      </c>
      <c r="H1279" s="7" t="str">
        <f>+'[1]BASE RED COMERCIAL'!$B1277</f>
        <v>SANTA FE</v>
      </c>
      <c r="I1279" s="8" t="str">
        <f>+'[1]BASE RED COMERCIAL'!$C1277</f>
        <v>CASTELLANOS</v>
      </c>
      <c r="J1279" s="10"/>
      <c r="K1279" s="10"/>
    </row>
    <row r="1280" spans="1:11" x14ac:dyDescent="0.25">
      <c r="A1280" s="14" t="str">
        <f>+'[1]BASE RED COMERCIAL'!$A1278</f>
        <v>S0012</v>
      </c>
      <c r="B1280" s="8" t="str">
        <f>+'[1]BASE RED COMERCIAL'!$H1278</f>
        <v>AROCENA</v>
      </c>
      <c r="C1280" s="7" t="s">
        <v>33</v>
      </c>
      <c r="D1280" s="9" t="str">
        <f>+'[1]BASE RED COMERCIAL'!$E1278</f>
        <v>DR ROVERE</v>
      </c>
      <c r="E1280" s="7">
        <f>+'[1]BASE RED COMERCIAL'!$F1278</f>
        <v>380</v>
      </c>
      <c r="F1280" s="14" t="str">
        <f>+'[1]BASE RED COMERCIAL'!$I1278</f>
        <v>S2242ZAA</v>
      </c>
      <c r="G1280" s="7" t="str">
        <f>+'[1]BASE RED COMERCIAL'!$D1278</f>
        <v>AROCENA</v>
      </c>
      <c r="H1280" s="7" t="str">
        <f>+'[1]BASE RED COMERCIAL'!$B1278</f>
        <v>SANTA FE</v>
      </c>
      <c r="I1280" s="8" t="str">
        <f>+'[1]BASE RED COMERCIAL'!$C1278</f>
        <v>SAN JERONIMO</v>
      </c>
      <c r="J1280" s="10"/>
      <c r="K1280" s="10"/>
    </row>
    <row r="1281" spans="1:11" x14ac:dyDescent="0.25">
      <c r="A1281" s="14" t="str">
        <f>+'[1]BASE RED COMERCIAL'!$A1279</f>
        <v>S0013</v>
      </c>
      <c r="B1281" s="8" t="str">
        <f>+'[1]BASE RED COMERCIAL'!$H1279</f>
        <v>ARRUFO</v>
      </c>
      <c r="C1281" s="7" t="s">
        <v>33</v>
      </c>
      <c r="D1281" s="9" t="str">
        <f>+'[1]BASE RED COMERCIAL'!$E1279</f>
        <v>GRAL SAN MARTIN</v>
      </c>
      <c r="E1281" s="7">
        <f>+'[1]BASE RED COMERCIAL'!$F1279</f>
        <v>151</v>
      </c>
      <c r="F1281" s="14" t="str">
        <f>+'[1]BASE RED COMERCIAL'!$I1279</f>
        <v>S2344ZAA</v>
      </c>
      <c r="G1281" s="7" t="str">
        <f>+'[1]BASE RED COMERCIAL'!$D1279</f>
        <v>ARRUFO</v>
      </c>
      <c r="H1281" s="7" t="str">
        <f>+'[1]BASE RED COMERCIAL'!$B1279</f>
        <v>SANTA FE</v>
      </c>
      <c r="I1281" s="8" t="str">
        <f>+'[1]BASE RED COMERCIAL'!$C1279</f>
        <v>SAN CRISTOBAL</v>
      </c>
      <c r="J1281" s="10"/>
      <c r="K1281" s="10"/>
    </row>
    <row r="1282" spans="1:11" x14ac:dyDescent="0.25">
      <c r="A1282" s="14" t="str">
        <f>+'[1]BASE RED COMERCIAL'!$A1280</f>
        <v>S0014</v>
      </c>
      <c r="B1282" s="8" t="str">
        <f>+'[1]BASE RED COMERCIAL'!$H1280</f>
        <v>ATALIVA</v>
      </c>
      <c r="C1282" s="7" t="s">
        <v>33</v>
      </c>
      <c r="D1282" s="9" t="str">
        <f>+'[1]BASE RED COMERCIAL'!$E1280</f>
        <v>MORENO</v>
      </c>
      <c r="E1282" s="7">
        <f>+'[1]BASE RED COMERCIAL'!$F1280</f>
        <v>98</v>
      </c>
      <c r="F1282" s="14" t="str">
        <f>+'[1]BASE RED COMERCIAL'!$I1280</f>
        <v>S2307ZAB</v>
      </c>
      <c r="G1282" s="7" t="str">
        <f>+'[1]BASE RED COMERCIAL'!$D1280</f>
        <v>ATALIVA</v>
      </c>
      <c r="H1282" s="7" t="str">
        <f>+'[1]BASE RED COMERCIAL'!$B1280</f>
        <v>SANTA FE</v>
      </c>
      <c r="I1282" s="8" t="str">
        <f>+'[1]BASE RED COMERCIAL'!$C1280</f>
        <v>CASTELLANOS</v>
      </c>
      <c r="J1282" s="10"/>
      <c r="K1282" s="10"/>
    </row>
    <row r="1283" spans="1:11" x14ac:dyDescent="0.25">
      <c r="A1283" s="14" t="str">
        <f>+'[1]BASE RED COMERCIAL'!$A1281</f>
        <v>S0015</v>
      </c>
      <c r="B1283" s="8" t="str">
        <f>+'[1]BASE RED COMERCIAL'!$H1281</f>
        <v>AVELLANEDA</v>
      </c>
      <c r="C1283" s="7" t="s">
        <v>33</v>
      </c>
      <c r="D1283" s="9" t="str">
        <f>+'[1]BASE RED COMERCIAL'!$E1281</f>
        <v>CALLE 12</v>
      </c>
      <c r="E1283" s="7">
        <f>+'[1]BASE RED COMERCIAL'!$F1281</f>
        <v>692</v>
      </c>
      <c r="F1283" s="14" t="str">
        <f>+'[1]BASE RED COMERCIAL'!$I1281</f>
        <v>S3561ZAA</v>
      </c>
      <c r="G1283" s="7" t="str">
        <f>+'[1]BASE RED COMERCIAL'!$D1281</f>
        <v>AVELLANEDA</v>
      </c>
      <c r="H1283" s="7" t="str">
        <f>+'[1]BASE RED COMERCIAL'!$B1281</f>
        <v>SANTA FE</v>
      </c>
      <c r="I1283" s="8" t="str">
        <f>+'[1]BASE RED COMERCIAL'!$C1281</f>
        <v>GENERAL OBLIGADO</v>
      </c>
      <c r="J1283" s="10"/>
      <c r="K1283" s="10"/>
    </row>
    <row r="1284" spans="1:11" x14ac:dyDescent="0.25">
      <c r="A1284" s="14" t="str">
        <f>+'[1]BASE RED COMERCIAL'!$A1282</f>
        <v>S0016</v>
      </c>
      <c r="B1284" s="8" t="str">
        <f>+'[1]BASE RED COMERCIAL'!$H1282</f>
        <v>BARRANCAS</v>
      </c>
      <c r="C1284" s="7" t="s">
        <v>33</v>
      </c>
      <c r="D1284" s="9" t="str">
        <f>+'[1]BASE RED COMERCIAL'!$E1282</f>
        <v>LISANDRO DE LA TORRE</v>
      </c>
      <c r="E1284" s="7">
        <f>+'[1]BASE RED COMERCIAL'!$F1282</f>
        <v>131</v>
      </c>
      <c r="F1284" s="14" t="str">
        <f>+'[1]BASE RED COMERCIAL'!$I1282</f>
        <v>S2246ZAA</v>
      </c>
      <c r="G1284" s="7" t="str">
        <f>+'[1]BASE RED COMERCIAL'!$D1282</f>
        <v>BARRANCAS</v>
      </c>
      <c r="H1284" s="7" t="str">
        <f>+'[1]BASE RED COMERCIAL'!$B1282</f>
        <v>SANTA FE</v>
      </c>
      <c r="I1284" s="8" t="str">
        <f>+'[1]BASE RED COMERCIAL'!$C1282</f>
        <v>SAN JERONIMO</v>
      </c>
      <c r="J1284" s="10"/>
      <c r="K1284" s="10"/>
    </row>
    <row r="1285" spans="1:11" x14ac:dyDescent="0.25">
      <c r="A1285" s="14" t="str">
        <f>+'[1]BASE RED COMERCIAL'!$A1283</f>
        <v>S0017</v>
      </c>
      <c r="B1285" s="8" t="str">
        <f>+'[1]BASE RED COMERCIAL'!$H1283</f>
        <v>BDO. DE IRIGOYEN</v>
      </c>
      <c r="C1285" s="7" t="s">
        <v>33</v>
      </c>
      <c r="D1285" s="9" t="str">
        <f>+'[1]BASE RED COMERCIAL'!$E1283</f>
        <v>ROSARIO</v>
      </c>
      <c r="E1285" s="7">
        <f>+'[1]BASE RED COMERCIAL'!$F1283</f>
        <v>227</v>
      </c>
      <c r="F1285" s="14" t="str">
        <f>+'[1]BASE RED COMERCIAL'!$I1283</f>
        <v>S2248ZAA</v>
      </c>
      <c r="G1285" s="7" t="str">
        <f>+'[1]BASE RED COMERCIAL'!$D1283</f>
        <v>BERNARDO DE IRIGOYEN</v>
      </c>
      <c r="H1285" s="7" t="str">
        <f>+'[1]BASE RED COMERCIAL'!$B1283</f>
        <v>SANTA FE</v>
      </c>
      <c r="I1285" s="8" t="str">
        <f>+'[1]BASE RED COMERCIAL'!$C1283</f>
        <v>SAN JERONIMO</v>
      </c>
      <c r="J1285" s="10"/>
      <c r="K1285" s="10"/>
    </row>
    <row r="1286" spans="1:11" x14ac:dyDescent="0.25">
      <c r="A1286" s="14" t="str">
        <f>+'[1]BASE RED COMERCIAL'!$A1284</f>
        <v>S0018</v>
      </c>
      <c r="B1286" s="8" t="str">
        <f>+'[1]BASE RED COMERCIAL'!$H1284</f>
        <v>CENTENO</v>
      </c>
      <c r="C1286" s="7" t="s">
        <v>33</v>
      </c>
      <c r="D1286" s="9" t="str">
        <f>+'[1]BASE RED COMERCIAL'!$E1284</f>
        <v>ENTRE RIOS</v>
      </c>
      <c r="E1286" s="7">
        <f>+'[1]BASE RED COMERCIAL'!$F1284</f>
        <v>1098</v>
      </c>
      <c r="F1286" s="14" t="str">
        <f>+'[1]BASE RED COMERCIAL'!$I1284</f>
        <v>S2148ZAA</v>
      </c>
      <c r="G1286" s="7" t="str">
        <f>+'[1]BASE RED COMERCIAL'!$D1284</f>
        <v>CENTENO</v>
      </c>
      <c r="H1286" s="7" t="str">
        <f>+'[1]BASE RED COMERCIAL'!$B1284</f>
        <v>SANTA FE</v>
      </c>
      <c r="I1286" s="8" t="str">
        <f>+'[1]BASE RED COMERCIAL'!$C1284</f>
        <v>SAN JERONIMO</v>
      </c>
      <c r="J1286" s="10"/>
      <c r="K1286" s="10"/>
    </row>
    <row r="1287" spans="1:11" x14ac:dyDescent="0.25">
      <c r="A1287" s="14" t="str">
        <f>+'[1]BASE RED COMERCIAL'!$A1285</f>
        <v>S0020</v>
      </c>
      <c r="B1287" s="8" t="str">
        <f>+'[1]BASE RED COMERCIAL'!$H1285</f>
        <v>CALCHAQUI</v>
      </c>
      <c r="C1287" s="7" t="s">
        <v>33</v>
      </c>
      <c r="D1287" s="9" t="str">
        <f>+'[1]BASE RED COMERCIAL'!$E1285</f>
        <v>GRAL M BELGRANO</v>
      </c>
      <c r="E1287" s="7">
        <f>+'[1]BASE RED COMERCIAL'!$F1285</f>
        <v>512</v>
      </c>
      <c r="F1287" s="14" t="str">
        <f>+'[1]BASE RED COMERCIAL'!$I1285</f>
        <v>S3050ZAA</v>
      </c>
      <c r="G1287" s="7" t="str">
        <f>+'[1]BASE RED COMERCIAL'!$D1285</f>
        <v>CALCHAQUI</v>
      </c>
      <c r="H1287" s="7" t="str">
        <f>+'[1]BASE RED COMERCIAL'!$B1285</f>
        <v>SANTA FE</v>
      </c>
      <c r="I1287" s="8" t="str">
        <f>+'[1]BASE RED COMERCIAL'!$C1285</f>
        <v>VERA</v>
      </c>
      <c r="J1287" s="10"/>
      <c r="K1287" s="10"/>
    </row>
    <row r="1288" spans="1:11" x14ac:dyDescent="0.25">
      <c r="A1288" s="14" t="str">
        <f>+'[1]BASE RED COMERCIAL'!$A1286</f>
        <v>S0022</v>
      </c>
      <c r="B1288" s="8" t="str">
        <f>+'[1]BASE RED COMERCIAL'!$H1286</f>
        <v>CAYASTA</v>
      </c>
      <c r="C1288" s="7" t="s">
        <v>33</v>
      </c>
      <c r="D1288" s="9" t="str">
        <f>+'[1]BASE RED COMERCIAL'!$E1286</f>
        <v>JUAN DE GARAY</v>
      </c>
      <c r="E1288" s="7">
        <f>+'[1]BASE RED COMERCIAL'!$F1286</f>
        <v>0</v>
      </c>
      <c r="F1288" s="14" t="str">
        <f>+'[1]BASE RED COMERCIAL'!$I1286</f>
        <v>S3001ZAA</v>
      </c>
      <c r="G1288" s="7" t="str">
        <f>+'[1]BASE RED COMERCIAL'!$D1286</f>
        <v>CAYASTA</v>
      </c>
      <c r="H1288" s="7" t="str">
        <f>+'[1]BASE RED COMERCIAL'!$B1286</f>
        <v>SANTA FE</v>
      </c>
      <c r="I1288" s="8" t="str">
        <f>+'[1]BASE RED COMERCIAL'!$C1286</f>
        <v>GARAY</v>
      </c>
      <c r="J1288" s="10"/>
      <c r="K1288" s="10"/>
    </row>
    <row r="1289" spans="1:11" x14ac:dyDescent="0.25">
      <c r="A1289" s="14" t="str">
        <f>+'[1]BASE RED COMERCIAL'!$A1287</f>
        <v>S0024</v>
      </c>
      <c r="B1289" s="8" t="str">
        <f>+'[1]BASE RED COMERCIAL'!$H1287</f>
        <v>CERES</v>
      </c>
      <c r="C1289" s="7" t="s">
        <v>33</v>
      </c>
      <c r="D1289" s="9" t="str">
        <f>+'[1]BASE RED COMERCIAL'!$E1287</f>
        <v>L N ALEM</v>
      </c>
      <c r="E1289" s="7">
        <f>+'[1]BASE RED COMERCIAL'!$F1287</f>
        <v>146</v>
      </c>
      <c r="F1289" s="14" t="str">
        <f>+'[1]BASE RED COMERCIAL'!$I1287</f>
        <v>S2340ZAA</v>
      </c>
      <c r="G1289" s="7" t="str">
        <f>+'[1]BASE RED COMERCIAL'!$D1287</f>
        <v>CERES</v>
      </c>
      <c r="H1289" s="7" t="str">
        <f>+'[1]BASE RED COMERCIAL'!$B1287</f>
        <v>SANTA FE</v>
      </c>
      <c r="I1289" s="8" t="str">
        <f>+'[1]BASE RED COMERCIAL'!$C1287</f>
        <v>SAN CRISTOBAL</v>
      </c>
      <c r="J1289" s="10"/>
      <c r="K1289" s="10"/>
    </row>
    <row r="1290" spans="1:11" x14ac:dyDescent="0.25">
      <c r="A1290" s="14" t="str">
        <f>+'[1]BASE RED COMERCIAL'!$A1288</f>
        <v>S0026</v>
      </c>
      <c r="B1290" s="8" t="str">
        <f>+'[1]BASE RED COMERCIAL'!$H1288</f>
        <v>CLUCELLAS</v>
      </c>
      <c r="C1290" s="7" t="s">
        <v>33</v>
      </c>
      <c r="D1290" s="9" t="str">
        <f>+'[1]BASE RED COMERCIAL'!$E1288</f>
        <v>BONINI</v>
      </c>
      <c r="E1290" s="7">
        <f>+'[1]BASE RED COMERCIAL'!$F1288</f>
        <v>100</v>
      </c>
      <c r="F1290" s="14" t="str">
        <f>+'[1]BASE RED COMERCIAL'!$I1288</f>
        <v>S2407ZAA</v>
      </c>
      <c r="G1290" s="7" t="str">
        <f>+'[1]BASE RED COMERCIAL'!$D1288</f>
        <v>PLAZA CLUCELLAS</v>
      </c>
      <c r="H1290" s="7" t="str">
        <f>+'[1]BASE RED COMERCIAL'!$B1288</f>
        <v>SANTA FE</v>
      </c>
      <c r="I1290" s="8" t="str">
        <f>+'[1]BASE RED COMERCIAL'!$C1288</f>
        <v>CASTELLANOS</v>
      </c>
      <c r="J1290" s="10"/>
      <c r="K1290" s="10"/>
    </row>
    <row r="1291" spans="1:11" x14ac:dyDescent="0.25">
      <c r="A1291" s="14" t="str">
        <f>+'[1]BASE RED COMERCIAL'!$A1289</f>
        <v>S0028</v>
      </c>
      <c r="B1291" s="8" t="str">
        <f>+'[1]BASE RED COMERCIAL'!$H1289</f>
        <v>COLONIA BELGRANO</v>
      </c>
      <c r="C1291" s="7" t="s">
        <v>33</v>
      </c>
      <c r="D1291" s="9" t="str">
        <f>+'[1]BASE RED COMERCIAL'!$E1289</f>
        <v>DOMINGO SARMIENTO</v>
      </c>
      <c r="E1291" s="7">
        <f>+'[1]BASE RED COMERCIAL'!$F1289</f>
        <v>968</v>
      </c>
      <c r="F1291" s="14" t="str">
        <f>+'[1]BASE RED COMERCIAL'!$I1289</f>
        <v>S2257ZAA</v>
      </c>
      <c r="G1291" s="7" t="str">
        <f>+'[1]BASE RED COMERCIAL'!$D1289</f>
        <v>COLONIA BELGRANO</v>
      </c>
      <c r="H1291" s="7" t="str">
        <f>+'[1]BASE RED COMERCIAL'!$B1289</f>
        <v>SANTA FE</v>
      </c>
      <c r="I1291" s="8" t="str">
        <f>+'[1]BASE RED COMERCIAL'!$C1289</f>
        <v>SAN MARTIN</v>
      </c>
      <c r="J1291" s="10"/>
      <c r="K1291" s="10"/>
    </row>
    <row r="1292" spans="1:11" x14ac:dyDescent="0.25">
      <c r="A1292" s="14" t="str">
        <f>+'[1]BASE RED COMERCIAL'!$A1290</f>
        <v>S0030</v>
      </c>
      <c r="B1292" s="8" t="str">
        <f>+'[1]BASE RED COMERCIAL'!$H1290</f>
        <v>CORONDA</v>
      </c>
      <c r="C1292" s="7" t="s">
        <v>33</v>
      </c>
      <c r="D1292" s="9" t="str">
        <f>+'[1]BASE RED COMERCIAL'!$E1290</f>
        <v>JUAN DE GARAY</v>
      </c>
      <c r="E1292" s="7">
        <f>+'[1]BASE RED COMERCIAL'!$F1290</f>
        <v>1657</v>
      </c>
      <c r="F1292" s="14" t="str">
        <f>+'[1]BASE RED COMERCIAL'!$I1290</f>
        <v>S2240ZAA</v>
      </c>
      <c r="G1292" s="7" t="str">
        <f>+'[1]BASE RED COMERCIAL'!$D1290</f>
        <v>CORONDA</v>
      </c>
      <c r="H1292" s="7" t="str">
        <f>+'[1]BASE RED COMERCIAL'!$B1290</f>
        <v>SANTA FE</v>
      </c>
      <c r="I1292" s="8" t="str">
        <f>+'[1]BASE RED COMERCIAL'!$C1290</f>
        <v>SAN JERONIMO</v>
      </c>
      <c r="J1292" s="10"/>
      <c r="K1292" s="10"/>
    </row>
    <row r="1293" spans="1:11" x14ac:dyDescent="0.25">
      <c r="A1293" s="14" t="str">
        <f>+'[1]BASE RED COMERCIAL'!$A1291</f>
        <v>S0032</v>
      </c>
      <c r="B1293" s="8" t="str">
        <f>+'[1]BASE RED COMERCIAL'!$H1291</f>
        <v>CAÃ‘ADA ROSQUIN</v>
      </c>
      <c r="C1293" s="7" t="s">
        <v>33</v>
      </c>
      <c r="D1293" s="9" t="str">
        <f>+'[1]BASE RED COMERCIAL'!$E1291</f>
        <v>SARMIENTO</v>
      </c>
      <c r="E1293" s="7">
        <f>+'[1]BASE RED COMERCIAL'!$F1291</f>
        <v>799</v>
      </c>
      <c r="F1293" s="14" t="str">
        <f>+'[1]BASE RED COMERCIAL'!$I1291</f>
        <v>S2454ZAA</v>
      </c>
      <c r="G1293" s="7" t="str">
        <f>+'[1]BASE RED COMERCIAL'!$D1291</f>
        <v>CAÃ‘ADA ROSQUIN</v>
      </c>
      <c r="H1293" s="7" t="str">
        <f>+'[1]BASE RED COMERCIAL'!$B1291</f>
        <v>SANTA FE</v>
      </c>
      <c r="I1293" s="8" t="str">
        <f>+'[1]BASE RED COMERCIAL'!$C1291</f>
        <v>SAN MARTIN</v>
      </c>
      <c r="J1293" s="10"/>
      <c r="K1293" s="10"/>
    </row>
    <row r="1294" spans="1:11" x14ac:dyDescent="0.25">
      <c r="A1294" s="14" t="str">
        <f>+'[1]BASE RED COMERCIAL'!$A1292</f>
        <v>S0034</v>
      </c>
      <c r="B1294" s="8" t="str">
        <f>+'[1]BASE RED COMERCIAL'!$H1292</f>
        <v>CARLOS PELLEGRINI</v>
      </c>
      <c r="C1294" s="7" t="s">
        <v>33</v>
      </c>
      <c r="D1294" s="9" t="str">
        <f>+'[1]BASE RED COMERCIAL'!$E1292</f>
        <v>9 DE JULIO</v>
      </c>
      <c r="E1294" s="7">
        <f>+'[1]BASE RED COMERCIAL'!$F1292</f>
        <v>175</v>
      </c>
      <c r="F1294" s="14" t="str">
        <f>+'[1]BASE RED COMERCIAL'!$I1292</f>
        <v>S2453ZAA</v>
      </c>
      <c r="G1294" s="7" t="str">
        <f>+'[1]BASE RED COMERCIAL'!$D1292</f>
        <v>CARLOS PELLEGRINI</v>
      </c>
      <c r="H1294" s="7" t="str">
        <f>+'[1]BASE RED COMERCIAL'!$B1292</f>
        <v>SANTA FE</v>
      </c>
      <c r="I1294" s="8" t="str">
        <f>+'[1]BASE RED COMERCIAL'!$C1292</f>
        <v>SAN MARTIN</v>
      </c>
      <c r="J1294" s="10"/>
      <c r="K1294" s="10"/>
    </row>
    <row r="1295" spans="1:11" x14ac:dyDescent="0.25">
      <c r="A1295" s="14" t="str">
        <f>+'[1]BASE RED COMERCIAL'!$A1293</f>
        <v>S0036</v>
      </c>
      <c r="B1295" s="8" t="str">
        <f>+'[1]BASE RED COMERCIAL'!$H1293</f>
        <v>DIAZ</v>
      </c>
      <c r="C1295" s="7" t="s">
        <v>33</v>
      </c>
      <c r="D1295" s="9" t="str">
        <f>+'[1]BASE RED COMERCIAL'!$E1293</f>
        <v>AV BUENOS AIRES</v>
      </c>
      <c r="E1295" s="7">
        <f>+'[1]BASE RED COMERCIAL'!$F1293</f>
        <v>420</v>
      </c>
      <c r="F1295" s="14" t="str">
        <f>+'[1]BASE RED COMERCIAL'!$I1293</f>
        <v>S2222ZAA</v>
      </c>
      <c r="G1295" s="7" t="str">
        <f>+'[1]BASE RED COMERCIAL'!$D1293</f>
        <v>DIAZ</v>
      </c>
      <c r="H1295" s="7" t="str">
        <f>+'[1]BASE RED COMERCIAL'!$B1293</f>
        <v>SANTA FE</v>
      </c>
      <c r="I1295" s="8" t="str">
        <f>+'[1]BASE RED COMERCIAL'!$C1293</f>
        <v>SAN JERONIMO</v>
      </c>
      <c r="J1295" s="10"/>
      <c r="K1295" s="10"/>
    </row>
    <row r="1296" spans="1:11" x14ac:dyDescent="0.25">
      <c r="A1296" s="14" t="str">
        <f>+'[1]BASE RED COMERCIAL'!$A1294</f>
        <v>S0038</v>
      </c>
      <c r="B1296" s="8" t="str">
        <f>+'[1]BASE RED COMERCIAL'!$H1294</f>
        <v>ELISA</v>
      </c>
      <c r="C1296" s="7" t="s">
        <v>33</v>
      </c>
      <c r="D1296" s="9" t="str">
        <f>+'[1]BASE RED COMERCIAL'!$E1294</f>
        <v>CORRIENTES</v>
      </c>
      <c r="E1296" s="7">
        <f>+'[1]BASE RED COMERCIAL'!$F1294</f>
        <v>399</v>
      </c>
      <c r="F1296" s="14" t="str">
        <f>+'[1]BASE RED COMERCIAL'!$I1294</f>
        <v>S3029ZAA</v>
      </c>
      <c r="G1296" s="7" t="str">
        <f>+'[1]BASE RED COMERCIAL'!$D1294</f>
        <v>ELISA</v>
      </c>
      <c r="H1296" s="7" t="str">
        <f>+'[1]BASE RED COMERCIAL'!$B1294</f>
        <v>SANTA FE</v>
      </c>
      <c r="I1296" s="8" t="str">
        <f>+'[1]BASE RED COMERCIAL'!$C1294</f>
        <v>LAS COLONIAS</v>
      </c>
      <c r="J1296" s="10"/>
      <c r="K1296" s="10"/>
    </row>
    <row r="1297" spans="1:11" x14ac:dyDescent="0.25">
      <c r="A1297" s="14" t="str">
        <f>+'[1]BASE RED COMERCIAL'!$A1295</f>
        <v>S0042</v>
      </c>
      <c r="B1297" s="8" t="str">
        <f>+'[1]BASE RED COMERCIAL'!$H1295</f>
        <v>ESPERANZA</v>
      </c>
      <c r="C1297" s="7" t="s">
        <v>33</v>
      </c>
      <c r="D1297" s="9" t="str">
        <f>+'[1]BASE RED COMERCIAL'!$E1295</f>
        <v>GRAL SAN MARTIN</v>
      </c>
      <c r="E1297" s="7">
        <f>+'[1]BASE RED COMERCIAL'!$F1295</f>
        <v>1231</v>
      </c>
      <c r="F1297" s="14" t="str">
        <f>+'[1]BASE RED COMERCIAL'!$I1295</f>
        <v>S3080ZAA</v>
      </c>
      <c r="G1297" s="7" t="str">
        <f>+'[1]BASE RED COMERCIAL'!$D1295</f>
        <v>ESPERANZA</v>
      </c>
      <c r="H1297" s="7" t="str">
        <f>+'[1]BASE RED COMERCIAL'!$B1295</f>
        <v>SANTA FE</v>
      </c>
      <c r="I1297" s="8" t="str">
        <f>+'[1]BASE RED COMERCIAL'!$C1295</f>
        <v>LAS COLONIAS</v>
      </c>
      <c r="J1297" s="10"/>
      <c r="K1297" s="10"/>
    </row>
    <row r="1298" spans="1:11" x14ac:dyDescent="0.25">
      <c r="A1298" s="14" t="str">
        <f>+'[1]BASE RED COMERCIAL'!$A1296</f>
        <v>S0044</v>
      </c>
      <c r="B1298" s="8" t="str">
        <f>+'[1]BASE RED COMERCIAL'!$H1296</f>
        <v>EL TREBOL</v>
      </c>
      <c r="C1298" s="7" t="s">
        <v>33</v>
      </c>
      <c r="D1298" s="9" t="str">
        <f>+'[1]BASE RED COMERCIAL'!$E1296</f>
        <v>AV AMERICA</v>
      </c>
      <c r="E1298" s="7">
        <f>+'[1]BASE RED COMERCIAL'!$F1296</f>
        <v>1161</v>
      </c>
      <c r="F1298" s="14" t="str">
        <f>+'[1]BASE RED COMERCIAL'!$I1296</f>
        <v>S2535ZAA</v>
      </c>
      <c r="G1298" s="7" t="str">
        <f>+'[1]BASE RED COMERCIAL'!$D1296</f>
        <v>EL TREBOL</v>
      </c>
      <c r="H1298" s="7" t="str">
        <f>+'[1]BASE RED COMERCIAL'!$B1296</f>
        <v>SANTA FE</v>
      </c>
      <c r="I1298" s="8" t="str">
        <f>+'[1]BASE RED COMERCIAL'!$C1296</f>
        <v>SAN MARTIN</v>
      </c>
      <c r="J1298" s="10"/>
      <c r="K1298" s="10"/>
    </row>
    <row r="1299" spans="1:11" x14ac:dyDescent="0.25">
      <c r="A1299" s="14" t="str">
        <f>+'[1]BASE RED COMERCIAL'!$A1297</f>
        <v>S0046</v>
      </c>
      <c r="B1299" s="8" t="str">
        <f>+'[1]BASE RED COMERCIAL'!$H1297</f>
        <v>FELICIA</v>
      </c>
      <c r="C1299" s="7" t="s">
        <v>33</v>
      </c>
      <c r="D1299" s="9" t="str">
        <f>+'[1]BASE RED COMERCIAL'!$E1297</f>
        <v>ENRIQUE SENN</v>
      </c>
      <c r="E1299" s="7">
        <f>+'[1]BASE RED COMERCIAL'!$F1297</f>
        <v>204</v>
      </c>
      <c r="F1299" s="14" t="str">
        <f>+'[1]BASE RED COMERCIAL'!$I1297</f>
        <v>S3087ZAA</v>
      </c>
      <c r="G1299" s="7" t="str">
        <f>+'[1]BASE RED COMERCIAL'!$D1297</f>
        <v>FELICIA</v>
      </c>
      <c r="H1299" s="7" t="str">
        <f>+'[1]BASE RED COMERCIAL'!$B1297</f>
        <v>SANTA FE</v>
      </c>
      <c r="I1299" s="8" t="str">
        <f>+'[1]BASE RED COMERCIAL'!$C1297</f>
        <v>LAS COLONIAS</v>
      </c>
      <c r="J1299" s="10"/>
      <c r="K1299" s="10"/>
    </row>
    <row r="1300" spans="1:11" x14ac:dyDescent="0.25">
      <c r="A1300" s="14" t="str">
        <f>+'[1]BASE RED COMERCIAL'!$A1298</f>
        <v>S0048</v>
      </c>
      <c r="B1300" s="8" t="str">
        <f>+'[1]BASE RED COMERCIAL'!$H1298</f>
        <v>FLORENCIA</v>
      </c>
      <c r="C1300" s="7" t="s">
        <v>33</v>
      </c>
      <c r="D1300" s="9" t="str">
        <f>+'[1]BASE RED COMERCIAL'!$E1298</f>
        <v>SAN MARTIN</v>
      </c>
      <c r="E1300" s="7">
        <f>+'[1]BASE RED COMERCIAL'!$F1298</f>
        <v>655</v>
      </c>
      <c r="F1300" s="14" t="str">
        <f>+'[1]BASE RED COMERCIAL'!$I1298</f>
        <v>S3516ZAA</v>
      </c>
      <c r="G1300" s="7" t="str">
        <f>+'[1]BASE RED COMERCIAL'!$D1298</f>
        <v>FLORENCIA</v>
      </c>
      <c r="H1300" s="7" t="str">
        <f>+'[1]BASE RED COMERCIAL'!$B1298</f>
        <v>SANTA FE</v>
      </c>
      <c r="I1300" s="8" t="str">
        <f>+'[1]BASE RED COMERCIAL'!$C1298</f>
        <v>GENERAL OBLIGADO</v>
      </c>
      <c r="J1300" s="10"/>
      <c r="K1300" s="10"/>
    </row>
    <row r="1301" spans="1:11" x14ac:dyDescent="0.25">
      <c r="A1301" s="14" t="str">
        <f>+'[1]BASE RED COMERCIAL'!$A1299</f>
        <v>S0050</v>
      </c>
      <c r="B1301" s="8" t="str">
        <f>+'[1]BASE RED COMERCIAL'!$H1299</f>
        <v>FRANCK</v>
      </c>
      <c r="C1301" s="7" t="s">
        <v>33</v>
      </c>
      <c r="D1301" s="9" t="str">
        <f>+'[1]BASE RED COMERCIAL'!$E1299</f>
        <v>JUAN B ALBERDI</v>
      </c>
      <c r="E1301" s="7">
        <f>+'[1]BASE RED COMERCIAL'!$F1299</f>
        <v>1983</v>
      </c>
      <c r="F1301" s="14" t="str">
        <f>+'[1]BASE RED COMERCIAL'!$I1299</f>
        <v>S3009ZAA</v>
      </c>
      <c r="G1301" s="7" t="str">
        <f>+'[1]BASE RED COMERCIAL'!$D1299</f>
        <v>FRANCK</v>
      </c>
      <c r="H1301" s="7" t="str">
        <f>+'[1]BASE RED COMERCIAL'!$B1299</f>
        <v>SANTA FE</v>
      </c>
      <c r="I1301" s="8" t="str">
        <f>+'[1]BASE RED COMERCIAL'!$C1299</f>
        <v>LAS COLONIAS</v>
      </c>
      <c r="J1301" s="10"/>
      <c r="K1301" s="10"/>
    </row>
    <row r="1302" spans="1:11" x14ac:dyDescent="0.25">
      <c r="A1302" s="14" t="str">
        <f>+'[1]BASE RED COMERCIAL'!$A1300</f>
        <v>S0052</v>
      </c>
      <c r="B1302" s="8" t="str">
        <f>+'[1]BASE RED COMERCIAL'!$H1300</f>
        <v>FRONTERA</v>
      </c>
      <c r="C1302" s="7" t="s">
        <v>33</v>
      </c>
      <c r="D1302" s="9" t="str">
        <f>+'[1]BASE RED COMERCIAL'!$E1300</f>
        <v>CALLE 90</v>
      </c>
      <c r="E1302" s="7">
        <f>+'[1]BASE RED COMERCIAL'!$F1300</f>
        <v>100</v>
      </c>
      <c r="F1302" s="14" t="str">
        <f>+'[1]BASE RED COMERCIAL'!$I1300</f>
        <v>S2438ZAA</v>
      </c>
      <c r="G1302" s="7" t="str">
        <f>+'[1]BASE RED COMERCIAL'!$D1300</f>
        <v>FRONTERA</v>
      </c>
      <c r="H1302" s="7" t="str">
        <f>+'[1]BASE RED COMERCIAL'!$B1300</f>
        <v>SANTA FE</v>
      </c>
      <c r="I1302" s="8" t="str">
        <f>+'[1]BASE RED COMERCIAL'!$C1300</f>
        <v>CASTELLANOS</v>
      </c>
      <c r="J1302" s="10"/>
      <c r="K1302" s="10"/>
    </row>
    <row r="1303" spans="1:11" x14ac:dyDescent="0.25">
      <c r="A1303" s="14" t="str">
        <f>+'[1]BASE RED COMERCIAL'!$A1301</f>
        <v>S0056</v>
      </c>
      <c r="B1303" s="8" t="str">
        <f>+'[1]BASE RED COMERCIAL'!$H1301</f>
        <v>GALVEZ</v>
      </c>
      <c r="C1303" s="7" t="s">
        <v>33</v>
      </c>
      <c r="D1303" s="9" t="str">
        <f>+'[1]BASE RED COMERCIAL'!$E1301</f>
        <v>MANUEL BELGRANO</v>
      </c>
      <c r="E1303" s="7">
        <f>+'[1]BASE RED COMERCIAL'!$F1301</f>
        <v>735</v>
      </c>
      <c r="F1303" s="14" t="str">
        <f>+'[1]BASE RED COMERCIAL'!$I1301</f>
        <v>S2252ZAA</v>
      </c>
      <c r="G1303" s="7" t="str">
        <f>+'[1]BASE RED COMERCIAL'!$D1301</f>
        <v>GALVEZ</v>
      </c>
      <c r="H1303" s="7" t="str">
        <f>+'[1]BASE RED COMERCIAL'!$B1301</f>
        <v>SANTA FE</v>
      </c>
      <c r="I1303" s="8" t="str">
        <f>+'[1]BASE RED COMERCIAL'!$C1301</f>
        <v>SAN JERONIMO</v>
      </c>
      <c r="J1303" s="10"/>
      <c r="K1303" s="10"/>
    </row>
    <row r="1304" spans="1:11" x14ac:dyDescent="0.25">
      <c r="A1304" s="14" t="str">
        <f>+'[1]BASE RED COMERCIAL'!$A1302</f>
        <v>S0058</v>
      </c>
      <c r="B1304" s="8" t="str">
        <f>+'[1]BASE RED COMERCIAL'!$H1302</f>
        <v>GESSLER</v>
      </c>
      <c r="C1304" s="7" t="s">
        <v>33</v>
      </c>
      <c r="D1304" s="9" t="str">
        <f>+'[1]BASE RED COMERCIAL'!$E1302</f>
        <v>MITRE</v>
      </c>
      <c r="E1304" s="7">
        <f>+'[1]BASE RED COMERCIAL'!$F1302</f>
        <v>961</v>
      </c>
      <c r="F1304" s="14" t="str">
        <f>+'[1]BASE RED COMERCIAL'!$I1302</f>
        <v>S2253ZAA</v>
      </c>
      <c r="G1304" s="7" t="str">
        <f>+'[1]BASE RED COMERCIAL'!$D1302</f>
        <v>GESSLER</v>
      </c>
      <c r="H1304" s="7" t="str">
        <f>+'[1]BASE RED COMERCIAL'!$B1302</f>
        <v>SANTA FE</v>
      </c>
      <c r="I1304" s="8" t="str">
        <f>+'[1]BASE RED COMERCIAL'!$C1302</f>
        <v>SAN JERONIMO</v>
      </c>
      <c r="J1304" s="10"/>
      <c r="K1304" s="10"/>
    </row>
    <row r="1305" spans="1:11" x14ac:dyDescent="0.25">
      <c r="A1305" s="14" t="str">
        <f>+'[1]BASE RED COMERCIAL'!$A1303</f>
        <v>S0060</v>
      </c>
      <c r="B1305" s="8" t="str">
        <f>+'[1]BASE RED COMERCIAL'!$H1303</f>
        <v>GDOR. CRESPO</v>
      </c>
      <c r="C1305" s="7" t="s">
        <v>33</v>
      </c>
      <c r="D1305" s="9" t="str">
        <f>+'[1]BASE RED COMERCIAL'!$E1303</f>
        <v>COMBATE DE SAN LORENZO</v>
      </c>
      <c r="E1305" s="7">
        <f>+'[1]BASE RED COMERCIAL'!$F1303</f>
        <v>134</v>
      </c>
      <c r="F1305" s="14" t="str">
        <f>+'[1]BASE RED COMERCIAL'!$I1303</f>
        <v>S3044ZAA</v>
      </c>
      <c r="G1305" s="7" t="str">
        <f>+'[1]BASE RED COMERCIAL'!$D1303</f>
        <v>GOBERNADOR CRESPO</v>
      </c>
      <c r="H1305" s="7" t="str">
        <f>+'[1]BASE RED COMERCIAL'!$B1303</f>
        <v>SANTA FE</v>
      </c>
      <c r="I1305" s="8" t="str">
        <f>+'[1]BASE RED COMERCIAL'!$C1303</f>
        <v>SAN JUSTO</v>
      </c>
      <c r="J1305" s="10"/>
      <c r="K1305" s="10"/>
    </row>
    <row r="1306" spans="1:11" x14ac:dyDescent="0.25">
      <c r="A1306" s="14" t="str">
        <f>+'[1]BASE RED COMERCIAL'!$A1304</f>
        <v>S0062</v>
      </c>
      <c r="B1306" s="8" t="str">
        <f>+'[1]BASE RED COMERCIAL'!$H1304</f>
        <v>HELVECIA</v>
      </c>
      <c r="C1306" s="7" t="s">
        <v>33</v>
      </c>
      <c r="D1306" s="9" t="str">
        <f>+'[1]BASE RED COMERCIAL'!$E1304</f>
        <v>SAN MARTIN</v>
      </c>
      <c r="E1306" s="7">
        <f>+'[1]BASE RED COMERCIAL'!$F1304</f>
        <v>550</v>
      </c>
      <c r="F1306" s="14" t="str">
        <f>+'[1]BASE RED COMERCIAL'!$I1304</f>
        <v>S3003ZAA</v>
      </c>
      <c r="G1306" s="7" t="str">
        <f>+'[1]BASE RED COMERCIAL'!$D1304</f>
        <v>HELVECIA</v>
      </c>
      <c r="H1306" s="7" t="str">
        <f>+'[1]BASE RED COMERCIAL'!$B1304</f>
        <v>SANTA FE</v>
      </c>
      <c r="I1306" s="8" t="str">
        <f>+'[1]BASE RED COMERCIAL'!$C1304</f>
        <v>GARAY</v>
      </c>
      <c r="J1306" s="10"/>
      <c r="K1306" s="10"/>
    </row>
    <row r="1307" spans="1:11" x14ac:dyDescent="0.25">
      <c r="A1307" s="14" t="str">
        <f>+'[1]BASE RED COMERCIAL'!$A1305</f>
        <v>S0064</v>
      </c>
      <c r="B1307" s="8" t="str">
        <f>+'[1]BASE RED COMERCIAL'!$H1305</f>
        <v>HERSILIA</v>
      </c>
      <c r="C1307" s="7" t="s">
        <v>33</v>
      </c>
      <c r="D1307" s="9" t="str">
        <f>+'[1]BASE RED COMERCIAL'!$E1305</f>
        <v>BME MITRE</v>
      </c>
      <c r="E1307" s="7">
        <f>+'[1]BASE RED COMERCIAL'!$F1305</f>
        <v>327</v>
      </c>
      <c r="F1307" s="14" t="str">
        <f>+'[1]BASE RED COMERCIAL'!$I1305</f>
        <v>S2352ZAA</v>
      </c>
      <c r="G1307" s="7" t="str">
        <f>+'[1]BASE RED COMERCIAL'!$D1305</f>
        <v>HERSILIA</v>
      </c>
      <c r="H1307" s="7" t="str">
        <f>+'[1]BASE RED COMERCIAL'!$B1305</f>
        <v>SANTA FE</v>
      </c>
      <c r="I1307" s="8" t="str">
        <f>+'[1]BASE RED COMERCIAL'!$C1305</f>
        <v>SAN CRISTOBAL</v>
      </c>
      <c r="J1307" s="10"/>
      <c r="K1307" s="10"/>
    </row>
    <row r="1308" spans="1:11" x14ac:dyDescent="0.25">
      <c r="A1308" s="14" t="str">
        <f>+'[1]BASE RED COMERCIAL'!$A1306</f>
        <v>S0068</v>
      </c>
      <c r="B1308" s="8" t="str">
        <f>+'[1]BASE RED COMERCIAL'!$H1306</f>
        <v>HUMBERTO PRIMO</v>
      </c>
      <c r="C1308" s="7" t="s">
        <v>33</v>
      </c>
      <c r="D1308" s="9" t="str">
        <f>+'[1]BASE RED COMERCIAL'!$E1306</f>
        <v>B RIVADAVIA</v>
      </c>
      <c r="E1308" s="7">
        <f>+'[1]BASE RED COMERCIAL'!$F1306</f>
        <v>157</v>
      </c>
      <c r="F1308" s="14" t="str">
        <f>+'[1]BASE RED COMERCIAL'!$I1306</f>
        <v>S2309ZAA</v>
      </c>
      <c r="G1308" s="7" t="str">
        <f>+'[1]BASE RED COMERCIAL'!$D1306</f>
        <v>HUMBERTO PRIMERO</v>
      </c>
      <c r="H1308" s="7" t="str">
        <f>+'[1]BASE RED COMERCIAL'!$B1306</f>
        <v>SANTA FE</v>
      </c>
      <c r="I1308" s="8" t="str">
        <f>+'[1]BASE RED COMERCIAL'!$C1306</f>
        <v>CASTELLANOS</v>
      </c>
      <c r="J1308" s="10"/>
      <c r="K1308" s="10"/>
    </row>
    <row r="1309" spans="1:11" x14ac:dyDescent="0.25">
      <c r="A1309" s="14" t="str">
        <f>+'[1]BASE RED COMERCIAL'!$A1307</f>
        <v>S0070</v>
      </c>
      <c r="B1309" s="8" t="str">
        <f>+'[1]BASE RED COMERCIAL'!$H1307</f>
        <v>HUMBOLDT</v>
      </c>
      <c r="C1309" s="7" t="s">
        <v>33</v>
      </c>
      <c r="D1309" s="9" t="str">
        <f>+'[1]BASE RED COMERCIAL'!$E1307</f>
        <v>AV GRAL SAN MARTIN</v>
      </c>
      <c r="E1309" s="7">
        <f>+'[1]BASE RED COMERCIAL'!$F1307</f>
        <v>1636</v>
      </c>
      <c r="F1309" s="14" t="str">
        <f>+'[1]BASE RED COMERCIAL'!$I1307</f>
        <v>S3081ZAA</v>
      </c>
      <c r="G1309" s="7" t="str">
        <f>+'[1]BASE RED COMERCIAL'!$D1307</f>
        <v>HUMBOLDT</v>
      </c>
      <c r="H1309" s="7" t="str">
        <f>+'[1]BASE RED COMERCIAL'!$B1307</f>
        <v>SANTA FE</v>
      </c>
      <c r="I1309" s="8" t="str">
        <f>+'[1]BASE RED COMERCIAL'!$C1307</f>
        <v>LAS COLONIAS</v>
      </c>
      <c r="J1309" s="10"/>
      <c r="K1309" s="10"/>
    </row>
    <row r="1310" spans="1:11" x14ac:dyDescent="0.25">
      <c r="A1310" s="14" t="str">
        <f>+'[1]BASE RED COMERCIAL'!$A1308</f>
        <v>S0072</v>
      </c>
      <c r="B1310" s="8" t="str">
        <f>+'[1]BASE RED COMERCIAL'!$H1308</f>
        <v>IRIGOYEN</v>
      </c>
      <c r="C1310" s="7" t="s">
        <v>33</v>
      </c>
      <c r="D1310" s="9" t="str">
        <f>+'[1]BASE RED COMERCIAL'!$E1308</f>
        <v>GRAL M BELGRANO</v>
      </c>
      <c r="E1310" s="7">
        <f>+'[1]BASE RED COMERCIAL'!$F1308</f>
        <v>560</v>
      </c>
      <c r="F1310" s="14" t="str">
        <f>+'[1]BASE RED COMERCIAL'!$I1308</f>
        <v>S2249ZAA</v>
      </c>
      <c r="G1310" s="7" t="str">
        <f>+'[1]BASE RED COMERCIAL'!$D1308</f>
        <v>IRIGOYEN</v>
      </c>
      <c r="H1310" s="7" t="str">
        <f>+'[1]BASE RED COMERCIAL'!$B1308</f>
        <v>SANTA FE</v>
      </c>
      <c r="I1310" s="8" t="str">
        <f>+'[1]BASE RED COMERCIAL'!$C1308</f>
        <v>SAN JERONIMO</v>
      </c>
      <c r="J1310" s="10"/>
      <c r="K1310" s="10"/>
    </row>
    <row r="1311" spans="1:11" x14ac:dyDescent="0.25">
      <c r="A1311" s="14" t="str">
        <f>+'[1]BASE RED COMERCIAL'!$A1309</f>
        <v>S0074</v>
      </c>
      <c r="B1311" s="8" t="str">
        <f>+'[1]BASE RED COMERCIAL'!$H1309</f>
        <v>LANDETA</v>
      </c>
      <c r="C1311" s="7" t="s">
        <v>33</v>
      </c>
      <c r="D1311" s="9" t="str">
        <f>+'[1]BASE RED COMERCIAL'!$E1309</f>
        <v>MANUEL BELGRANO</v>
      </c>
      <c r="E1311" s="7">
        <f>+'[1]BASE RED COMERCIAL'!$F1309</f>
        <v>180</v>
      </c>
      <c r="F1311" s="14" t="str">
        <f>+'[1]BASE RED COMERCIAL'!$I1309</f>
        <v>S2531ZAA</v>
      </c>
      <c r="G1311" s="7" t="str">
        <f>+'[1]BASE RED COMERCIAL'!$D1309</f>
        <v>LANDETA</v>
      </c>
      <c r="H1311" s="7" t="str">
        <f>+'[1]BASE RED COMERCIAL'!$B1309</f>
        <v>SANTA FE</v>
      </c>
      <c r="I1311" s="8" t="str">
        <f>+'[1]BASE RED COMERCIAL'!$C1309</f>
        <v>SAN MARTIN</v>
      </c>
      <c r="J1311" s="10"/>
      <c r="K1311" s="10"/>
    </row>
    <row r="1312" spans="1:11" x14ac:dyDescent="0.25">
      <c r="A1312" s="14" t="str">
        <f>+'[1]BASE RED COMERCIAL'!$A1310</f>
        <v>S0076</v>
      </c>
      <c r="B1312" s="8" t="str">
        <f>+'[1]BASE RED COMERCIAL'!$H1310</f>
        <v>LA CRIOLLA</v>
      </c>
      <c r="C1312" s="7" t="s">
        <v>33</v>
      </c>
      <c r="D1312" s="9" t="str">
        <f>+'[1]BASE RED COMERCIAL'!$E1310</f>
        <v>9 DE JULIO</v>
      </c>
      <c r="E1312" s="7">
        <f>+'[1]BASE RED COMERCIAL'!$F1310</f>
        <v>304</v>
      </c>
      <c r="F1312" s="14" t="str">
        <f>+'[1]BASE RED COMERCIAL'!$I1310</f>
        <v>S3052ZAA</v>
      </c>
      <c r="G1312" s="7" t="str">
        <f>+'[1]BASE RED COMERCIAL'!$D1310</f>
        <v>LA CRIOLLA</v>
      </c>
      <c r="H1312" s="7" t="str">
        <f>+'[1]BASE RED COMERCIAL'!$B1310</f>
        <v>SANTA FE</v>
      </c>
      <c r="I1312" s="8" t="str">
        <f>+'[1]BASE RED COMERCIAL'!$C1310</f>
        <v>SAN JUSTO</v>
      </c>
      <c r="J1312" s="10"/>
      <c r="K1312" s="10"/>
    </row>
    <row r="1313" spans="1:11" x14ac:dyDescent="0.25">
      <c r="A1313" s="14" t="str">
        <f>+'[1]BASE RED COMERCIAL'!$A1311</f>
        <v>S0078</v>
      </c>
      <c r="B1313" s="8" t="str">
        <f>+'[1]BASE RED COMERCIAL'!$H1311</f>
        <v>LA GALLARETA</v>
      </c>
      <c r="C1313" s="7" t="s">
        <v>33</v>
      </c>
      <c r="D1313" s="9" t="str">
        <f>+'[1]BASE RED COMERCIAL'!$E1311</f>
        <v>GRAL M BELGRANO</v>
      </c>
      <c r="E1313" s="7">
        <f>+'[1]BASE RED COMERCIAL'!$F1311</f>
        <v>100</v>
      </c>
      <c r="F1313" s="14" t="str">
        <f>+'[1]BASE RED COMERCIAL'!$I1311</f>
        <v>S3057ZAA</v>
      </c>
      <c r="G1313" s="7" t="str">
        <f>+'[1]BASE RED COMERCIAL'!$D1311</f>
        <v>LA GALLARETA</v>
      </c>
      <c r="H1313" s="7" t="str">
        <f>+'[1]BASE RED COMERCIAL'!$B1311</f>
        <v>SANTA FE</v>
      </c>
      <c r="I1313" s="8" t="str">
        <f>+'[1]BASE RED COMERCIAL'!$C1311</f>
        <v>VERA</v>
      </c>
      <c r="J1313" s="10"/>
      <c r="K1313" s="10"/>
    </row>
    <row r="1314" spans="1:11" x14ac:dyDescent="0.25">
      <c r="A1314" s="14" t="str">
        <f>+'[1]BASE RED COMERCIAL'!$A1312</f>
        <v>S0082</v>
      </c>
      <c r="B1314" s="8" t="str">
        <f>+'[1]BASE RED COMERCIAL'!$H1312</f>
        <v>LAGUNA PAIVA</v>
      </c>
      <c r="C1314" s="7" t="s">
        <v>33</v>
      </c>
      <c r="D1314" s="9" t="str">
        <f>+'[1]BASE RED COMERCIAL'!$E1312</f>
        <v>1 DE MAYO</v>
      </c>
      <c r="E1314" s="7">
        <f>+'[1]BASE RED COMERCIAL'!$F1312</f>
        <v>1198</v>
      </c>
      <c r="F1314" s="14" t="str">
        <f>+'[1]BASE RED COMERCIAL'!$I1312</f>
        <v>S3020ZAA</v>
      </c>
      <c r="G1314" s="7" t="str">
        <f>+'[1]BASE RED COMERCIAL'!$D1312</f>
        <v>LAGUNA PAIVA</v>
      </c>
      <c r="H1314" s="7" t="str">
        <f>+'[1]BASE RED COMERCIAL'!$B1312</f>
        <v>SANTA FE</v>
      </c>
      <c r="I1314" s="8" t="str">
        <f>+'[1]BASE RED COMERCIAL'!$C1312</f>
        <v>LA CAPITAL</v>
      </c>
      <c r="J1314" s="10"/>
      <c r="K1314" s="10"/>
    </row>
    <row r="1315" spans="1:11" x14ac:dyDescent="0.25">
      <c r="A1315" s="14" t="str">
        <f>+'[1]BASE RED COMERCIAL'!$A1313</f>
        <v>S0084</v>
      </c>
      <c r="B1315" s="8" t="str">
        <f>+'[1]BASE RED COMERCIAL'!$H1313</f>
        <v>LAS TOSCAS</v>
      </c>
      <c r="C1315" s="7" t="s">
        <v>33</v>
      </c>
      <c r="D1315" s="9" t="str">
        <f>+'[1]BASE RED COMERCIAL'!$E1313</f>
        <v>CALLE 10</v>
      </c>
      <c r="E1315" s="7">
        <f>+'[1]BASE RED COMERCIAL'!$F1313</f>
        <v>834</v>
      </c>
      <c r="F1315" s="14" t="str">
        <f>+'[1]BASE RED COMERCIAL'!$I1313</f>
        <v>S3586ZAA</v>
      </c>
      <c r="G1315" s="7" t="str">
        <f>+'[1]BASE RED COMERCIAL'!$D1313</f>
        <v>LAS TOSCAS</v>
      </c>
      <c r="H1315" s="7" t="str">
        <f>+'[1]BASE RED COMERCIAL'!$B1313</f>
        <v>SANTA FE</v>
      </c>
      <c r="I1315" s="8" t="str">
        <f>+'[1]BASE RED COMERCIAL'!$C1313</f>
        <v>GENERAL OBLIGADO</v>
      </c>
      <c r="J1315" s="10"/>
      <c r="K1315" s="10"/>
    </row>
    <row r="1316" spans="1:11" x14ac:dyDescent="0.25">
      <c r="A1316" s="14" t="str">
        <f>+'[1]BASE RED COMERCIAL'!$A1314</f>
        <v>S0086</v>
      </c>
      <c r="B1316" s="8" t="str">
        <f>+'[1]BASE RED COMERCIAL'!$H1314</f>
        <v>LEHMANN</v>
      </c>
      <c r="C1316" s="7" t="s">
        <v>33</v>
      </c>
      <c r="D1316" s="9" t="str">
        <f>+'[1]BASE RED COMERCIAL'!$E1314</f>
        <v>9 DE JULIO</v>
      </c>
      <c r="E1316" s="7">
        <f>+'[1]BASE RED COMERCIAL'!$F1314</f>
        <v>1</v>
      </c>
      <c r="F1316" s="14" t="str">
        <f>+'[1]BASE RED COMERCIAL'!$I1314</f>
        <v>S2305ZAA</v>
      </c>
      <c r="G1316" s="7" t="str">
        <f>+'[1]BASE RED COMERCIAL'!$D1314</f>
        <v>LEHMANN</v>
      </c>
      <c r="H1316" s="7" t="str">
        <f>+'[1]BASE RED COMERCIAL'!$B1314</f>
        <v>SANTA FE</v>
      </c>
      <c r="I1316" s="8" t="str">
        <f>+'[1]BASE RED COMERCIAL'!$C1314</f>
        <v>CASTELLANOS</v>
      </c>
      <c r="J1316" s="10"/>
      <c r="K1316" s="10"/>
    </row>
    <row r="1317" spans="1:11" x14ac:dyDescent="0.25">
      <c r="A1317" s="14" t="str">
        <f>+'[1]BASE RED COMERCIAL'!$A1315</f>
        <v>S0088</v>
      </c>
      <c r="B1317" s="8" t="str">
        <f>+'[1]BASE RED COMERCIAL'!$H1315</f>
        <v>LLAMBI CAMPBELL</v>
      </c>
      <c r="C1317" s="7" t="s">
        <v>33</v>
      </c>
      <c r="D1317" s="9" t="str">
        <f>+'[1]BASE RED COMERCIAL'!$E1315</f>
        <v>GRAL J J DE URQUIZA</v>
      </c>
      <c r="E1317" s="7">
        <f>+'[1]BASE RED COMERCIAL'!$F1315</f>
        <v>307</v>
      </c>
      <c r="F1317" s="14" t="str">
        <f>+'[1]BASE RED COMERCIAL'!$I1315</f>
        <v>S3036ZAA</v>
      </c>
      <c r="G1317" s="7" t="str">
        <f>+'[1]BASE RED COMERCIAL'!$D1315</f>
        <v>LLAMBI CAMPBELL</v>
      </c>
      <c r="H1317" s="7" t="str">
        <f>+'[1]BASE RED COMERCIAL'!$B1315</f>
        <v>SANTA FE</v>
      </c>
      <c r="I1317" s="8" t="str">
        <f>+'[1]BASE RED COMERCIAL'!$C1315</f>
        <v>LA CAPITAL</v>
      </c>
      <c r="J1317" s="10"/>
      <c r="K1317" s="10"/>
    </row>
    <row r="1318" spans="1:11" x14ac:dyDescent="0.25">
      <c r="A1318" s="14" t="str">
        <f>+'[1]BASE RED COMERCIAL'!$A1316</f>
        <v>S0090</v>
      </c>
      <c r="B1318" s="8" t="str">
        <f>+'[1]BASE RED COMERCIAL'!$H1316</f>
        <v>LOPEZ</v>
      </c>
      <c r="C1318" s="7" t="s">
        <v>33</v>
      </c>
      <c r="D1318" s="9" t="str">
        <f>+'[1]BASE RED COMERCIAL'!$E1316</f>
        <v>CORRIENTES</v>
      </c>
      <c r="E1318" s="7">
        <f>+'[1]BASE RED COMERCIAL'!$F1316</f>
        <v>1454</v>
      </c>
      <c r="F1318" s="14" t="str">
        <f>+'[1]BASE RED COMERCIAL'!$I1316</f>
        <v>S2255ZAA</v>
      </c>
      <c r="G1318" s="7" t="str">
        <f>+'[1]BASE RED COMERCIAL'!$D1316</f>
        <v>LOPEZ</v>
      </c>
      <c r="H1318" s="7" t="str">
        <f>+'[1]BASE RED COMERCIAL'!$B1316</f>
        <v>SANTA FE</v>
      </c>
      <c r="I1318" s="8" t="str">
        <f>+'[1]BASE RED COMERCIAL'!$C1316</f>
        <v>SAN JERONIMO</v>
      </c>
      <c r="J1318" s="10"/>
      <c r="K1318" s="10"/>
    </row>
    <row r="1319" spans="1:11" x14ac:dyDescent="0.25">
      <c r="A1319" s="14" t="str">
        <f>+'[1]BASE RED COMERCIAL'!$A1317</f>
        <v>S0092</v>
      </c>
      <c r="B1319" s="8" t="str">
        <f>+'[1]BASE RED COMERCIAL'!$H1317</f>
        <v>LAS PETACAS</v>
      </c>
      <c r="C1319" s="7" t="s">
        <v>33</v>
      </c>
      <c r="D1319" s="9" t="str">
        <f>+'[1]BASE RED COMERCIAL'!$E1317</f>
        <v>CALLE 9</v>
      </c>
      <c r="E1319" s="7">
        <f>+'[1]BASE RED COMERCIAL'!$F1317</f>
        <v>360</v>
      </c>
      <c r="F1319" s="14" t="str">
        <f>+'[1]BASE RED COMERCIAL'!$I1317</f>
        <v>S2451ZAA</v>
      </c>
      <c r="G1319" s="7" t="str">
        <f>+'[1]BASE RED COMERCIAL'!$D1317</f>
        <v>LAS PETACAS</v>
      </c>
      <c r="H1319" s="7" t="str">
        <f>+'[1]BASE RED COMERCIAL'!$B1317</f>
        <v>SANTA FE</v>
      </c>
      <c r="I1319" s="8" t="str">
        <f>+'[1]BASE RED COMERCIAL'!$C1317</f>
        <v>SAN MARTIN</v>
      </c>
      <c r="J1319" s="10"/>
      <c r="K1319" s="10"/>
    </row>
    <row r="1320" spans="1:11" x14ac:dyDescent="0.25">
      <c r="A1320" s="14" t="str">
        <f>+'[1]BASE RED COMERCIAL'!$A1318</f>
        <v>S0094</v>
      </c>
      <c r="B1320" s="8" t="str">
        <f>+'[1]BASE RED COMERCIAL'!$H1318</f>
        <v>LOS CARDOS</v>
      </c>
      <c r="C1320" s="7" t="s">
        <v>33</v>
      </c>
      <c r="D1320" s="9" t="str">
        <f>+'[1]BASE RED COMERCIAL'!$E1318</f>
        <v>ESTANISLAO LOPEZ</v>
      </c>
      <c r="E1320" s="7">
        <f>+'[1]BASE RED COMERCIAL'!$F1318</f>
        <v>420</v>
      </c>
      <c r="F1320" s="14" t="str">
        <f>+'[1]BASE RED COMERCIAL'!$I1318</f>
        <v>S2533ZAA</v>
      </c>
      <c r="G1320" s="7" t="str">
        <f>+'[1]BASE RED COMERCIAL'!$D1318</f>
        <v>LOS CARDOS</v>
      </c>
      <c r="H1320" s="7" t="str">
        <f>+'[1]BASE RED COMERCIAL'!$B1318</f>
        <v>SANTA FE</v>
      </c>
      <c r="I1320" s="8" t="str">
        <f>+'[1]BASE RED COMERCIAL'!$C1318</f>
        <v>SAN MARTIN</v>
      </c>
      <c r="J1320" s="10"/>
      <c r="K1320" s="10"/>
    </row>
    <row r="1321" spans="1:11" x14ac:dyDescent="0.25">
      <c r="A1321" s="14" t="str">
        <f>+'[1]BASE RED COMERCIAL'!$A1319</f>
        <v>S0096</v>
      </c>
      <c r="B1321" s="8" t="str">
        <f>+'[1]BASE RED COMERCIAL'!$H1319</f>
        <v>MACIEL</v>
      </c>
      <c r="C1321" s="7" t="s">
        <v>33</v>
      </c>
      <c r="D1321" s="9" t="str">
        <f>+'[1]BASE RED COMERCIAL'!$E1319</f>
        <v>SAN JUAN</v>
      </c>
      <c r="E1321" s="7">
        <f>+'[1]BASE RED COMERCIAL'!$F1319</f>
        <v>762</v>
      </c>
      <c r="F1321" s="14" t="str">
        <f>+'[1]BASE RED COMERCIAL'!$I1319</f>
        <v>S2209ZAA</v>
      </c>
      <c r="G1321" s="7" t="str">
        <f>+'[1]BASE RED COMERCIAL'!$D1319</f>
        <v>MACIEL</v>
      </c>
      <c r="H1321" s="7" t="str">
        <f>+'[1]BASE RED COMERCIAL'!$B1319</f>
        <v>SANTA FE</v>
      </c>
      <c r="I1321" s="8" t="str">
        <f>+'[1]BASE RED COMERCIAL'!$C1319</f>
        <v>SAN JERONIMO</v>
      </c>
      <c r="J1321" s="10"/>
      <c r="K1321" s="10"/>
    </row>
    <row r="1322" spans="1:11" x14ac:dyDescent="0.25">
      <c r="A1322" s="14" t="str">
        <f>+'[1]BASE RED COMERCIAL'!$A1320</f>
        <v>S0098</v>
      </c>
      <c r="B1322" s="8" t="str">
        <f>+'[1]BASE RED COMERCIAL'!$H1320</f>
        <v>MALABRIGO</v>
      </c>
      <c r="C1322" s="7" t="s">
        <v>33</v>
      </c>
      <c r="D1322" s="9" t="str">
        <f>+'[1]BASE RED COMERCIAL'!$E1320</f>
        <v>AV FEDERICO CARLOS SIGEL</v>
      </c>
      <c r="E1322" s="7">
        <f>+'[1]BASE RED COMERCIAL'!$F1320</f>
        <v>902</v>
      </c>
      <c r="F1322" s="14" t="str">
        <f>+'[1]BASE RED COMERCIAL'!$I1320</f>
        <v>S3572ZAA</v>
      </c>
      <c r="G1322" s="7" t="str">
        <f>+'[1]BASE RED COMERCIAL'!$D1320</f>
        <v>MALABRIGO</v>
      </c>
      <c r="H1322" s="7" t="str">
        <f>+'[1]BASE RED COMERCIAL'!$B1320</f>
        <v>SANTA FE</v>
      </c>
      <c r="I1322" s="8" t="str">
        <f>+'[1]BASE RED COMERCIAL'!$C1320</f>
        <v>GENERAL OBLIGADO</v>
      </c>
      <c r="J1322" s="10"/>
      <c r="K1322" s="10"/>
    </row>
    <row r="1323" spans="1:11" x14ac:dyDescent="0.25">
      <c r="A1323" s="14" t="str">
        <f>+'[1]BASE RED COMERCIAL'!$A1321</f>
        <v>S0100</v>
      </c>
      <c r="B1323" s="8" t="str">
        <f>+'[1]BASE RED COMERCIAL'!$H1321</f>
        <v>MARCELINO ESCALADA</v>
      </c>
      <c r="C1323" s="7" t="s">
        <v>33</v>
      </c>
      <c r="D1323" s="9" t="str">
        <f>+'[1]BASE RED COMERCIAL'!$E1321</f>
        <v>R NAC 11</v>
      </c>
      <c r="E1323" s="7">
        <f>+'[1]BASE RED COMERCIAL'!$F1321</f>
        <v>396</v>
      </c>
      <c r="F1323" s="14" t="str">
        <f>+'[1]BASE RED COMERCIAL'!$I1321</f>
        <v>S3042ZAA</v>
      </c>
      <c r="G1323" s="7" t="str">
        <f>+'[1]BASE RED COMERCIAL'!$D1321</f>
        <v>MARCELINO ESCALADA</v>
      </c>
      <c r="H1323" s="7" t="str">
        <f>+'[1]BASE RED COMERCIAL'!$B1321</f>
        <v>SANTA FE</v>
      </c>
      <c r="I1323" s="8" t="str">
        <f>+'[1]BASE RED COMERCIAL'!$C1321</f>
        <v>SAN JUSTO</v>
      </c>
      <c r="J1323" s="10"/>
      <c r="K1323" s="10"/>
    </row>
    <row r="1324" spans="1:11" x14ac:dyDescent="0.25">
      <c r="A1324" s="14" t="str">
        <f>+'[1]BASE RED COMERCIAL'!$A1322</f>
        <v>S0102</v>
      </c>
      <c r="B1324" s="8" t="str">
        <f>+'[1]BASE RED COMERCIAL'!$H1322</f>
        <v>MARGARITA</v>
      </c>
      <c r="C1324" s="7" t="s">
        <v>33</v>
      </c>
      <c r="D1324" s="9" t="str">
        <f>+'[1]BASE RED COMERCIAL'!$E1322</f>
        <v>MANUEL BELGRANO</v>
      </c>
      <c r="E1324" s="7">
        <f>+'[1]BASE RED COMERCIAL'!$F1322</f>
        <v>0</v>
      </c>
      <c r="F1324" s="14" t="str">
        <f>+'[1]BASE RED COMERCIAL'!$I1322</f>
        <v>S3056ZAA</v>
      </c>
      <c r="G1324" s="7" t="str">
        <f>+'[1]BASE RED COMERCIAL'!$D1322</f>
        <v>MARGARITA</v>
      </c>
      <c r="H1324" s="7" t="str">
        <f>+'[1]BASE RED COMERCIAL'!$B1322</f>
        <v>SANTA FE</v>
      </c>
      <c r="I1324" s="8" t="str">
        <f>+'[1]BASE RED COMERCIAL'!$C1322</f>
        <v>VERA</v>
      </c>
      <c r="J1324" s="10"/>
      <c r="K1324" s="10"/>
    </row>
    <row r="1325" spans="1:11" x14ac:dyDescent="0.25">
      <c r="A1325" s="14" t="str">
        <f>+'[1]BASE RED COMERCIAL'!$A1323</f>
        <v>S0104</v>
      </c>
      <c r="B1325" s="8" t="str">
        <f>+'[1]BASE RED COMERCIAL'!$H1323</f>
        <v>MARIA JUANA</v>
      </c>
      <c r="C1325" s="7" t="s">
        <v>33</v>
      </c>
      <c r="D1325" s="9" t="str">
        <f>+'[1]BASE RED COMERCIAL'!$E1323</f>
        <v>SANTA FE</v>
      </c>
      <c r="E1325" s="7">
        <f>+'[1]BASE RED COMERCIAL'!$F1323</f>
        <v>247</v>
      </c>
      <c r="F1325" s="14" t="str">
        <f>+'[1]BASE RED COMERCIAL'!$I1323</f>
        <v>S2445ZAA</v>
      </c>
      <c r="G1325" s="7" t="str">
        <f>+'[1]BASE RED COMERCIAL'!$D1323</f>
        <v>MARIA JUANA</v>
      </c>
      <c r="H1325" s="7" t="str">
        <f>+'[1]BASE RED COMERCIAL'!$B1323</f>
        <v>SANTA FE</v>
      </c>
      <c r="I1325" s="8" t="str">
        <f>+'[1]BASE RED COMERCIAL'!$C1323</f>
        <v>CASTELLANOS</v>
      </c>
      <c r="J1325" s="10"/>
      <c r="K1325" s="10"/>
    </row>
    <row r="1326" spans="1:11" x14ac:dyDescent="0.25">
      <c r="A1326" s="14" t="str">
        <f>+'[1]BASE RED COMERCIAL'!$A1324</f>
        <v>S0106</v>
      </c>
      <c r="B1326" s="8" t="str">
        <f>+'[1]BASE RED COMERCIAL'!$H1324</f>
        <v>MOISES VILLE</v>
      </c>
      <c r="C1326" s="7" t="s">
        <v>33</v>
      </c>
      <c r="D1326" s="9" t="str">
        <f>+'[1]BASE RED COMERCIAL'!$E1324</f>
        <v>9 DE JULIO</v>
      </c>
      <c r="E1326" s="7">
        <f>+'[1]BASE RED COMERCIAL'!$F1324</f>
        <v>162</v>
      </c>
      <c r="F1326" s="14" t="str">
        <f>+'[1]BASE RED COMERCIAL'!$I1324</f>
        <v>S2313ZAA</v>
      </c>
      <c r="G1326" s="7" t="str">
        <f>+'[1]BASE RED COMERCIAL'!$D1324</f>
        <v>MOISES VILLE</v>
      </c>
      <c r="H1326" s="7" t="str">
        <f>+'[1]BASE RED COMERCIAL'!$B1324</f>
        <v>SANTA FE</v>
      </c>
      <c r="I1326" s="8" t="str">
        <f>+'[1]BASE RED COMERCIAL'!$C1324</f>
        <v>SAN CRISTOBAL</v>
      </c>
      <c r="J1326" s="10"/>
      <c r="K1326" s="10"/>
    </row>
    <row r="1327" spans="1:11" x14ac:dyDescent="0.25">
      <c r="A1327" s="14" t="str">
        <f>+'[1]BASE RED COMERCIAL'!$A1325</f>
        <v>S0108</v>
      </c>
      <c r="B1327" s="8" t="str">
        <f>+'[1]BASE RED COMERCIAL'!$H1325</f>
        <v>MARIA SUSANA</v>
      </c>
      <c r="C1327" s="7" t="s">
        <v>33</v>
      </c>
      <c r="D1327" s="9" t="str">
        <f>+'[1]BASE RED COMERCIAL'!$E1325</f>
        <v>CRISTOBAL COLON</v>
      </c>
      <c r="E1327" s="7">
        <f>+'[1]BASE RED COMERCIAL'!$F1325</f>
        <v>897</v>
      </c>
      <c r="F1327" s="14" t="str">
        <f>+'[1]BASE RED COMERCIAL'!$I1325</f>
        <v>S2527ZAA</v>
      </c>
      <c r="G1327" s="7" t="str">
        <f>+'[1]BASE RED COMERCIAL'!$D1325</f>
        <v>MARIA SUSANA</v>
      </c>
      <c r="H1327" s="7" t="str">
        <f>+'[1]BASE RED COMERCIAL'!$B1325</f>
        <v>SANTA FE</v>
      </c>
      <c r="I1327" s="8" t="str">
        <f>+'[1]BASE RED COMERCIAL'!$C1325</f>
        <v>SAN MARTIN</v>
      </c>
      <c r="J1327" s="10"/>
      <c r="K1327" s="10"/>
    </row>
    <row r="1328" spans="1:11" x14ac:dyDescent="0.25">
      <c r="A1328" s="14" t="str">
        <f>+'[1]BASE RED COMERCIAL'!$A1326</f>
        <v>S0110</v>
      </c>
      <c r="B1328" s="8" t="str">
        <f>+'[1]BASE RED COMERCIAL'!$H1326</f>
        <v>MONJE</v>
      </c>
      <c r="C1328" s="7" t="s">
        <v>33</v>
      </c>
      <c r="D1328" s="9" t="str">
        <f>+'[1]BASE RED COMERCIAL'!$E1326</f>
        <v>PTE H YRIGOYEN</v>
      </c>
      <c r="E1328" s="7">
        <f>+'[1]BASE RED COMERCIAL'!$F1326</f>
        <v>428</v>
      </c>
      <c r="F1328" s="14" t="str">
        <f>+'[1]BASE RED COMERCIAL'!$I1326</f>
        <v>S2212ZAA</v>
      </c>
      <c r="G1328" s="7" t="str">
        <f>+'[1]BASE RED COMERCIAL'!$D1326</f>
        <v>MONJE</v>
      </c>
      <c r="H1328" s="7" t="str">
        <f>+'[1]BASE RED COMERCIAL'!$B1326</f>
        <v>SANTA FE</v>
      </c>
      <c r="I1328" s="8" t="str">
        <f>+'[1]BASE RED COMERCIAL'!$C1326</f>
        <v>SAN JERONIMO</v>
      </c>
      <c r="J1328" s="10"/>
      <c r="K1328" s="10"/>
    </row>
    <row r="1329" spans="1:11" x14ac:dyDescent="0.25">
      <c r="A1329" s="14" t="str">
        <f>+'[1]BASE RED COMERCIAL'!$A1327</f>
        <v>S0112</v>
      </c>
      <c r="B1329" s="8" t="str">
        <f>+'[1]BASE RED COMERCIAL'!$H1327</f>
        <v>NELSON</v>
      </c>
      <c r="C1329" s="7" t="s">
        <v>33</v>
      </c>
      <c r="D1329" s="9" t="str">
        <f>+'[1]BASE RED COMERCIAL'!$E1327</f>
        <v>SARMIENTO</v>
      </c>
      <c r="E1329" s="7">
        <f>+'[1]BASE RED COMERCIAL'!$F1327</f>
        <v>396</v>
      </c>
      <c r="F1329" s="14" t="str">
        <f>+'[1]BASE RED COMERCIAL'!$I1327</f>
        <v>S3032ZAA</v>
      </c>
      <c r="G1329" s="7" t="str">
        <f>+'[1]BASE RED COMERCIAL'!$D1327</f>
        <v>NELSON</v>
      </c>
      <c r="H1329" s="7" t="str">
        <f>+'[1]BASE RED COMERCIAL'!$B1327</f>
        <v>SANTA FE</v>
      </c>
      <c r="I1329" s="8" t="str">
        <f>+'[1]BASE RED COMERCIAL'!$C1327</f>
        <v>LA CAPITAL</v>
      </c>
      <c r="J1329" s="10"/>
      <c r="K1329" s="10"/>
    </row>
    <row r="1330" spans="1:11" x14ac:dyDescent="0.25">
      <c r="A1330" s="14" t="str">
        <f>+'[1]BASE RED COMERCIAL'!$A1328</f>
        <v>S0114</v>
      </c>
      <c r="B1330" s="8" t="str">
        <f>+'[1]BASE RED COMERCIAL'!$H1328</f>
        <v>PIAMONTE</v>
      </c>
      <c r="C1330" s="7" t="s">
        <v>33</v>
      </c>
      <c r="D1330" s="9" t="str">
        <f>+'[1]BASE RED COMERCIAL'!$E1328</f>
        <v>COLON</v>
      </c>
      <c r="E1330" s="7">
        <f>+'[1]BASE RED COMERCIAL'!$F1328</f>
        <v>1007</v>
      </c>
      <c r="F1330" s="14" t="str">
        <f>+'[1]BASE RED COMERCIAL'!$I1328</f>
        <v>S2529ZAA</v>
      </c>
      <c r="G1330" s="7" t="str">
        <f>+'[1]BASE RED COMERCIAL'!$D1328</f>
        <v>PIAMONTE</v>
      </c>
      <c r="H1330" s="7" t="str">
        <f>+'[1]BASE RED COMERCIAL'!$B1328</f>
        <v>SANTA FE</v>
      </c>
      <c r="I1330" s="8" t="str">
        <f>+'[1]BASE RED COMERCIAL'!$C1328</f>
        <v>SAN MARTIN</v>
      </c>
      <c r="J1330" s="10"/>
      <c r="K1330" s="10"/>
    </row>
    <row r="1331" spans="1:11" x14ac:dyDescent="0.25">
      <c r="A1331" s="14" t="str">
        <f>+'[1]BASE RED COMERCIAL'!$A1329</f>
        <v>S0116</v>
      </c>
      <c r="B1331" s="8" t="str">
        <f>+'[1]BASE RED COMERCIAL'!$H1329</f>
        <v>PILAR</v>
      </c>
      <c r="C1331" s="7" t="s">
        <v>33</v>
      </c>
      <c r="D1331" s="9" t="str">
        <f>+'[1]BASE RED COMERCIAL'!$E1329</f>
        <v>25 DE MAYO</v>
      </c>
      <c r="E1331" s="7">
        <f>+'[1]BASE RED COMERCIAL'!$F1329</f>
        <v>1552</v>
      </c>
      <c r="F1331" s="14" t="str">
        <f>+'[1]BASE RED COMERCIAL'!$I1329</f>
        <v>S3085ZAA</v>
      </c>
      <c r="G1331" s="7" t="str">
        <f>+'[1]BASE RED COMERCIAL'!$D1329</f>
        <v>PILAR</v>
      </c>
      <c r="H1331" s="7" t="str">
        <f>+'[1]BASE RED COMERCIAL'!$B1329</f>
        <v>SANTA FE</v>
      </c>
      <c r="I1331" s="8" t="str">
        <f>+'[1]BASE RED COMERCIAL'!$C1329</f>
        <v>LAS COLONIAS</v>
      </c>
      <c r="J1331" s="10"/>
      <c r="K1331" s="10"/>
    </row>
    <row r="1332" spans="1:11" x14ac:dyDescent="0.25">
      <c r="A1332" s="14" t="str">
        <f>+'[1]BASE RED COMERCIAL'!$A1330</f>
        <v>S0118</v>
      </c>
      <c r="B1332" s="8" t="str">
        <f>+'[1]BASE RED COMERCIAL'!$H1330</f>
        <v>PROGRESO</v>
      </c>
      <c r="C1332" s="7" t="s">
        <v>33</v>
      </c>
      <c r="D1332" s="9" t="str">
        <f>+'[1]BASE RED COMERCIAL'!$E1330</f>
        <v>JOSE MANUEL ESTRADA</v>
      </c>
      <c r="E1332" s="7">
        <f>+'[1]BASE RED COMERCIAL'!$F1330</f>
        <v>0</v>
      </c>
      <c r="F1332" s="14" t="str">
        <f>+'[1]BASE RED COMERCIAL'!$I1330</f>
        <v>S3023ZAA</v>
      </c>
      <c r="G1332" s="7" t="str">
        <f>+'[1]BASE RED COMERCIAL'!$D1330</f>
        <v>PROGRESO</v>
      </c>
      <c r="H1332" s="7" t="str">
        <f>+'[1]BASE RED COMERCIAL'!$B1330</f>
        <v>SANTA FE</v>
      </c>
      <c r="I1332" s="8" t="str">
        <f>+'[1]BASE RED COMERCIAL'!$C1330</f>
        <v>LAS COLONIAS</v>
      </c>
      <c r="J1332" s="10"/>
      <c r="K1332" s="10"/>
    </row>
    <row r="1333" spans="1:11" x14ac:dyDescent="0.25">
      <c r="A1333" s="14" t="str">
        <f>+'[1]BASE RED COMERCIAL'!$A1331</f>
        <v>S0122</v>
      </c>
      <c r="B1333" s="8" t="str">
        <f>+'[1]BASE RED COMERCIAL'!$H1331</f>
        <v>PUEBLO RAMONA</v>
      </c>
      <c r="C1333" s="7" t="s">
        <v>33</v>
      </c>
      <c r="D1333" s="9" t="str">
        <f>+'[1]BASE RED COMERCIAL'!$E1331</f>
        <v>MORENO</v>
      </c>
      <c r="E1333" s="7">
        <f>+'[1]BASE RED COMERCIAL'!$F1331</f>
        <v>50</v>
      </c>
      <c r="F1333" s="14" t="str">
        <f>+'[1]BASE RED COMERCIAL'!$I1331</f>
        <v>S2301ZAA</v>
      </c>
      <c r="G1333" s="7" t="str">
        <f>+'[1]BASE RED COMERCIAL'!$D1331</f>
        <v>RAMONA</v>
      </c>
      <c r="H1333" s="7" t="str">
        <f>+'[1]BASE RED COMERCIAL'!$B1331</f>
        <v>SANTA FE</v>
      </c>
      <c r="I1333" s="8" t="str">
        <f>+'[1]BASE RED COMERCIAL'!$C1331</f>
        <v>CASTELLANOS</v>
      </c>
      <c r="J1333" s="10"/>
      <c r="K1333" s="10"/>
    </row>
    <row r="1334" spans="1:11" x14ac:dyDescent="0.25">
      <c r="A1334" s="14" t="str">
        <f>+'[1]BASE RED COMERCIAL'!$A1332</f>
        <v>S0124</v>
      </c>
      <c r="B1334" s="8" t="str">
        <f>+'[1]BASE RED COMERCIAL'!$H1332</f>
        <v>RECREO</v>
      </c>
      <c r="C1334" s="7" t="s">
        <v>33</v>
      </c>
      <c r="D1334" s="9" t="str">
        <f>+'[1]BASE RED COMERCIAL'!$E1332</f>
        <v>ALFONSINA STORNI</v>
      </c>
      <c r="E1334" s="7">
        <f>+'[1]BASE RED COMERCIAL'!$F1332</f>
        <v>1155</v>
      </c>
      <c r="F1334" s="14" t="str">
        <f>+'[1]BASE RED COMERCIAL'!$I1332</f>
        <v>S3018ZAA</v>
      </c>
      <c r="G1334" s="7" t="str">
        <f>+'[1]BASE RED COMERCIAL'!$D1332</f>
        <v>RECREO</v>
      </c>
      <c r="H1334" s="7" t="str">
        <f>+'[1]BASE RED COMERCIAL'!$B1332</f>
        <v>SANTA FE</v>
      </c>
      <c r="I1334" s="8" t="str">
        <f>+'[1]BASE RED COMERCIAL'!$C1332</f>
        <v>LA CAPITAL</v>
      </c>
      <c r="J1334" s="10"/>
      <c r="K1334" s="10"/>
    </row>
    <row r="1335" spans="1:11" x14ac:dyDescent="0.25">
      <c r="A1335" s="14" t="str">
        <f>+'[1]BASE RED COMERCIAL'!$A1333</f>
        <v>S0126</v>
      </c>
      <c r="B1335" s="8" t="str">
        <f>+'[1]BASE RED COMERCIAL'!$H1333</f>
        <v>RAFAELA</v>
      </c>
      <c r="C1335" s="7" t="s">
        <v>33</v>
      </c>
      <c r="D1335" s="9" t="str">
        <f>+'[1]BASE RED COMERCIAL'!$E1333</f>
        <v>DR MARIANO MORENO</v>
      </c>
      <c r="E1335" s="7">
        <f>+'[1]BASE RED COMERCIAL'!$F1333</f>
        <v>104</v>
      </c>
      <c r="F1335" s="14" t="str">
        <f>+'[1]BASE RED COMERCIAL'!$I1333</f>
        <v>S2300ZAA</v>
      </c>
      <c r="G1335" s="7" t="str">
        <f>+'[1]BASE RED COMERCIAL'!$D1333</f>
        <v>RAFAELA</v>
      </c>
      <c r="H1335" s="7" t="str">
        <f>+'[1]BASE RED COMERCIAL'!$B1333</f>
        <v>SANTA FE</v>
      </c>
      <c r="I1335" s="8" t="str">
        <f>+'[1]BASE RED COMERCIAL'!$C1333</f>
        <v>CASTELLANOS</v>
      </c>
      <c r="J1335" s="10"/>
      <c r="K1335" s="10"/>
    </row>
    <row r="1336" spans="1:11" x14ac:dyDescent="0.25">
      <c r="A1336" s="14" t="str">
        <f>+'[1]BASE RED COMERCIAL'!$A1334</f>
        <v>S0128</v>
      </c>
      <c r="B1336" s="8" t="str">
        <f>+'[1]BASE RED COMERCIAL'!$H1334</f>
        <v>RECONQUISTA</v>
      </c>
      <c r="C1336" s="7" t="s">
        <v>33</v>
      </c>
      <c r="D1336" s="9" t="str">
        <f>+'[1]BASE RED COMERCIAL'!$E1334</f>
        <v>9 DE JULIO</v>
      </c>
      <c r="E1336" s="7">
        <f>+'[1]BASE RED COMERCIAL'!$F1334</f>
        <v>745</v>
      </c>
      <c r="F1336" s="14" t="str">
        <f>+'[1]BASE RED COMERCIAL'!$I1334</f>
        <v>S3560ZAA</v>
      </c>
      <c r="G1336" s="7" t="str">
        <f>+'[1]BASE RED COMERCIAL'!$D1334</f>
        <v>RECONQUISTA</v>
      </c>
      <c r="H1336" s="7" t="str">
        <f>+'[1]BASE RED COMERCIAL'!$B1334</f>
        <v>SANTA FE</v>
      </c>
      <c r="I1336" s="8" t="str">
        <f>+'[1]BASE RED COMERCIAL'!$C1334</f>
        <v>GENERAL OBLIGADO</v>
      </c>
      <c r="J1336" s="10"/>
      <c r="K1336" s="10"/>
    </row>
    <row r="1337" spans="1:11" x14ac:dyDescent="0.25">
      <c r="A1337" s="14" t="str">
        <f>+'[1]BASE RED COMERCIAL'!$A1335</f>
        <v>S0130</v>
      </c>
      <c r="B1337" s="8" t="str">
        <f>+'[1]BASE RED COMERCIAL'!$H1335</f>
        <v>ROMANG</v>
      </c>
      <c r="C1337" s="7" t="s">
        <v>33</v>
      </c>
      <c r="D1337" s="9" t="str">
        <f>+'[1]BASE RED COMERCIAL'!$E1335</f>
        <v>CRISTIAN RAMSEYER</v>
      </c>
      <c r="E1337" s="7">
        <f>+'[1]BASE RED COMERCIAL'!$F1335</f>
        <v>996</v>
      </c>
      <c r="F1337" s="14" t="str">
        <f>+'[1]BASE RED COMERCIAL'!$I1335</f>
        <v>S3555ZAA</v>
      </c>
      <c r="G1337" s="7" t="str">
        <f>+'[1]BASE RED COMERCIAL'!$D1335</f>
        <v>ROMANG</v>
      </c>
      <c r="H1337" s="7" t="str">
        <f>+'[1]BASE RED COMERCIAL'!$B1335</f>
        <v>SANTA FE</v>
      </c>
      <c r="I1337" s="8" t="str">
        <f>+'[1]BASE RED COMERCIAL'!$C1335</f>
        <v>SAN JAVIER</v>
      </c>
      <c r="J1337" s="10"/>
      <c r="K1337" s="10"/>
    </row>
    <row r="1338" spans="1:11" x14ac:dyDescent="0.25">
      <c r="A1338" s="14" t="str">
        <f>+'[1]BASE RED COMERCIAL'!$A1336</f>
        <v>S0132</v>
      </c>
      <c r="B1338" s="8" t="str">
        <f>+'[1]BASE RED COMERCIAL'!$H1336</f>
        <v>SA PEREIRA</v>
      </c>
      <c r="C1338" s="7" t="s">
        <v>33</v>
      </c>
      <c r="D1338" s="9" t="str">
        <f>+'[1]BASE RED COMERCIAL'!$E1336</f>
        <v>25 DE MAYO</v>
      </c>
      <c r="E1338" s="7">
        <f>+'[1]BASE RED COMERCIAL'!$F1336</f>
        <v>163</v>
      </c>
      <c r="F1338" s="14" t="str">
        <f>+'[1]BASE RED COMERCIAL'!$I1336</f>
        <v>S3011ZAA</v>
      </c>
      <c r="G1338" s="7" t="str">
        <f>+'[1]BASE RED COMERCIAL'!$D1336</f>
        <v>SA PEREYRA</v>
      </c>
      <c r="H1338" s="7" t="str">
        <f>+'[1]BASE RED COMERCIAL'!$B1336</f>
        <v>SANTA FE</v>
      </c>
      <c r="I1338" s="8" t="str">
        <f>+'[1]BASE RED COMERCIAL'!$C1336</f>
        <v>LAS COLONIAS</v>
      </c>
      <c r="J1338" s="10"/>
      <c r="K1338" s="10"/>
    </row>
    <row r="1339" spans="1:11" x14ac:dyDescent="0.25">
      <c r="A1339" s="14" t="str">
        <f>+'[1]BASE RED COMERCIAL'!$A1337</f>
        <v>S0134</v>
      </c>
      <c r="B1339" s="8" t="str">
        <f>+'[1]BASE RED COMERCIAL'!$H1337</f>
        <v>SAN CARLOS CENTRO</v>
      </c>
      <c r="C1339" s="7" t="s">
        <v>33</v>
      </c>
      <c r="D1339" s="9" t="str">
        <f>+'[1]BASE RED COMERCIAL'!$E1337</f>
        <v>AV GRAL M BELGRANO</v>
      </c>
      <c r="E1339" s="7">
        <f>+'[1]BASE RED COMERCIAL'!$F1337</f>
        <v>550</v>
      </c>
      <c r="F1339" s="14" t="str">
        <f>+'[1]BASE RED COMERCIAL'!$I1337</f>
        <v>S3013ZAA</v>
      </c>
      <c r="G1339" s="7" t="str">
        <f>+'[1]BASE RED COMERCIAL'!$D1337</f>
        <v>SAN CARLOS CENTRO</v>
      </c>
      <c r="H1339" s="7" t="str">
        <f>+'[1]BASE RED COMERCIAL'!$B1337</f>
        <v>SANTA FE</v>
      </c>
      <c r="I1339" s="8" t="str">
        <f>+'[1]BASE RED COMERCIAL'!$C1337</f>
        <v>LAS COLONIAS</v>
      </c>
      <c r="J1339" s="10"/>
      <c r="K1339" s="10"/>
    </row>
    <row r="1340" spans="1:11" x14ac:dyDescent="0.25">
      <c r="A1340" s="14" t="str">
        <f>+'[1]BASE RED COMERCIAL'!$A1338</f>
        <v>S0136</v>
      </c>
      <c r="B1340" s="8" t="str">
        <f>+'[1]BASE RED COMERCIAL'!$H1338</f>
        <v>SAN CARLOS SUD</v>
      </c>
      <c r="C1340" s="7" t="s">
        <v>33</v>
      </c>
      <c r="D1340" s="9" t="str">
        <f>+'[1]BASE RED COMERCIAL'!$E1338</f>
        <v>JUAN DE GARAY</v>
      </c>
      <c r="E1340" s="7">
        <f>+'[1]BASE RED COMERCIAL'!$F1338</f>
        <v>624</v>
      </c>
      <c r="F1340" s="14" t="str">
        <f>+'[1]BASE RED COMERCIAL'!$I1338</f>
        <v>S3017ZAA</v>
      </c>
      <c r="G1340" s="7" t="str">
        <f>+'[1]BASE RED COMERCIAL'!$D1338</f>
        <v>SAN CARLOS SUD</v>
      </c>
      <c r="H1340" s="7" t="str">
        <f>+'[1]BASE RED COMERCIAL'!$B1338</f>
        <v>SANTA FE</v>
      </c>
      <c r="I1340" s="8" t="str">
        <f>+'[1]BASE RED COMERCIAL'!$C1338</f>
        <v>LAS COLONIAS</v>
      </c>
      <c r="J1340" s="10"/>
      <c r="K1340" s="10"/>
    </row>
    <row r="1341" spans="1:11" x14ac:dyDescent="0.25">
      <c r="A1341" s="14" t="str">
        <f>+'[1]BASE RED COMERCIAL'!$A1339</f>
        <v>S0138</v>
      </c>
      <c r="B1341" s="8" t="str">
        <f>+'[1]BASE RED COMERCIAL'!$H1339</f>
        <v>SAN CRISTOBAL</v>
      </c>
      <c r="C1341" s="7" t="s">
        <v>33</v>
      </c>
      <c r="D1341" s="9" t="str">
        <f>+'[1]BASE RED COMERCIAL'!$E1339</f>
        <v>PRINGLES</v>
      </c>
      <c r="E1341" s="7">
        <f>+'[1]BASE RED COMERCIAL'!$F1339</f>
        <v>915</v>
      </c>
      <c r="F1341" s="14" t="str">
        <f>+'[1]BASE RED COMERCIAL'!$I1339</f>
        <v>S3070ZAA</v>
      </c>
      <c r="G1341" s="7" t="str">
        <f>+'[1]BASE RED COMERCIAL'!$D1339</f>
        <v>SAN CRISTOBAL</v>
      </c>
      <c r="H1341" s="7" t="str">
        <f>+'[1]BASE RED COMERCIAL'!$B1339</f>
        <v>SANTA FE</v>
      </c>
      <c r="I1341" s="8" t="str">
        <f>+'[1]BASE RED COMERCIAL'!$C1339</f>
        <v>SAN CRISTOBAL</v>
      </c>
      <c r="J1341" s="10"/>
      <c r="K1341" s="10"/>
    </row>
    <row r="1342" spans="1:11" x14ac:dyDescent="0.25">
      <c r="A1342" s="14" t="str">
        <f>+'[1]BASE RED COMERCIAL'!$A1340</f>
        <v>S0140</v>
      </c>
      <c r="B1342" s="8" t="str">
        <f>+'[1]BASE RED COMERCIAL'!$H1340</f>
        <v>SAN GUILLERMO</v>
      </c>
      <c r="C1342" s="7" t="s">
        <v>33</v>
      </c>
      <c r="D1342" s="9" t="str">
        <f>+'[1]BASE RED COMERCIAL'!$E1340</f>
        <v>B. RIVADAVIA Y MORENO</v>
      </c>
      <c r="E1342" s="7">
        <f>+'[1]BASE RED COMERCIAL'!$F1340</f>
        <v>0</v>
      </c>
      <c r="F1342" s="14" t="str">
        <f>+'[1]BASE RED COMERCIAL'!$I1340</f>
        <v>S2347ZAA</v>
      </c>
      <c r="G1342" s="7" t="str">
        <f>+'[1]BASE RED COMERCIAL'!$D1340</f>
        <v>SAN GUILLERMO</v>
      </c>
      <c r="H1342" s="7" t="str">
        <f>+'[1]BASE RED COMERCIAL'!$B1340</f>
        <v>SANTA FE</v>
      </c>
      <c r="I1342" s="8" t="str">
        <f>+'[1]BASE RED COMERCIAL'!$C1340</f>
        <v>BELGRANO</v>
      </c>
      <c r="J1342" s="10"/>
      <c r="K1342" s="10"/>
    </row>
    <row r="1343" spans="1:11" x14ac:dyDescent="0.25">
      <c r="A1343" s="14" t="str">
        <f>+'[1]BASE RED COMERCIAL'!$A1341</f>
        <v>S0142</v>
      </c>
      <c r="B1343" s="8" t="str">
        <f>+'[1]BASE RED COMERCIAL'!$H1341</f>
        <v>SAN JAVIER</v>
      </c>
      <c r="C1343" s="7" t="s">
        <v>33</v>
      </c>
      <c r="D1343" s="9" t="str">
        <f>+'[1]BASE RED COMERCIAL'!$E1341</f>
        <v>SAN MARTIN</v>
      </c>
      <c r="E1343" s="7">
        <f>+'[1]BASE RED COMERCIAL'!$F1341</f>
        <v>1839</v>
      </c>
      <c r="F1343" s="14" t="str">
        <f>+'[1]BASE RED COMERCIAL'!$I1341</f>
        <v>S3005ZAA</v>
      </c>
      <c r="G1343" s="7" t="str">
        <f>+'[1]BASE RED COMERCIAL'!$D1341</f>
        <v>SAN JAVIER</v>
      </c>
      <c r="H1343" s="7" t="str">
        <f>+'[1]BASE RED COMERCIAL'!$B1341</f>
        <v>SANTA FE</v>
      </c>
      <c r="I1343" s="8" t="str">
        <f>+'[1]BASE RED COMERCIAL'!$C1341</f>
        <v>SAN JAVIER</v>
      </c>
      <c r="J1343" s="10"/>
      <c r="K1343" s="10"/>
    </row>
    <row r="1344" spans="1:11" x14ac:dyDescent="0.25">
      <c r="A1344" s="14" t="str">
        <f>+'[1]BASE RED COMERCIAL'!$A1342</f>
        <v>S0144</v>
      </c>
      <c r="B1344" s="8" t="str">
        <f>+'[1]BASE RED COMERCIAL'!$H1342</f>
        <v>SAN JERONIMO NORTE</v>
      </c>
      <c r="C1344" s="7" t="s">
        <v>33</v>
      </c>
      <c r="D1344" s="9" t="str">
        <f>+'[1]BASE RED COMERCIAL'!$E1342</f>
        <v>SARMIENTO</v>
      </c>
      <c r="E1344" s="7">
        <f>+'[1]BASE RED COMERCIAL'!$F1342</f>
        <v>577</v>
      </c>
      <c r="F1344" s="14" t="str">
        <f>+'[1]BASE RED COMERCIAL'!$I1342</f>
        <v>S3015ZAA</v>
      </c>
      <c r="G1344" s="7" t="str">
        <f>+'[1]BASE RED COMERCIAL'!$D1342</f>
        <v>SAN JERONIMO NORTE</v>
      </c>
      <c r="H1344" s="7" t="str">
        <f>+'[1]BASE RED COMERCIAL'!$B1342</f>
        <v>SANTA FE</v>
      </c>
      <c r="I1344" s="8" t="str">
        <f>+'[1]BASE RED COMERCIAL'!$C1342</f>
        <v>LAS COLONIAS</v>
      </c>
      <c r="J1344" s="10"/>
      <c r="K1344" s="10"/>
    </row>
    <row r="1345" spans="1:11" x14ac:dyDescent="0.25">
      <c r="A1345" s="14" t="str">
        <f>+'[1]BASE RED COMERCIAL'!$A1343</f>
        <v>S0146</v>
      </c>
      <c r="B1345" s="8" t="str">
        <f>+'[1]BASE RED COMERCIAL'!$H1343</f>
        <v>SAN JORGE</v>
      </c>
      <c r="C1345" s="7" t="s">
        <v>33</v>
      </c>
      <c r="D1345" s="9" t="str">
        <f>+'[1]BASE RED COMERCIAL'!$E1343</f>
        <v>AV JUAN B ALBERDI</v>
      </c>
      <c r="E1345" s="7">
        <f>+'[1]BASE RED COMERCIAL'!$F1343</f>
        <v>1298</v>
      </c>
      <c r="F1345" s="14" t="str">
        <f>+'[1]BASE RED COMERCIAL'!$I1343</f>
        <v>S2452ZAA</v>
      </c>
      <c r="G1345" s="7" t="str">
        <f>+'[1]BASE RED COMERCIAL'!$D1343</f>
        <v>SAN JORGE</v>
      </c>
      <c r="H1345" s="7" t="str">
        <f>+'[1]BASE RED COMERCIAL'!$B1343</f>
        <v>SANTA FE</v>
      </c>
      <c r="I1345" s="8" t="str">
        <f>+'[1]BASE RED COMERCIAL'!$C1343</f>
        <v>SAN MARTIN</v>
      </c>
      <c r="J1345" s="10"/>
      <c r="K1345" s="10"/>
    </row>
    <row r="1346" spans="1:11" x14ac:dyDescent="0.25">
      <c r="A1346" s="14" t="str">
        <f>+'[1]BASE RED COMERCIAL'!$A1344</f>
        <v>S0148</v>
      </c>
      <c r="B1346" s="8" t="str">
        <f>+'[1]BASE RED COMERCIAL'!$H1344</f>
        <v>SAN JOSE DEL RINCON</v>
      </c>
      <c r="C1346" s="7" t="s">
        <v>33</v>
      </c>
      <c r="D1346" s="9" t="str">
        <f>+'[1]BASE RED COMERCIAL'!$E1344</f>
        <v>GREGORIO GAMBOA</v>
      </c>
      <c r="E1346" s="7">
        <f>+'[1]BASE RED COMERCIAL'!$F1344</f>
        <v>1401</v>
      </c>
      <c r="F1346" s="14" t="str">
        <f>+'[1]BASE RED COMERCIAL'!$I1344</f>
        <v>S3089ZAA</v>
      </c>
      <c r="G1346" s="7" t="str">
        <f>+'[1]BASE RED COMERCIAL'!$D1344</f>
        <v>SAN JOSE DEL RINCON</v>
      </c>
      <c r="H1346" s="7" t="str">
        <f>+'[1]BASE RED COMERCIAL'!$B1344</f>
        <v>SANTA FE</v>
      </c>
      <c r="I1346" s="8" t="str">
        <f>+'[1]BASE RED COMERCIAL'!$C1344</f>
        <v>LA CAPITAL</v>
      </c>
      <c r="J1346" s="10"/>
      <c r="K1346" s="10"/>
    </row>
    <row r="1347" spans="1:11" x14ac:dyDescent="0.25">
      <c r="A1347" s="14" t="str">
        <f>+'[1]BASE RED COMERCIAL'!$A1345</f>
        <v>S0150</v>
      </c>
      <c r="B1347" s="8" t="str">
        <f>+'[1]BASE RED COMERCIAL'!$H1345</f>
        <v>SAN JUSTO</v>
      </c>
      <c r="C1347" s="7" t="s">
        <v>33</v>
      </c>
      <c r="D1347" s="9" t="str">
        <f>+'[1]BASE RED COMERCIAL'!$E1345</f>
        <v>GDOR CABAL</v>
      </c>
      <c r="E1347" s="7">
        <f>+'[1]BASE RED COMERCIAL'!$F1345</f>
        <v>2340</v>
      </c>
      <c r="F1347" s="14" t="str">
        <f>+'[1]BASE RED COMERCIAL'!$I1345</f>
        <v>S3040ZAA</v>
      </c>
      <c r="G1347" s="7" t="str">
        <f>+'[1]BASE RED COMERCIAL'!$D1345</f>
        <v>SAN JUSTO</v>
      </c>
      <c r="H1347" s="7" t="str">
        <f>+'[1]BASE RED COMERCIAL'!$B1345</f>
        <v>SANTA FE</v>
      </c>
      <c r="I1347" s="8" t="str">
        <f>+'[1]BASE RED COMERCIAL'!$C1345</f>
        <v>SAN JUSTO</v>
      </c>
      <c r="J1347" s="10"/>
      <c r="K1347" s="10"/>
    </row>
    <row r="1348" spans="1:11" x14ac:dyDescent="0.25">
      <c r="A1348" s="14" t="str">
        <f>+'[1]BASE RED COMERCIAL'!$A1346</f>
        <v>S0152</v>
      </c>
      <c r="B1348" s="8" t="str">
        <f>+'[1]BASE RED COMERCIAL'!$H1346</f>
        <v>SAN MARTIN DE LAS ESCOBAS</v>
      </c>
      <c r="C1348" s="7" t="s">
        <v>33</v>
      </c>
      <c r="D1348" s="9" t="str">
        <f>+'[1]BASE RED COMERCIAL'!$E1346</f>
        <v>MIGUEL RIBETTI</v>
      </c>
      <c r="E1348" s="7">
        <f>+'[1]BASE RED COMERCIAL'!$F1346</f>
        <v>785</v>
      </c>
      <c r="F1348" s="14" t="str">
        <f>+'[1]BASE RED COMERCIAL'!$I1346</f>
        <v>S2449ZAA</v>
      </c>
      <c r="G1348" s="7" t="str">
        <f>+'[1]BASE RED COMERCIAL'!$D1346</f>
        <v>SAN MARTIN DE LAS ESCOBAS</v>
      </c>
      <c r="H1348" s="7" t="str">
        <f>+'[1]BASE RED COMERCIAL'!$B1346</f>
        <v>SANTA FE</v>
      </c>
      <c r="I1348" s="8" t="str">
        <f>+'[1]BASE RED COMERCIAL'!$C1346</f>
        <v>SAN MARTIN</v>
      </c>
      <c r="J1348" s="10"/>
      <c r="K1348" s="10"/>
    </row>
    <row r="1349" spans="1:11" x14ac:dyDescent="0.25">
      <c r="A1349" s="14" t="str">
        <f>+'[1]BASE RED COMERCIAL'!$A1347</f>
        <v>S0154</v>
      </c>
      <c r="B1349" s="8" t="str">
        <f>+'[1]BASE RED COMERCIAL'!$H1347</f>
        <v>SAN VICENTE</v>
      </c>
      <c r="C1349" s="7" t="s">
        <v>33</v>
      </c>
      <c r="D1349" s="9" t="str">
        <f>+'[1]BASE RED COMERCIAL'!$E1347</f>
        <v>SGTO CABRAL</v>
      </c>
      <c r="E1349" s="7">
        <f>+'[1]BASE RED COMERCIAL'!$F1347</f>
        <v>144</v>
      </c>
      <c r="F1349" s="14" t="str">
        <f>+'[1]BASE RED COMERCIAL'!$I1347</f>
        <v>S2447ZAA</v>
      </c>
      <c r="G1349" s="7" t="str">
        <f>+'[1]BASE RED COMERCIAL'!$D1347</f>
        <v>SAN VICENTE</v>
      </c>
      <c r="H1349" s="7" t="str">
        <f>+'[1]BASE RED COMERCIAL'!$B1347</f>
        <v>SANTA FE</v>
      </c>
      <c r="I1349" s="8" t="str">
        <f>+'[1]BASE RED COMERCIAL'!$C1347</f>
        <v>CASTELLANOS</v>
      </c>
      <c r="J1349" s="10"/>
      <c r="K1349" s="10"/>
    </row>
    <row r="1350" spans="1:11" x14ac:dyDescent="0.25">
      <c r="A1350" s="14" t="str">
        <f>+'[1]BASE RED COMERCIAL'!$A1348</f>
        <v>S0156</v>
      </c>
      <c r="B1350" s="8" t="str">
        <f>+'[1]BASE RED COMERCIAL'!$H1348</f>
        <v>SANTA CLARA DE LA BUENA VISTA</v>
      </c>
      <c r="C1350" s="7" t="s">
        <v>33</v>
      </c>
      <c r="D1350" s="9" t="str">
        <f>+'[1]BASE RED COMERCIAL'!$E1348</f>
        <v>AV CNEL C RISSO PATRON</v>
      </c>
      <c r="E1350" s="7">
        <f>+'[1]BASE RED COMERCIAL'!$F1348</f>
        <v>645</v>
      </c>
      <c r="F1350" s="14" t="str">
        <f>+'[1]BASE RED COMERCIAL'!$I1348</f>
        <v>S2258ZAA</v>
      </c>
      <c r="G1350" s="7" t="str">
        <f>+'[1]BASE RED COMERCIAL'!$D1348</f>
        <v>SANTA CLARA DE BUENA VISTA</v>
      </c>
      <c r="H1350" s="7" t="str">
        <f>+'[1]BASE RED COMERCIAL'!$B1348</f>
        <v>SANTA FE</v>
      </c>
      <c r="I1350" s="8" t="str">
        <f>+'[1]BASE RED COMERCIAL'!$C1348</f>
        <v>LAS COLONIAS</v>
      </c>
      <c r="J1350" s="10"/>
      <c r="K1350" s="10"/>
    </row>
    <row r="1351" spans="1:11" x14ac:dyDescent="0.25">
      <c r="A1351" s="14" t="str">
        <f>+'[1]BASE RED COMERCIAL'!$A1349</f>
        <v>S0158</v>
      </c>
      <c r="B1351" s="8" t="str">
        <f>+'[1]BASE RED COMERCIAL'!$H1349</f>
        <v>SANTA CLARA DE SAGUIER</v>
      </c>
      <c r="C1351" s="7" t="s">
        <v>33</v>
      </c>
      <c r="D1351" s="9" t="str">
        <f>+'[1]BASE RED COMERCIAL'!$E1349</f>
        <v>SANTA CLARA DE ASIS</v>
      </c>
      <c r="E1351" s="7">
        <f>+'[1]BASE RED COMERCIAL'!$F1349</f>
        <v>88</v>
      </c>
      <c r="F1351" s="14" t="str">
        <f>+'[1]BASE RED COMERCIAL'!$I1349</f>
        <v>S2405ZAA</v>
      </c>
      <c r="G1351" s="7" t="str">
        <f>+'[1]BASE RED COMERCIAL'!$D1349</f>
        <v>SANTA CLARA DE SAGUIER</v>
      </c>
      <c r="H1351" s="7" t="str">
        <f>+'[1]BASE RED COMERCIAL'!$B1349</f>
        <v>SANTA FE</v>
      </c>
      <c r="I1351" s="8" t="str">
        <f>+'[1]BASE RED COMERCIAL'!$C1349</f>
        <v>CASTELLANOS</v>
      </c>
      <c r="J1351" s="10"/>
      <c r="K1351" s="10"/>
    </row>
    <row r="1352" spans="1:11" x14ac:dyDescent="0.25">
      <c r="A1352" s="14" t="str">
        <f>+'[1]BASE RED COMERCIAL'!$A1350</f>
        <v>S0176</v>
      </c>
      <c r="B1352" s="8" t="str">
        <f>+'[1]BASE RED COMERCIAL'!$H1350</f>
        <v>SANTA ROSA</v>
      </c>
      <c r="C1352" s="7" t="s">
        <v>33</v>
      </c>
      <c r="D1352" s="9" t="str">
        <f>+'[1]BASE RED COMERCIAL'!$E1350</f>
        <v>JUAN DE GARAY</v>
      </c>
      <c r="E1352" s="7">
        <f>+'[1]BASE RED COMERCIAL'!$F1350</f>
        <v>331</v>
      </c>
      <c r="F1352" s="14" t="str">
        <f>+'[1]BASE RED COMERCIAL'!$I1350</f>
        <v>S3022ZAA</v>
      </c>
      <c r="G1352" s="7" t="str">
        <f>+'[1]BASE RED COMERCIAL'!$D1350</f>
        <v>SANTA ROSA DE CALCHINES</v>
      </c>
      <c r="H1352" s="7" t="str">
        <f>+'[1]BASE RED COMERCIAL'!$B1350</f>
        <v>SANTA FE</v>
      </c>
      <c r="I1352" s="8" t="str">
        <f>+'[1]BASE RED COMERCIAL'!$C1350</f>
        <v>GARAY</v>
      </c>
      <c r="J1352" s="10"/>
      <c r="K1352" s="10"/>
    </row>
    <row r="1353" spans="1:11" x14ac:dyDescent="0.25">
      <c r="A1353" s="14" t="str">
        <f>+'[1]BASE RED COMERCIAL'!$A1351</f>
        <v>S0178</v>
      </c>
      <c r="B1353" s="8" t="str">
        <f>+'[1]BASE RED COMERCIAL'!$H1351</f>
        <v>SANTO TOME</v>
      </c>
      <c r="C1353" s="7" t="s">
        <v>33</v>
      </c>
      <c r="D1353" s="9" t="str">
        <f>+'[1]BASE RED COMERCIAL'!$E1351</f>
        <v>ALVEAR</v>
      </c>
      <c r="E1353" s="7">
        <f>+'[1]BASE RED COMERCIAL'!$F1351</f>
        <v>2517</v>
      </c>
      <c r="F1353" s="14" t="str">
        <f>+'[1]BASE RED COMERCIAL'!$I1351</f>
        <v>S3016ZAA</v>
      </c>
      <c r="G1353" s="7" t="str">
        <f>+'[1]BASE RED COMERCIAL'!$D1351</f>
        <v>SANTO TOME</v>
      </c>
      <c r="H1353" s="7" t="str">
        <f>+'[1]BASE RED COMERCIAL'!$B1351</f>
        <v>SANTA FE</v>
      </c>
      <c r="I1353" s="8" t="str">
        <f>+'[1]BASE RED COMERCIAL'!$C1351</f>
        <v>LA CAPITAL</v>
      </c>
      <c r="J1353" s="10"/>
      <c r="K1353" s="10"/>
    </row>
    <row r="1354" spans="1:11" x14ac:dyDescent="0.25">
      <c r="A1354" s="14" t="str">
        <f>+'[1]BASE RED COMERCIAL'!$A1352</f>
        <v>S0180</v>
      </c>
      <c r="B1354" s="8" t="str">
        <f>+'[1]BASE RED COMERCIAL'!$H1352</f>
        <v>SARMIENTO</v>
      </c>
      <c r="C1354" s="7" t="s">
        <v>33</v>
      </c>
      <c r="D1354" s="9" t="str">
        <f>+'[1]BASE RED COMERCIAL'!$E1352</f>
        <v>DR MARIANO MORENO</v>
      </c>
      <c r="E1354" s="7">
        <f>+'[1]BASE RED COMERCIAL'!$F1352</f>
        <v>1287</v>
      </c>
      <c r="F1354" s="14" t="str">
        <f>+'[1]BASE RED COMERCIAL'!$I1352</f>
        <v>S3024ZAA</v>
      </c>
      <c r="G1354" s="7" t="str">
        <f>+'[1]BASE RED COMERCIAL'!$D1352</f>
        <v>SARMIENTO</v>
      </c>
      <c r="H1354" s="7" t="str">
        <f>+'[1]BASE RED COMERCIAL'!$B1352</f>
        <v>SANTA FE</v>
      </c>
      <c r="I1354" s="8" t="str">
        <f>+'[1]BASE RED COMERCIAL'!$C1352</f>
        <v>LAS COLONIAS</v>
      </c>
      <c r="J1354" s="10"/>
      <c r="K1354" s="10"/>
    </row>
    <row r="1355" spans="1:11" x14ac:dyDescent="0.25">
      <c r="A1355" s="14" t="str">
        <f>+'[1]BASE RED COMERCIAL'!$A1353</f>
        <v>S0182</v>
      </c>
      <c r="B1355" s="8" t="str">
        <f>+'[1]BASE RED COMERCIAL'!$H1353</f>
        <v>SASTRE</v>
      </c>
      <c r="C1355" s="7" t="s">
        <v>33</v>
      </c>
      <c r="D1355" s="9" t="str">
        <f>+'[1]BASE RED COMERCIAL'!$E1353</f>
        <v>EMILIO DE ORTIZ</v>
      </c>
      <c r="E1355" s="7">
        <f>+'[1]BASE RED COMERCIAL'!$F1353</f>
        <v>1635</v>
      </c>
      <c r="F1355" s="14" t="str">
        <f>+'[1]BASE RED COMERCIAL'!$I1353</f>
        <v>S2440ZAA</v>
      </c>
      <c r="G1355" s="7" t="str">
        <f>+'[1]BASE RED COMERCIAL'!$D1353</f>
        <v>SASTRE</v>
      </c>
      <c r="H1355" s="7" t="str">
        <f>+'[1]BASE RED COMERCIAL'!$B1353</f>
        <v>SANTA FE</v>
      </c>
      <c r="I1355" s="8" t="str">
        <f>+'[1]BASE RED COMERCIAL'!$C1353</f>
        <v>SAN MARTIN</v>
      </c>
      <c r="J1355" s="10"/>
      <c r="K1355" s="10"/>
    </row>
    <row r="1356" spans="1:11" x14ac:dyDescent="0.25">
      <c r="A1356" s="14" t="str">
        <f>+'[1]BASE RED COMERCIAL'!$A1354</f>
        <v>S0184</v>
      </c>
      <c r="B1356" s="8" t="str">
        <f>+'[1]BASE RED COMERCIAL'!$H1354</f>
        <v>SUARDI</v>
      </c>
      <c r="C1356" s="7" t="s">
        <v>33</v>
      </c>
      <c r="D1356" s="9" t="str">
        <f>+'[1]BASE RED COMERCIAL'!$E1354</f>
        <v>25 DE MAYO</v>
      </c>
      <c r="E1356" s="7">
        <f>+'[1]BASE RED COMERCIAL'!$F1354</f>
        <v>598</v>
      </c>
      <c r="F1356" s="14" t="str">
        <f>+'[1]BASE RED COMERCIAL'!$I1354</f>
        <v>S2349ZAA</v>
      </c>
      <c r="G1356" s="7" t="str">
        <f>+'[1]BASE RED COMERCIAL'!$D1354</f>
        <v>SUARDI</v>
      </c>
      <c r="H1356" s="7" t="str">
        <f>+'[1]BASE RED COMERCIAL'!$B1354</f>
        <v>SANTA FE</v>
      </c>
      <c r="I1356" s="8" t="str">
        <f>+'[1]BASE RED COMERCIAL'!$C1354</f>
        <v>SAN CRISTOBAL</v>
      </c>
      <c r="J1356" s="10"/>
      <c r="K1356" s="10"/>
    </row>
    <row r="1357" spans="1:11" x14ac:dyDescent="0.25">
      <c r="A1357" s="14" t="str">
        <f>+'[1]BASE RED COMERCIAL'!$A1355</f>
        <v>S0186</v>
      </c>
      <c r="B1357" s="8" t="str">
        <f>+'[1]BASE RED COMERCIAL'!$H1355</f>
        <v>SUNCHALES</v>
      </c>
      <c r="C1357" s="7" t="s">
        <v>33</v>
      </c>
      <c r="D1357" s="9" t="str">
        <f>+'[1]BASE RED COMERCIAL'!$E1355</f>
        <v>AV MANUEL BELGRANO</v>
      </c>
      <c r="E1357" s="7">
        <f>+'[1]BASE RED COMERCIAL'!$F1355</f>
        <v>192</v>
      </c>
      <c r="F1357" s="14" t="str">
        <f>+'[1]BASE RED COMERCIAL'!$I1355</f>
        <v>S2322ZAA</v>
      </c>
      <c r="G1357" s="7" t="str">
        <f>+'[1]BASE RED COMERCIAL'!$D1355</f>
        <v>SUNCHALES</v>
      </c>
      <c r="H1357" s="7" t="str">
        <f>+'[1]BASE RED COMERCIAL'!$B1355</f>
        <v>SANTA FE</v>
      </c>
      <c r="I1357" s="8" t="str">
        <f>+'[1]BASE RED COMERCIAL'!$C1355</f>
        <v>CASTELLANOS</v>
      </c>
      <c r="J1357" s="10"/>
      <c r="K1357" s="10"/>
    </row>
    <row r="1358" spans="1:11" x14ac:dyDescent="0.25">
      <c r="A1358" s="14" t="str">
        <f>+'[1]BASE RED COMERCIAL'!$A1356</f>
        <v>S0188</v>
      </c>
      <c r="B1358" s="8" t="str">
        <f>+'[1]BASE RED COMERCIAL'!$H1356</f>
        <v>SAN GENARO</v>
      </c>
      <c r="C1358" s="7" t="s">
        <v>33</v>
      </c>
      <c r="D1358" s="9" t="str">
        <f>+'[1]BASE RED COMERCIAL'!$E1356</f>
        <v>JUAN LAZARTE</v>
      </c>
      <c r="E1358" s="7">
        <f>+'[1]BASE RED COMERCIAL'!$F1356</f>
        <v>1498</v>
      </c>
      <c r="F1358" s="14" t="str">
        <f>+'[1]BASE RED COMERCIAL'!$I1356</f>
        <v>S2146ZAA</v>
      </c>
      <c r="G1358" s="7" t="str">
        <f>+'[1]BASE RED COMERCIAL'!$D1356</f>
        <v>SAN GENARO</v>
      </c>
      <c r="H1358" s="7" t="str">
        <f>+'[1]BASE RED COMERCIAL'!$B1356</f>
        <v>SANTA FE</v>
      </c>
      <c r="I1358" s="8" t="str">
        <f>+'[1]BASE RED COMERCIAL'!$C1356</f>
        <v>SAN JERONIMO</v>
      </c>
      <c r="J1358" s="10"/>
      <c r="K1358" s="10"/>
    </row>
    <row r="1359" spans="1:11" x14ac:dyDescent="0.25">
      <c r="A1359" s="14" t="str">
        <f>+'[1]BASE RED COMERCIAL'!$A1357</f>
        <v>S0190</v>
      </c>
      <c r="B1359" s="8" t="str">
        <f>+'[1]BASE RED COMERCIAL'!$H1357</f>
        <v>SAN GENARO NORTE</v>
      </c>
      <c r="C1359" s="7" t="s">
        <v>33</v>
      </c>
      <c r="D1359" s="9" t="str">
        <f>+'[1]BASE RED COMERCIAL'!$E1357</f>
        <v>SAN MARTIN</v>
      </c>
      <c r="E1359" s="7">
        <f>+'[1]BASE RED COMERCIAL'!$F1357</f>
        <v>777</v>
      </c>
      <c r="F1359" s="14" t="str">
        <f>+'[1]BASE RED COMERCIAL'!$I1357</f>
        <v>S2147ZAA</v>
      </c>
      <c r="G1359" s="7" t="str">
        <f>+'[1]BASE RED COMERCIAL'!$D1357</f>
        <v>SAN GENARO NORTE</v>
      </c>
      <c r="H1359" s="7" t="str">
        <f>+'[1]BASE RED COMERCIAL'!$B1357</f>
        <v>SANTA FE</v>
      </c>
      <c r="I1359" s="8" t="str">
        <f>+'[1]BASE RED COMERCIAL'!$C1357</f>
        <v>SAN JERONIMO</v>
      </c>
      <c r="J1359" s="10"/>
      <c r="K1359" s="10"/>
    </row>
    <row r="1360" spans="1:11" x14ac:dyDescent="0.25">
      <c r="A1360" s="14" t="str">
        <f>+'[1]BASE RED COMERCIAL'!$A1358</f>
        <v>S0192</v>
      </c>
      <c r="B1360" s="8" t="str">
        <f>+'[1]BASE RED COMERCIAL'!$H1358</f>
        <v>TACURAL</v>
      </c>
      <c r="C1360" s="7" t="s">
        <v>33</v>
      </c>
      <c r="D1360" s="9" t="str">
        <f>+'[1]BASE RED COMERCIAL'!$E1358</f>
        <v>DR MANUEL BELGRANO</v>
      </c>
      <c r="E1360" s="7">
        <f>+'[1]BASE RED COMERCIAL'!$F1358</f>
        <v>512</v>
      </c>
      <c r="F1360" s="14" t="str">
        <f>+'[1]BASE RED COMERCIAL'!$I1358</f>
        <v>S2324ZAA</v>
      </c>
      <c r="G1360" s="7" t="str">
        <f>+'[1]BASE RED COMERCIAL'!$D1358</f>
        <v>TACURAL</v>
      </c>
      <c r="H1360" s="7" t="str">
        <f>+'[1]BASE RED COMERCIAL'!$B1358</f>
        <v>SANTA FE</v>
      </c>
      <c r="I1360" s="8" t="str">
        <f>+'[1]BASE RED COMERCIAL'!$C1358</f>
        <v>CASTELLANOS</v>
      </c>
      <c r="J1360" s="10"/>
      <c r="K1360" s="10"/>
    </row>
    <row r="1361" spans="1:11" x14ac:dyDescent="0.25">
      <c r="A1361" s="14" t="str">
        <f>+'[1]BASE RED COMERCIAL'!$A1359</f>
        <v>S0194</v>
      </c>
      <c r="B1361" s="8" t="str">
        <f>+'[1]BASE RED COMERCIAL'!$H1359</f>
        <v>TOSTADO</v>
      </c>
      <c r="C1361" s="7" t="s">
        <v>33</v>
      </c>
      <c r="D1361" s="9" t="str">
        <f>+'[1]BASE RED COMERCIAL'!$E1359</f>
        <v>AV B RIVADAVIA</v>
      </c>
      <c r="E1361" s="7">
        <f>+'[1]BASE RED COMERCIAL'!$F1359</f>
        <v>1118</v>
      </c>
      <c r="F1361" s="14" t="str">
        <f>+'[1]BASE RED COMERCIAL'!$I1359</f>
        <v>S3060ZAA</v>
      </c>
      <c r="G1361" s="7" t="str">
        <f>+'[1]BASE RED COMERCIAL'!$D1359</f>
        <v>TOSTADO</v>
      </c>
      <c r="H1361" s="7" t="str">
        <f>+'[1]BASE RED COMERCIAL'!$B1359</f>
        <v>SANTA FE</v>
      </c>
      <c r="I1361" s="8" t="str">
        <f>+'[1]BASE RED COMERCIAL'!$C1359</f>
        <v>9 DE JULIO</v>
      </c>
      <c r="J1361" s="10"/>
      <c r="K1361" s="10"/>
    </row>
    <row r="1362" spans="1:11" x14ac:dyDescent="0.25">
      <c r="A1362" s="14" t="str">
        <f>+'[1]BASE RED COMERCIAL'!$A1360</f>
        <v>S0196</v>
      </c>
      <c r="B1362" s="8" t="str">
        <f>+'[1]BASE RED COMERCIAL'!$H1360</f>
        <v>VERA</v>
      </c>
      <c r="C1362" s="7" t="s">
        <v>33</v>
      </c>
      <c r="D1362" s="9" t="str">
        <f>+'[1]BASE RED COMERCIAL'!$E1360</f>
        <v>25 DE MAYO</v>
      </c>
      <c r="E1362" s="7">
        <f>+'[1]BASE RED COMERCIAL'!$F1360</f>
        <v>1905</v>
      </c>
      <c r="F1362" s="14" t="str">
        <f>+'[1]BASE RED COMERCIAL'!$I1360</f>
        <v>S3550ZAA</v>
      </c>
      <c r="G1362" s="7" t="str">
        <f>+'[1]BASE RED COMERCIAL'!$D1360</f>
        <v>VERA</v>
      </c>
      <c r="H1362" s="7" t="str">
        <f>+'[1]BASE RED COMERCIAL'!$B1360</f>
        <v>SANTA FE</v>
      </c>
      <c r="I1362" s="8" t="str">
        <f>+'[1]BASE RED COMERCIAL'!$C1360</f>
        <v>VERA</v>
      </c>
      <c r="J1362" s="10"/>
      <c r="K1362" s="10"/>
    </row>
    <row r="1363" spans="1:11" x14ac:dyDescent="0.25">
      <c r="A1363" s="14" t="str">
        <f>+'[1]BASE RED COMERCIAL'!$A1361</f>
        <v>S0198</v>
      </c>
      <c r="B1363" s="8" t="str">
        <f>+'[1]BASE RED COMERCIAL'!$H1361</f>
        <v>VERA Y PINTADO</v>
      </c>
      <c r="C1363" s="7" t="s">
        <v>33</v>
      </c>
      <c r="D1363" s="9" t="str">
        <f>+'[1]BASE RED COMERCIAL'!$E1361</f>
        <v>MANZANA K P URBANA</v>
      </c>
      <c r="E1363" s="7">
        <f>+'[1]BASE RED COMERCIAL'!$F1361</f>
        <v>0</v>
      </c>
      <c r="F1363" s="14" t="str">
        <f>+'[1]BASE RED COMERCIAL'!$I1361</f>
        <v>S3054ZAA</v>
      </c>
      <c r="G1363" s="7" t="str">
        <f>+'[1]BASE RED COMERCIAL'!$D1361</f>
        <v>VERA Y PINTADO</v>
      </c>
      <c r="H1363" s="7" t="str">
        <f>+'[1]BASE RED COMERCIAL'!$B1361</f>
        <v>SANTA FE</v>
      </c>
      <c r="I1363" s="8" t="str">
        <f>+'[1]BASE RED COMERCIAL'!$C1361</f>
        <v>SAN JUSTO</v>
      </c>
      <c r="J1363" s="10"/>
      <c r="K1363" s="10"/>
    </row>
    <row r="1364" spans="1:11" x14ac:dyDescent="0.25">
      <c r="A1364" s="14" t="str">
        <f>+'[1]BASE RED COMERCIAL'!$A1362</f>
        <v>S0200</v>
      </c>
      <c r="B1364" s="8" t="str">
        <f>+'[1]BASE RED COMERCIAL'!$H1362</f>
        <v>VIDELA</v>
      </c>
      <c r="C1364" s="7" t="s">
        <v>33</v>
      </c>
      <c r="D1364" s="9" t="str">
        <f>+'[1]BASE RED COMERCIAL'!$E1362</f>
        <v>20 DE JUNIO</v>
      </c>
      <c r="E1364" s="7">
        <f>+'[1]BASE RED COMERCIAL'!$F1362</f>
        <v>602</v>
      </c>
      <c r="F1364" s="14" t="str">
        <f>+'[1]BASE RED COMERCIAL'!$I1362</f>
        <v>S3048ZAA</v>
      </c>
      <c r="G1364" s="7" t="str">
        <f>+'[1]BASE RED COMERCIAL'!$D1362</f>
        <v>VIDELA</v>
      </c>
      <c r="H1364" s="7" t="str">
        <f>+'[1]BASE RED COMERCIAL'!$B1362</f>
        <v>SANTA FE</v>
      </c>
      <c r="I1364" s="8" t="str">
        <f>+'[1]BASE RED COMERCIAL'!$C1362</f>
        <v>SAN JUSTO</v>
      </c>
      <c r="J1364" s="10"/>
      <c r="K1364" s="10"/>
    </row>
    <row r="1365" spans="1:11" x14ac:dyDescent="0.25">
      <c r="A1365" s="14" t="str">
        <f>+'[1]BASE RED COMERCIAL'!$A1363</f>
        <v>S0202</v>
      </c>
      <c r="B1365" s="8" t="str">
        <f>+'[1]BASE RED COMERCIAL'!$H1363</f>
        <v>VILA</v>
      </c>
      <c r="C1365" s="7" t="s">
        <v>33</v>
      </c>
      <c r="D1365" s="9" t="str">
        <f>+'[1]BASE RED COMERCIAL'!$E1363</f>
        <v>1 DE MAYO</v>
      </c>
      <c r="E1365" s="7">
        <f>+'[1]BASE RED COMERCIAL'!$F1363</f>
        <v>100</v>
      </c>
      <c r="F1365" s="14" t="str">
        <f>+'[1]BASE RED COMERCIAL'!$I1363</f>
        <v>S2306ZAA</v>
      </c>
      <c r="G1365" s="7" t="str">
        <f>+'[1]BASE RED COMERCIAL'!$D1363</f>
        <v>VILA</v>
      </c>
      <c r="H1365" s="7" t="str">
        <f>+'[1]BASE RED COMERCIAL'!$B1363</f>
        <v>SANTA FE</v>
      </c>
      <c r="I1365" s="8" t="str">
        <f>+'[1]BASE RED COMERCIAL'!$C1363</f>
        <v>CASTELLANOS</v>
      </c>
      <c r="J1365" s="10"/>
      <c r="K1365" s="10"/>
    </row>
    <row r="1366" spans="1:11" x14ac:dyDescent="0.25">
      <c r="A1366" s="14" t="str">
        <f>+'[1]BASE RED COMERCIAL'!$A1364</f>
        <v>S0204</v>
      </c>
      <c r="B1366" s="8" t="str">
        <f>+'[1]BASE RED COMERCIAL'!$H1364</f>
        <v>VILLA ANA</v>
      </c>
      <c r="C1366" s="7" t="s">
        <v>33</v>
      </c>
      <c r="D1366" s="9" t="str">
        <f>+'[1]BASE RED COMERCIAL'!$E1364</f>
        <v>AV 25 DE MAYO</v>
      </c>
      <c r="E1366" s="7">
        <f>+'[1]BASE RED COMERCIAL'!$F1364</f>
        <v>200</v>
      </c>
      <c r="F1366" s="14" t="str">
        <f>+'[1]BASE RED COMERCIAL'!$I1364</f>
        <v>S3583ZAA</v>
      </c>
      <c r="G1366" s="7" t="str">
        <f>+'[1]BASE RED COMERCIAL'!$D1364</f>
        <v>VILLA ANA</v>
      </c>
      <c r="H1366" s="7" t="str">
        <f>+'[1]BASE RED COMERCIAL'!$B1364</f>
        <v>SANTA FE</v>
      </c>
      <c r="I1366" s="8" t="str">
        <f>+'[1]BASE RED COMERCIAL'!$C1364</f>
        <v>GENERAL OBLIGADO</v>
      </c>
      <c r="J1366" s="10"/>
      <c r="K1366" s="10"/>
    </row>
    <row r="1367" spans="1:11" x14ac:dyDescent="0.25">
      <c r="A1367" s="14" t="str">
        <f>+'[1]BASE RED COMERCIAL'!$A1365</f>
        <v>S0206</v>
      </c>
      <c r="B1367" s="8" t="str">
        <f>+'[1]BASE RED COMERCIAL'!$H1365</f>
        <v>VILLA GUILLERMINA</v>
      </c>
      <c r="C1367" s="7" t="s">
        <v>33</v>
      </c>
      <c r="D1367" s="9" t="str">
        <f>+'[1]BASE RED COMERCIAL'!$E1365</f>
        <v>GDOR MANUEL MENCHACA</v>
      </c>
      <c r="E1367" s="7">
        <f>+'[1]BASE RED COMERCIAL'!$F1365</f>
        <v>0</v>
      </c>
      <c r="F1367" s="14" t="str">
        <f>+'[1]BASE RED COMERCIAL'!$I1365</f>
        <v>S3589ZAA</v>
      </c>
      <c r="G1367" s="7" t="str">
        <f>+'[1]BASE RED COMERCIAL'!$D1365</f>
        <v>VILLA GUILLERMINA</v>
      </c>
      <c r="H1367" s="7" t="str">
        <f>+'[1]BASE RED COMERCIAL'!$B1365</f>
        <v>SANTA FE</v>
      </c>
      <c r="I1367" s="8" t="str">
        <f>+'[1]BASE RED COMERCIAL'!$C1365</f>
        <v>GENERAL OBLIGADO</v>
      </c>
      <c r="J1367" s="10"/>
      <c r="K1367" s="10"/>
    </row>
    <row r="1368" spans="1:11" x14ac:dyDescent="0.25">
      <c r="A1368" s="14" t="str">
        <f>+'[1]BASE RED COMERCIAL'!$A1366</f>
        <v>S0208</v>
      </c>
      <c r="B1368" s="8" t="str">
        <f>+'[1]BASE RED COMERCIAL'!$H1366</f>
        <v>VILLA OCAMPO</v>
      </c>
      <c r="C1368" s="7" t="s">
        <v>33</v>
      </c>
      <c r="D1368" s="9" t="str">
        <f>+'[1]BASE RED COMERCIAL'!$E1366</f>
        <v>MANUEL BELGRANO</v>
      </c>
      <c r="E1368" s="7">
        <f>+'[1]BASE RED COMERCIAL'!$F1366</f>
        <v>1290</v>
      </c>
      <c r="F1368" s="14" t="str">
        <f>+'[1]BASE RED COMERCIAL'!$I1366</f>
        <v>S3580ZAA</v>
      </c>
      <c r="G1368" s="7" t="str">
        <f>+'[1]BASE RED COMERCIAL'!$D1366</f>
        <v>VILLA OCAMPO</v>
      </c>
      <c r="H1368" s="7" t="str">
        <f>+'[1]BASE RED COMERCIAL'!$B1366</f>
        <v>SANTA FE</v>
      </c>
      <c r="I1368" s="8" t="str">
        <f>+'[1]BASE RED COMERCIAL'!$C1366</f>
        <v>GENERAL OBLIGADO</v>
      </c>
      <c r="J1368" s="10"/>
      <c r="K1368" s="10"/>
    </row>
    <row r="1369" spans="1:11" x14ac:dyDescent="0.25">
      <c r="A1369" s="14" t="str">
        <f>+'[1]BASE RED COMERCIAL'!$A1367</f>
        <v>S0210</v>
      </c>
      <c r="B1369" s="8" t="str">
        <f>+'[1]BASE RED COMERCIAL'!$H1367</f>
        <v>VILLA TRINIDAD</v>
      </c>
      <c r="C1369" s="7" t="s">
        <v>33</v>
      </c>
      <c r="D1369" s="9" t="str">
        <f>+'[1]BASE RED COMERCIAL'!$E1367</f>
        <v>SIMON DE IRIONDO</v>
      </c>
      <c r="E1369" s="7">
        <f>+'[1]BASE RED COMERCIAL'!$F1367</f>
        <v>362</v>
      </c>
      <c r="F1369" s="14" t="str">
        <f>+'[1]BASE RED COMERCIAL'!$I1367</f>
        <v>S2345ZAA</v>
      </c>
      <c r="G1369" s="7" t="str">
        <f>+'[1]BASE RED COMERCIAL'!$D1367</f>
        <v>VILLA TRINIDAD</v>
      </c>
      <c r="H1369" s="7" t="str">
        <f>+'[1]BASE RED COMERCIAL'!$B1367</f>
        <v>SANTA FE</v>
      </c>
      <c r="I1369" s="8" t="str">
        <f>+'[1]BASE RED COMERCIAL'!$C1367</f>
        <v>SAN CRISTOBAL</v>
      </c>
      <c r="J1369" s="10"/>
      <c r="K1369" s="10"/>
    </row>
    <row r="1370" spans="1:11" x14ac:dyDescent="0.25">
      <c r="A1370" s="14" t="str">
        <f>+'[1]BASE RED COMERCIAL'!$A1368</f>
        <v>S0212</v>
      </c>
      <c r="B1370" s="8" t="str">
        <f>+'[1]BASE RED COMERCIAL'!$H1368</f>
        <v>VILLA MINETTI</v>
      </c>
      <c r="C1370" s="7" t="s">
        <v>33</v>
      </c>
      <c r="D1370" s="9" t="str">
        <f>+'[1]BASE RED COMERCIAL'!$E1368</f>
        <v>9 DE JULIO</v>
      </c>
      <c r="E1370" s="7">
        <f>+'[1]BASE RED COMERCIAL'!$F1368</f>
        <v>735</v>
      </c>
      <c r="F1370" s="14" t="str">
        <f>+'[1]BASE RED COMERCIAL'!$I1368</f>
        <v>S3061ZAA</v>
      </c>
      <c r="G1370" s="7" t="str">
        <f>+'[1]BASE RED COMERCIAL'!$D1368</f>
        <v>VILLA MINETTI</v>
      </c>
      <c r="H1370" s="7" t="str">
        <f>+'[1]BASE RED COMERCIAL'!$B1368</f>
        <v>SANTA FE</v>
      </c>
      <c r="I1370" s="8" t="str">
        <f>+'[1]BASE RED COMERCIAL'!$C1368</f>
        <v>9 DE JULIO</v>
      </c>
      <c r="J1370" s="10"/>
      <c r="K1370" s="10"/>
    </row>
    <row r="1371" spans="1:11" x14ac:dyDescent="0.25">
      <c r="A1371" s="14" t="str">
        <f>+'[1]BASE RED COMERCIAL'!$A1369</f>
        <v>S0214</v>
      </c>
      <c r="B1371" s="8" t="str">
        <f>+'[1]BASE RED COMERCIAL'!$H1369</f>
        <v>ZENON PEREYRA</v>
      </c>
      <c r="C1371" s="7" t="s">
        <v>33</v>
      </c>
      <c r="D1371" s="9" t="str">
        <f>+'[1]BASE RED COMERCIAL'!$E1369</f>
        <v>PTE H YRIGOYEN</v>
      </c>
      <c r="E1371" s="7">
        <f>+'[1]BASE RED COMERCIAL'!$F1369</f>
        <v>755</v>
      </c>
      <c r="F1371" s="14" t="str">
        <f>+'[1]BASE RED COMERCIAL'!$I1369</f>
        <v>S2409ZAA</v>
      </c>
      <c r="G1371" s="7" t="str">
        <f>+'[1]BASE RED COMERCIAL'!$D1369</f>
        <v>ZENON PEREYRA</v>
      </c>
      <c r="H1371" s="7" t="str">
        <f>+'[1]BASE RED COMERCIAL'!$B1369</f>
        <v>SANTA FE</v>
      </c>
      <c r="I1371" s="8" t="str">
        <f>+'[1]BASE RED COMERCIAL'!$C1369</f>
        <v>CASTELLANOS</v>
      </c>
      <c r="J1371" s="10"/>
      <c r="K1371" s="10"/>
    </row>
    <row r="1372" spans="1:11" x14ac:dyDescent="0.25">
      <c r="A1372" s="14" t="str">
        <f>+'[1]BASE RED COMERCIAL'!$A1370</f>
        <v>S0216</v>
      </c>
      <c r="B1372" s="8" t="str">
        <f>+'[1]BASE RED COMERCIAL'!$H1370</f>
        <v>PEATONAL</v>
      </c>
      <c r="C1372" s="7" t="s">
        <v>33</v>
      </c>
      <c r="D1372" s="9" t="str">
        <f>+'[1]BASE RED COMERCIAL'!$E1370</f>
        <v>LA RIOJA</v>
      </c>
      <c r="E1372" s="7">
        <f>+'[1]BASE RED COMERCIAL'!$F1370</f>
        <v>2558</v>
      </c>
      <c r="F1372" s="14" t="str">
        <f>+'[1]BASE RED COMERCIAL'!$I1370</f>
        <v>S3000ZAD</v>
      </c>
      <c r="G1372" s="7" t="str">
        <f>+'[1]BASE RED COMERCIAL'!$D1370</f>
        <v>SANTA FE</v>
      </c>
      <c r="H1372" s="7" t="str">
        <f>+'[1]BASE RED COMERCIAL'!$B1370</f>
        <v>SANTA FE</v>
      </c>
      <c r="I1372" s="8" t="str">
        <f>+'[1]BASE RED COMERCIAL'!$C1370</f>
        <v>LA CAPITAL</v>
      </c>
      <c r="J1372" s="10"/>
      <c r="K1372" s="10"/>
    </row>
    <row r="1373" spans="1:11" x14ac:dyDescent="0.25">
      <c r="A1373" s="14" t="str">
        <f>+'[1]BASE RED COMERCIAL'!$A1371</f>
        <v>S0300</v>
      </c>
      <c r="B1373" s="8" t="str">
        <f>+'[1]BASE RED COMERCIAL'!$H1371</f>
        <v>CORREO CENTRAL ROSARIO</v>
      </c>
      <c r="C1373" s="7" t="s">
        <v>33</v>
      </c>
      <c r="D1373" s="9" t="str">
        <f>+'[1]BASE RED COMERCIAL'!$E1371</f>
        <v>CORDOBA</v>
      </c>
      <c r="E1373" s="7">
        <f>+'[1]BASE RED COMERCIAL'!$F1371</f>
        <v>721</v>
      </c>
      <c r="F1373" s="14" t="str">
        <f>+'[1]BASE RED COMERCIAL'!$I1371</f>
        <v>S2000ZAC</v>
      </c>
      <c r="G1373" s="7" t="str">
        <f>+'[1]BASE RED COMERCIAL'!$D1371</f>
        <v>ROSARIO</v>
      </c>
      <c r="H1373" s="7" t="str">
        <f>+'[1]BASE RED COMERCIAL'!$B1371</f>
        <v>SANTA FE</v>
      </c>
      <c r="I1373" s="8" t="str">
        <f>+'[1]BASE RED COMERCIAL'!$C1371</f>
        <v>ROSARIO</v>
      </c>
      <c r="J1373" s="10"/>
      <c r="K1373" s="10"/>
    </row>
    <row r="1374" spans="1:11" x14ac:dyDescent="0.25">
      <c r="A1374" s="14" t="str">
        <f>+'[1]BASE RED COMERCIAL'!$A1372</f>
        <v>S0301</v>
      </c>
      <c r="B1374" s="8" t="str">
        <f>+'[1]BASE RED COMERCIAL'!$H1372</f>
        <v>SUCURSAL 1 ROSARIO</v>
      </c>
      <c r="C1374" s="7" t="s">
        <v>33</v>
      </c>
      <c r="D1374" s="9" t="str">
        <f>+'[1]BASE RED COMERCIAL'!$E1372</f>
        <v>L N ALEM</v>
      </c>
      <c r="E1374" s="7">
        <f>+'[1]BASE RED COMERCIAL'!$F1372</f>
        <v>1755</v>
      </c>
      <c r="F1374" s="14" t="str">
        <f>+'[1]BASE RED COMERCIAL'!$I1372</f>
        <v>S2000ZAD</v>
      </c>
      <c r="G1374" s="7" t="str">
        <f>+'[1]BASE RED COMERCIAL'!$D1372</f>
        <v>ROSARIO</v>
      </c>
      <c r="H1374" s="7" t="str">
        <f>+'[1]BASE RED COMERCIAL'!$B1372</f>
        <v>SANTA FE</v>
      </c>
      <c r="I1374" s="8" t="str">
        <f>+'[1]BASE RED COMERCIAL'!$C1372</f>
        <v>ROSARIO</v>
      </c>
      <c r="J1374" s="10"/>
      <c r="K1374" s="10"/>
    </row>
    <row r="1375" spans="1:11" x14ac:dyDescent="0.25">
      <c r="A1375" s="14" t="str">
        <f>+'[1]BASE RED COMERCIAL'!$A1373</f>
        <v>S0302</v>
      </c>
      <c r="B1375" s="8" t="str">
        <f>+'[1]BASE RED COMERCIAL'!$H1373</f>
        <v>SUCURSAL 2 ROSARIO</v>
      </c>
      <c r="C1375" s="7" t="s">
        <v>33</v>
      </c>
      <c r="D1375" s="9" t="str">
        <f>+'[1]BASE RED COMERCIAL'!$E1373</f>
        <v>CORDOBA</v>
      </c>
      <c r="E1375" s="7">
        <f>+'[1]BASE RED COMERCIAL'!$F1373</f>
        <v>2401</v>
      </c>
      <c r="F1375" s="14" t="str">
        <f>+'[1]BASE RED COMERCIAL'!$I1373</f>
        <v>S2002ZAC</v>
      </c>
      <c r="G1375" s="7" t="str">
        <f>+'[1]BASE RED COMERCIAL'!$D1373</f>
        <v>ROSARIO</v>
      </c>
      <c r="H1375" s="7" t="str">
        <f>+'[1]BASE RED COMERCIAL'!$B1373</f>
        <v>SANTA FE</v>
      </c>
      <c r="I1375" s="8" t="str">
        <f>+'[1]BASE RED COMERCIAL'!$C1373</f>
        <v>ROSARIO</v>
      </c>
      <c r="J1375" s="10"/>
      <c r="K1375" s="10"/>
    </row>
    <row r="1376" spans="1:11" x14ac:dyDescent="0.25">
      <c r="A1376" s="14" t="str">
        <f>+'[1]BASE RED COMERCIAL'!$A1374</f>
        <v>S0303</v>
      </c>
      <c r="B1376" s="8" t="str">
        <f>+'[1]BASE RED COMERCIAL'!$H1374</f>
        <v>SUCURSAL 3 ROSARIO</v>
      </c>
      <c r="C1376" s="7" t="s">
        <v>33</v>
      </c>
      <c r="D1376" s="9" t="str">
        <f>+'[1]BASE RED COMERCIAL'!$E1374</f>
        <v>AV CORRIENTES</v>
      </c>
      <c r="E1376" s="7">
        <f>+'[1]BASE RED COMERCIAL'!$F1374</f>
        <v>1676</v>
      </c>
      <c r="F1376" s="14" t="str">
        <f>+'[1]BASE RED COMERCIAL'!$I1374</f>
        <v>S2000ZAH</v>
      </c>
      <c r="G1376" s="7" t="str">
        <f>+'[1]BASE RED COMERCIAL'!$D1374</f>
        <v>ROSARIO</v>
      </c>
      <c r="H1376" s="7" t="str">
        <f>+'[1]BASE RED COMERCIAL'!$B1374</f>
        <v>SANTA FE</v>
      </c>
      <c r="I1376" s="8" t="str">
        <f>+'[1]BASE RED COMERCIAL'!$C1374</f>
        <v>ROSARIO</v>
      </c>
      <c r="J1376" s="10"/>
      <c r="K1376" s="10"/>
    </row>
    <row r="1377" spans="1:11" x14ac:dyDescent="0.25">
      <c r="A1377" s="14" t="str">
        <f>+'[1]BASE RED COMERCIAL'!$A1375</f>
        <v>S0304</v>
      </c>
      <c r="B1377" s="8" t="str">
        <f>+'[1]BASE RED COMERCIAL'!$H1375</f>
        <v>SUCURSAL 4 ROSARIO</v>
      </c>
      <c r="C1377" s="7" t="s">
        <v>33</v>
      </c>
      <c r="D1377" s="9" t="str">
        <f>+'[1]BASE RED COMERCIAL'!$E1375</f>
        <v>AV OVIDIO LAGOS</v>
      </c>
      <c r="E1377" s="7">
        <f>+'[1]BASE RED COMERCIAL'!$F1375</f>
        <v>182</v>
      </c>
      <c r="F1377" s="14" t="str">
        <f>+'[1]BASE RED COMERCIAL'!$I1375</f>
        <v>S2002ZAD</v>
      </c>
      <c r="G1377" s="7" t="str">
        <f>+'[1]BASE RED COMERCIAL'!$D1375</f>
        <v>ROSARIO</v>
      </c>
      <c r="H1377" s="7" t="str">
        <f>+'[1]BASE RED COMERCIAL'!$B1375</f>
        <v>SANTA FE</v>
      </c>
      <c r="I1377" s="8" t="str">
        <f>+'[1]BASE RED COMERCIAL'!$C1375</f>
        <v>ROSARIO</v>
      </c>
      <c r="J1377" s="10"/>
      <c r="K1377" s="10"/>
    </row>
    <row r="1378" spans="1:11" x14ac:dyDescent="0.25">
      <c r="A1378" s="14" t="str">
        <f>+'[1]BASE RED COMERCIAL'!$A1376</f>
        <v>S0305</v>
      </c>
      <c r="B1378" s="8" t="str">
        <f>+'[1]BASE RED COMERCIAL'!$H1376</f>
        <v>SUCURSAL 5 ROSARIO</v>
      </c>
      <c r="C1378" s="7" t="s">
        <v>33</v>
      </c>
      <c r="D1378" s="9" t="str">
        <f>+'[1]BASE RED COMERCIAL'!$E1376</f>
        <v>AV OVIDIO LAGOS</v>
      </c>
      <c r="E1378" s="7">
        <f>+'[1]BASE RED COMERCIAL'!$F1376</f>
        <v>1199</v>
      </c>
      <c r="F1378" s="14" t="str">
        <f>+'[1]BASE RED COMERCIAL'!$I1376</f>
        <v>S2002ZAE</v>
      </c>
      <c r="G1378" s="7" t="str">
        <f>+'[1]BASE RED COMERCIAL'!$D1376</f>
        <v>ROSARIO</v>
      </c>
      <c r="H1378" s="7" t="str">
        <f>+'[1]BASE RED COMERCIAL'!$B1376</f>
        <v>SANTA FE</v>
      </c>
      <c r="I1378" s="8" t="str">
        <f>+'[1]BASE RED COMERCIAL'!$C1376</f>
        <v>ROSARIO</v>
      </c>
      <c r="J1378" s="10"/>
      <c r="K1378" s="10"/>
    </row>
    <row r="1379" spans="1:11" x14ac:dyDescent="0.25">
      <c r="A1379" s="14" t="str">
        <f>+'[1]BASE RED COMERCIAL'!$A1377</f>
        <v>S0306</v>
      </c>
      <c r="B1379" s="8" t="str">
        <f>+'[1]BASE RED COMERCIAL'!$H1377</f>
        <v>SUCURSAL 6 ROSARIO</v>
      </c>
      <c r="C1379" s="7" t="s">
        <v>33</v>
      </c>
      <c r="D1379" s="9" t="str">
        <f>+'[1]BASE RED COMERCIAL'!$E1377</f>
        <v>AV JUAN B ALBERDI BIS</v>
      </c>
      <c r="E1379" s="7">
        <f>+'[1]BASE RED COMERCIAL'!$F1377</f>
        <v>967</v>
      </c>
      <c r="F1379" s="14" t="str">
        <f>+'[1]BASE RED COMERCIAL'!$I1377</f>
        <v>S2002ZAF</v>
      </c>
      <c r="G1379" s="7" t="str">
        <f>+'[1]BASE RED COMERCIAL'!$D1377</f>
        <v>ROSARIO</v>
      </c>
      <c r="H1379" s="7" t="str">
        <f>+'[1]BASE RED COMERCIAL'!$B1377</f>
        <v>SANTA FE</v>
      </c>
      <c r="I1379" s="8" t="str">
        <f>+'[1]BASE RED COMERCIAL'!$C1377</f>
        <v>ROSARIO</v>
      </c>
      <c r="J1379" s="10"/>
      <c r="K1379" s="10"/>
    </row>
    <row r="1380" spans="1:11" x14ac:dyDescent="0.25">
      <c r="A1380" s="14" t="str">
        <f>+'[1]BASE RED COMERCIAL'!$A1378</f>
        <v>S0308</v>
      </c>
      <c r="B1380" s="8" t="str">
        <f>+'[1]BASE RED COMERCIAL'!$H1378</f>
        <v>SUCURSAL 8 ROSARIO</v>
      </c>
      <c r="C1380" s="7" t="s">
        <v>33</v>
      </c>
      <c r="D1380" s="9" t="str">
        <f>+'[1]BASE RED COMERCIAL'!$E1378</f>
        <v>GRAL J RONDEAU</v>
      </c>
      <c r="E1380" s="7">
        <f>+'[1]BASE RED COMERCIAL'!$F1378</f>
        <v>1144</v>
      </c>
      <c r="F1380" s="14" t="str">
        <f>+'[1]BASE RED COMERCIAL'!$I1378</f>
        <v>S2005ZAA</v>
      </c>
      <c r="G1380" s="7" t="str">
        <f>+'[1]BASE RED COMERCIAL'!$D1378</f>
        <v>ROSARIO</v>
      </c>
      <c r="H1380" s="7" t="str">
        <f>+'[1]BASE RED COMERCIAL'!$B1378</f>
        <v>SANTA FE</v>
      </c>
      <c r="I1380" s="8" t="str">
        <f>+'[1]BASE RED COMERCIAL'!$C1378</f>
        <v>ROSARIO</v>
      </c>
      <c r="J1380" s="10"/>
      <c r="K1380" s="10"/>
    </row>
    <row r="1381" spans="1:11" x14ac:dyDescent="0.25">
      <c r="A1381" s="14" t="str">
        <f>+'[1]BASE RED COMERCIAL'!$A1379</f>
        <v>S0309</v>
      </c>
      <c r="B1381" s="8" t="str">
        <f>+'[1]BASE RED COMERCIAL'!$H1379</f>
        <v>SUCURSAL 9 ROSARIO</v>
      </c>
      <c r="C1381" s="7" t="s">
        <v>33</v>
      </c>
      <c r="D1381" s="9" t="str">
        <f>+'[1]BASE RED COMERCIAL'!$E1379</f>
        <v>AV BAT DE AYACUCHO</v>
      </c>
      <c r="E1381" s="7">
        <f>+'[1]BASE RED COMERCIAL'!$F1379</f>
        <v>5516</v>
      </c>
      <c r="F1381" s="14" t="str">
        <f>+'[1]BASE RED COMERCIAL'!$I1379</f>
        <v>S2011ZAA</v>
      </c>
      <c r="G1381" s="7" t="str">
        <f>+'[1]BASE RED COMERCIAL'!$D1379</f>
        <v>ROSARIO</v>
      </c>
      <c r="H1381" s="7" t="str">
        <f>+'[1]BASE RED COMERCIAL'!$B1379</f>
        <v>SANTA FE</v>
      </c>
      <c r="I1381" s="8" t="str">
        <f>+'[1]BASE RED COMERCIAL'!$C1379</f>
        <v>ROSARIO</v>
      </c>
      <c r="J1381" s="10"/>
      <c r="K1381" s="10"/>
    </row>
    <row r="1382" spans="1:11" x14ac:dyDescent="0.25">
      <c r="A1382" s="14" t="str">
        <f>+'[1]BASE RED COMERCIAL'!$A1380</f>
        <v>S0310</v>
      </c>
      <c r="B1382" s="8" t="str">
        <f>+'[1]BASE RED COMERCIAL'!$H1380</f>
        <v>SUCURSAL 10 ROSARIO</v>
      </c>
      <c r="C1382" s="7" t="s">
        <v>33</v>
      </c>
      <c r="D1382" s="9" t="str">
        <f>+'[1]BASE RED COMERCIAL'!$E1380</f>
        <v>AV MENDOZA</v>
      </c>
      <c r="E1382" s="7">
        <f>+'[1]BASE RED COMERCIAL'!$F1380</f>
        <v>6365</v>
      </c>
      <c r="F1382" s="14" t="str">
        <f>+'[1]BASE RED COMERCIAL'!$I1380</f>
        <v>S2008ZAA</v>
      </c>
      <c r="G1382" s="7" t="str">
        <f>+'[1]BASE RED COMERCIAL'!$D1380</f>
        <v>ROSARIO</v>
      </c>
      <c r="H1382" s="7" t="str">
        <f>+'[1]BASE RED COMERCIAL'!$B1380</f>
        <v>SANTA FE</v>
      </c>
      <c r="I1382" s="8" t="str">
        <f>+'[1]BASE RED COMERCIAL'!$C1380</f>
        <v>ROSARIO</v>
      </c>
      <c r="J1382" s="10"/>
      <c r="K1382" s="10"/>
    </row>
    <row r="1383" spans="1:11" s="10" customFormat="1" x14ac:dyDescent="0.25">
      <c r="A1383" s="14" t="str">
        <f>+'[1]BASE RED COMERCIAL'!$A1381</f>
        <v>S0311</v>
      </c>
      <c r="B1383" s="8" t="str">
        <f>+'[1]BASE RED COMERCIAL'!$H1381</f>
        <v>SUCURSAL 11 ROSARIO</v>
      </c>
      <c r="C1383" s="7" t="s">
        <v>33</v>
      </c>
      <c r="D1383" s="9" t="str">
        <f>+'[1]BASE RED COMERCIAL'!$E1381</f>
        <v>RIOJA</v>
      </c>
      <c r="E1383" s="7">
        <f>+'[1]BASE RED COMERCIAL'!$F1381</f>
        <v>1702</v>
      </c>
      <c r="F1383" s="14" t="str">
        <f>+'[1]BASE RED COMERCIAL'!$I1381</f>
        <v>S2000ZAE</v>
      </c>
      <c r="G1383" s="7" t="str">
        <f>+'[1]BASE RED COMERCIAL'!$D1381</f>
        <v>ROSARIO</v>
      </c>
      <c r="H1383" s="7" t="str">
        <f>+'[1]BASE RED COMERCIAL'!$B1381</f>
        <v>SANTA FE</v>
      </c>
      <c r="I1383" s="8" t="str">
        <f>+'[1]BASE RED COMERCIAL'!$C1381</f>
        <v>ROSARIO</v>
      </c>
    </row>
    <row r="1384" spans="1:11" s="10" customFormat="1" x14ac:dyDescent="0.25">
      <c r="A1384" s="14" t="str">
        <f>+'[1]BASE RED COMERCIAL'!$A1382</f>
        <v>S0312</v>
      </c>
      <c r="B1384" s="8" t="str">
        <f>+'[1]BASE RED COMERCIAL'!$H1382</f>
        <v>SUCURSAL 12 ROSARIO</v>
      </c>
      <c r="C1384" s="7" t="s">
        <v>33</v>
      </c>
      <c r="D1384" s="9" t="str">
        <f>+'[1]BASE RED COMERCIAL'!$E1382</f>
        <v>MENDOZA</v>
      </c>
      <c r="E1384" s="7">
        <f>+'[1]BASE RED COMERCIAL'!$F1382</f>
        <v>4588</v>
      </c>
      <c r="F1384" s="14" t="str">
        <f>+'[1]BASE RED COMERCIAL'!$I1382</f>
        <v>S2002ZAB</v>
      </c>
      <c r="G1384" s="7" t="str">
        <f>+'[1]BASE RED COMERCIAL'!$D1382</f>
        <v>ROSARIO</v>
      </c>
      <c r="H1384" s="7" t="str">
        <f>+'[1]BASE RED COMERCIAL'!$B1382</f>
        <v>SANTA FE</v>
      </c>
      <c r="I1384" s="8" t="str">
        <f>+'[1]BASE RED COMERCIAL'!$C1382</f>
        <v>ROSARIO</v>
      </c>
    </row>
    <row r="1385" spans="1:11" s="10" customFormat="1" x14ac:dyDescent="0.25">
      <c r="A1385" s="14" t="str">
        <f>+'[1]BASE RED COMERCIAL'!$A1383</f>
        <v>S0313</v>
      </c>
      <c r="B1385" s="8" t="str">
        <f>+'[1]BASE RED COMERCIAL'!$H1383</f>
        <v>SUCURSAL 13 ROSARIO</v>
      </c>
      <c r="C1385" s="7" t="s">
        <v>33</v>
      </c>
      <c r="D1385" s="9" t="str">
        <f>+'[1]BASE RED COMERCIAL'!$E1383</f>
        <v>BALCARCE</v>
      </c>
      <c r="E1385" s="7">
        <f>+'[1]BASE RED COMERCIAL'!$F1383</f>
        <v>1651</v>
      </c>
      <c r="F1385" s="14" t="str">
        <f>+'[1]BASE RED COMERCIAL'!$I1383</f>
        <v>S2000ZAF</v>
      </c>
      <c r="G1385" s="7" t="str">
        <f>+'[1]BASE RED COMERCIAL'!$D1383</f>
        <v>ROSARIO</v>
      </c>
      <c r="H1385" s="7" t="str">
        <f>+'[1]BASE RED COMERCIAL'!$B1383</f>
        <v>SANTA FE</v>
      </c>
      <c r="I1385" s="8" t="str">
        <f>+'[1]BASE RED COMERCIAL'!$C1383</f>
        <v>ROSARIO</v>
      </c>
    </row>
    <row r="1386" spans="1:11" s="10" customFormat="1" x14ac:dyDescent="0.25">
      <c r="A1386" s="14" t="str">
        <f>+'[1]BASE RED COMERCIAL'!$A1384</f>
        <v>S0314</v>
      </c>
      <c r="B1386" s="8" t="str">
        <f>+'[1]BASE RED COMERCIAL'!$H1384</f>
        <v>SUCURSAL 14 ROSARIO</v>
      </c>
      <c r="C1386" s="7" t="s">
        <v>33</v>
      </c>
      <c r="D1386" s="9" t="str">
        <f>+'[1]BASE RED COMERCIAL'!$E1384</f>
        <v>ENTRE RIOS</v>
      </c>
      <c r="E1386" s="7">
        <f>+'[1]BASE RED COMERCIAL'!$F1384</f>
        <v>3502</v>
      </c>
      <c r="F1386" s="14" t="str">
        <f>+'[1]BASE RED COMERCIAL'!$I1384</f>
        <v>S2001ZAA</v>
      </c>
      <c r="G1386" s="7" t="str">
        <f>+'[1]BASE RED COMERCIAL'!$D1384</f>
        <v>ROSARIO</v>
      </c>
      <c r="H1386" s="7" t="str">
        <f>+'[1]BASE RED COMERCIAL'!$B1384</f>
        <v>SANTA FE</v>
      </c>
      <c r="I1386" s="8" t="str">
        <f>+'[1]BASE RED COMERCIAL'!$C1384</f>
        <v>ROSARIO</v>
      </c>
    </row>
    <row r="1387" spans="1:11" s="10" customFormat="1" x14ac:dyDescent="0.25">
      <c r="A1387" s="14" t="str">
        <f>+'[1]BASE RED COMERCIAL'!$A1385</f>
        <v>S0315</v>
      </c>
      <c r="B1387" s="8" t="str">
        <f>+'[1]BASE RED COMERCIAL'!$H1385</f>
        <v>SUCURSAL 15 ROSARIO</v>
      </c>
      <c r="C1387" s="7" t="s">
        <v>33</v>
      </c>
      <c r="D1387" s="9" t="str">
        <f>+'[1]BASE RED COMERCIAL'!$E1385</f>
        <v>PARAGUAY</v>
      </c>
      <c r="E1387" s="7">
        <f>+'[1]BASE RED COMERCIAL'!$F1385</f>
        <v>818</v>
      </c>
      <c r="F1387" s="14" t="str">
        <f>+'[1]BASE RED COMERCIAL'!$I1385</f>
        <v>S2000ZAG</v>
      </c>
      <c r="G1387" s="7" t="str">
        <f>+'[1]BASE RED COMERCIAL'!$D1385</f>
        <v>ROSARIO</v>
      </c>
      <c r="H1387" s="7" t="str">
        <f>+'[1]BASE RED COMERCIAL'!$B1385</f>
        <v>SANTA FE</v>
      </c>
      <c r="I1387" s="8" t="str">
        <f>+'[1]BASE RED COMERCIAL'!$C1385</f>
        <v>ROSARIO</v>
      </c>
    </row>
    <row r="1388" spans="1:11" s="10" customFormat="1" x14ac:dyDescent="0.25">
      <c r="A1388" s="14" t="str">
        <f>+'[1]BASE RED COMERCIAL'!$A1386</f>
        <v>S0316</v>
      </c>
      <c r="B1388" s="8" t="str">
        <f>+'[1]BASE RED COMERCIAL'!$H1386</f>
        <v>SUCURSAL 16 ROSARIO</v>
      </c>
      <c r="C1388" s="7" t="s">
        <v>33</v>
      </c>
      <c r="D1388" s="9" t="str">
        <f>+'[1]BASE RED COMERCIAL'!$E1386</f>
        <v>AV DR NICOLAS AVELLANEDA</v>
      </c>
      <c r="E1388" s="7">
        <f>+'[1]BASE RED COMERCIAL'!$F1386</f>
        <v>2215</v>
      </c>
      <c r="F1388" s="14" t="str">
        <f>+'[1]BASE RED COMERCIAL'!$I1386</f>
        <v>S2003ZAA</v>
      </c>
      <c r="G1388" s="7" t="str">
        <f>+'[1]BASE RED COMERCIAL'!$D1386</f>
        <v>ROSARIO</v>
      </c>
      <c r="H1388" s="7" t="str">
        <f>+'[1]BASE RED COMERCIAL'!$B1386</f>
        <v>SANTA FE</v>
      </c>
      <c r="I1388" s="8" t="str">
        <f>+'[1]BASE RED COMERCIAL'!$C1386</f>
        <v>ROSARIO</v>
      </c>
    </row>
    <row r="1389" spans="1:11" s="10" customFormat="1" x14ac:dyDescent="0.25">
      <c r="A1389" s="14" t="str">
        <f>+'[1]BASE RED COMERCIAL'!$A1387</f>
        <v>S0317</v>
      </c>
      <c r="B1389" s="8" t="str">
        <f>+'[1]BASE RED COMERCIAL'!$H1387</f>
        <v>.SUCURSAL 17 ROSARIO</v>
      </c>
      <c r="C1389" s="7" t="s">
        <v>33</v>
      </c>
      <c r="D1389" s="9" t="str">
        <f>+'[1]BASE RED COMERCIAL'!$E1387</f>
        <v>AV EVA PERON</v>
      </c>
      <c r="E1389" s="7">
        <f>+'[1]BASE RED COMERCIAL'!$F1387</f>
        <v>7003</v>
      </c>
      <c r="F1389" s="14" t="str">
        <f>+'[1]BASE RED COMERCIAL'!$I1387</f>
        <v>S2007ZAB</v>
      </c>
      <c r="G1389" s="7" t="str">
        <f>+'[1]BASE RED COMERCIAL'!$D1387</f>
        <v>ROSARIO</v>
      </c>
      <c r="H1389" s="7" t="str">
        <f>+'[1]BASE RED COMERCIAL'!$B1387</f>
        <v>SANTA FE</v>
      </c>
      <c r="I1389" s="8" t="str">
        <f>+'[1]BASE RED COMERCIAL'!$C1387</f>
        <v>ROSARIO</v>
      </c>
    </row>
    <row r="1390" spans="1:11" s="10" customFormat="1" x14ac:dyDescent="0.25">
      <c r="A1390" s="14" t="str">
        <f>+'[1]BASE RED COMERCIAL'!$A1388</f>
        <v>S0318</v>
      </c>
      <c r="B1390" s="8" t="str">
        <f>+'[1]BASE RED COMERCIAL'!$H1388</f>
        <v>SUCURSAL 18 ROSARIO</v>
      </c>
      <c r="C1390" s="7" t="s">
        <v>33</v>
      </c>
      <c r="D1390" s="9" t="str">
        <f>+'[1]BASE RED COMERCIAL'!$E1388</f>
        <v>AV OVIDIO LAGOS</v>
      </c>
      <c r="E1390" s="7">
        <f>+'[1]BASE RED COMERCIAL'!$F1388</f>
        <v>5501</v>
      </c>
      <c r="F1390" s="14" t="str">
        <f>+'[1]BASE RED COMERCIAL'!$I1388</f>
        <v>S2004ZAA</v>
      </c>
      <c r="G1390" s="7" t="str">
        <f>+'[1]BASE RED COMERCIAL'!$D1388</f>
        <v>ROSARIO</v>
      </c>
      <c r="H1390" s="7" t="str">
        <f>+'[1]BASE RED COMERCIAL'!$B1388</f>
        <v>SANTA FE</v>
      </c>
      <c r="I1390" s="8" t="str">
        <f>+'[1]BASE RED COMERCIAL'!$C1388</f>
        <v>ROSARIO</v>
      </c>
    </row>
    <row r="1391" spans="1:11" s="10" customFormat="1" x14ac:dyDescent="0.25">
      <c r="A1391" s="14" t="str">
        <f>+'[1]BASE RED COMERCIAL'!$A1389</f>
        <v>S0319</v>
      </c>
      <c r="B1391" s="8" t="str">
        <f>+'[1]BASE RED COMERCIAL'!$H1389</f>
        <v>ACEBAL</v>
      </c>
      <c r="C1391" s="7" t="s">
        <v>33</v>
      </c>
      <c r="D1391" s="9" t="str">
        <f>+'[1]BASE RED COMERCIAL'!$E1389</f>
        <v>IGNACIO ASURMENDI</v>
      </c>
      <c r="E1391" s="7">
        <f>+'[1]BASE RED COMERCIAL'!$F1389</f>
        <v>447</v>
      </c>
      <c r="F1391" s="14" t="str">
        <f>+'[1]BASE RED COMERCIAL'!$I1389</f>
        <v>S2109ZAA</v>
      </c>
      <c r="G1391" s="7" t="str">
        <f>+'[1]BASE RED COMERCIAL'!$D1389</f>
        <v>ACEBAL</v>
      </c>
      <c r="H1391" s="7" t="str">
        <f>+'[1]BASE RED COMERCIAL'!$B1389</f>
        <v>SANTA FE</v>
      </c>
      <c r="I1391" s="8" t="str">
        <f>+'[1]BASE RED COMERCIAL'!$C1389</f>
        <v>ROSARIO</v>
      </c>
    </row>
    <row r="1392" spans="1:11" s="10" customFormat="1" x14ac:dyDescent="0.25">
      <c r="A1392" s="14" t="str">
        <f>+'[1]BASE RED COMERCIAL'!$A1390</f>
        <v>S0320</v>
      </c>
      <c r="B1392" s="8" t="str">
        <f>+'[1]BASE RED COMERCIAL'!$H1390</f>
        <v>ALCORTA</v>
      </c>
      <c r="C1392" s="7" t="s">
        <v>33</v>
      </c>
      <c r="D1392" s="9" t="str">
        <f>+'[1]BASE RED COMERCIAL'!$E1390</f>
        <v>25 DE MAYO</v>
      </c>
      <c r="E1392" s="7">
        <f>+'[1]BASE RED COMERCIAL'!$F1390</f>
        <v>963</v>
      </c>
      <c r="F1392" s="14" t="str">
        <f>+'[1]BASE RED COMERCIAL'!$I1390</f>
        <v>S2117ZAA</v>
      </c>
      <c r="G1392" s="7" t="str">
        <f>+'[1]BASE RED COMERCIAL'!$D1390</f>
        <v>ALCORTA</v>
      </c>
      <c r="H1392" s="7" t="str">
        <f>+'[1]BASE RED COMERCIAL'!$B1390</f>
        <v>SANTA FE</v>
      </c>
      <c r="I1392" s="8" t="str">
        <f>+'[1]BASE RED COMERCIAL'!$C1390</f>
        <v>CONSTITUCION</v>
      </c>
    </row>
    <row r="1393" spans="1:9" s="10" customFormat="1" x14ac:dyDescent="0.25">
      <c r="A1393" s="14" t="str">
        <f>+'[1]BASE RED COMERCIAL'!$A1391</f>
        <v>S0321</v>
      </c>
      <c r="B1393" s="8" t="str">
        <f>+'[1]BASE RED COMERCIAL'!$H1391</f>
        <v>ALVAREZ</v>
      </c>
      <c r="C1393" s="7" t="s">
        <v>33</v>
      </c>
      <c r="D1393" s="9" t="str">
        <f>+'[1]BASE RED COMERCIAL'!$E1391</f>
        <v>TUCUMAN</v>
      </c>
      <c r="E1393" s="7">
        <f>+'[1]BASE RED COMERCIAL'!$F1391</f>
        <v>421</v>
      </c>
      <c r="F1393" s="14" t="str">
        <f>+'[1]BASE RED COMERCIAL'!$I1391</f>
        <v>S2107ZAA</v>
      </c>
      <c r="G1393" s="7" t="str">
        <f>+'[1]BASE RED COMERCIAL'!$D1391</f>
        <v>ALVAREZ</v>
      </c>
      <c r="H1393" s="7" t="str">
        <f>+'[1]BASE RED COMERCIAL'!$B1391</f>
        <v>SANTA FE</v>
      </c>
      <c r="I1393" s="8" t="str">
        <f>+'[1]BASE RED COMERCIAL'!$C1391</f>
        <v>ROSARIO</v>
      </c>
    </row>
    <row r="1394" spans="1:9" s="10" customFormat="1" x14ac:dyDescent="0.25">
      <c r="A1394" s="14" t="str">
        <f>+'[1]BASE RED COMERCIAL'!$A1392</f>
        <v>S0322</v>
      </c>
      <c r="B1394" s="8" t="str">
        <f>+'[1]BASE RED COMERCIAL'!$H1392</f>
        <v>AMENABAR</v>
      </c>
      <c r="C1394" s="7" t="s">
        <v>33</v>
      </c>
      <c r="D1394" s="9" t="str">
        <f>+'[1]BASE RED COMERCIAL'!$E1392</f>
        <v>QUINTANA</v>
      </c>
      <c r="E1394" s="7">
        <f>+'[1]BASE RED COMERCIAL'!$F1392</f>
        <v>200</v>
      </c>
      <c r="F1394" s="14" t="str">
        <f>+'[1]BASE RED COMERCIAL'!$I1392</f>
        <v>S6103ZAA</v>
      </c>
      <c r="G1394" s="7" t="str">
        <f>+'[1]BASE RED COMERCIAL'!$D1392</f>
        <v>AMENABAR</v>
      </c>
      <c r="H1394" s="7" t="str">
        <f>+'[1]BASE RED COMERCIAL'!$B1392</f>
        <v>SANTA FE</v>
      </c>
      <c r="I1394" s="8" t="str">
        <f>+'[1]BASE RED COMERCIAL'!$C1392</f>
        <v>GENERAL LOPEZ</v>
      </c>
    </row>
    <row r="1395" spans="1:9" s="10" customFormat="1" x14ac:dyDescent="0.25">
      <c r="A1395" s="14" t="str">
        <f>+'[1]BASE RED COMERCIAL'!$A1393</f>
        <v>S0323</v>
      </c>
      <c r="B1395" s="8" t="str">
        <f>+'[1]BASE RED COMERCIAL'!$H1393</f>
        <v>AREQUITO</v>
      </c>
      <c r="C1395" s="7" t="s">
        <v>33</v>
      </c>
      <c r="D1395" s="9" t="str">
        <f>+'[1]BASE RED COMERCIAL'!$E1393</f>
        <v>B LOPEZ 1240</v>
      </c>
      <c r="E1395" s="7">
        <f>+'[1]BASE RED COMERCIAL'!$F1393</f>
        <v>0</v>
      </c>
      <c r="F1395" s="14" t="str">
        <f>+'[1]BASE RED COMERCIAL'!$I1393</f>
        <v>S2183ZAB</v>
      </c>
      <c r="G1395" s="7" t="str">
        <f>+'[1]BASE RED COMERCIAL'!$D1393</f>
        <v>AREQUITO</v>
      </c>
      <c r="H1395" s="7" t="str">
        <f>+'[1]BASE RED COMERCIAL'!$B1393</f>
        <v>SANTA FE</v>
      </c>
      <c r="I1395" s="8" t="str">
        <f>+'[1]BASE RED COMERCIAL'!$C1393</f>
        <v>CASEROS</v>
      </c>
    </row>
    <row r="1396" spans="1:9" s="10" customFormat="1" x14ac:dyDescent="0.25">
      <c r="A1396" s="14" t="str">
        <f>+'[1]BASE RED COMERCIAL'!$A1394</f>
        <v>S0324</v>
      </c>
      <c r="B1396" s="8" t="str">
        <f>+'[1]BASE RED COMERCIAL'!$H1394</f>
        <v>ARMSTRONG</v>
      </c>
      <c r="C1396" s="7" t="s">
        <v>33</v>
      </c>
      <c r="D1396" s="9" t="str">
        <f>+'[1]BASE RED COMERCIAL'!$E1394</f>
        <v>14 DE DICIEMBRE</v>
      </c>
      <c r="E1396" s="7">
        <f>+'[1]BASE RED COMERCIAL'!$F1394</f>
        <v>1531</v>
      </c>
      <c r="F1396" s="14" t="str">
        <f>+'[1]BASE RED COMERCIAL'!$I1394</f>
        <v>S2508ZAA</v>
      </c>
      <c r="G1396" s="7" t="str">
        <f>+'[1]BASE RED COMERCIAL'!$D1394</f>
        <v>ARMSTRONG</v>
      </c>
      <c r="H1396" s="7" t="str">
        <f>+'[1]BASE RED COMERCIAL'!$B1394</f>
        <v>SANTA FE</v>
      </c>
      <c r="I1396" s="8" t="str">
        <f>+'[1]BASE RED COMERCIAL'!$C1394</f>
        <v>BELGRANO</v>
      </c>
    </row>
    <row r="1397" spans="1:9" s="10" customFormat="1" x14ac:dyDescent="0.25">
      <c r="A1397" s="14" t="str">
        <f>+'[1]BASE RED COMERCIAL'!$A1395</f>
        <v>S0325</v>
      </c>
      <c r="B1397" s="8" t="str">
        <f>+'[1]BASE RED COMERCIAL'!$H1395</f>
        <v>ARROYO SECO</v>
      </c>
      <c r="C1397" s="7" t="s">
        <v>33</v>
      </c>
      <c r="D1397" s="9" t="str">
        <f>+'[1]BASE RED COMERCIAL'!$E1395</f>
        <v>MANSUETO MAIORANO</v>
      </c>
      <c r="E1397" s="7">
        <f>+'[1]BASE RED COMERCIAL'!$F1395</f>
        <v>530</v>
      </c>
      <c r="F1397" s="14" t="str">
        <f>+'[1]BASE RED COMERCIAL'!$I1395</f>
        <v>S2128ZAA</v>
      </c>
      <c r="G1397" s="7" t="str">
        <f>+'[1]BASE RED COMERCIAL'!$D1395</f>
        <v>ARROYO SECO</v>
      </c>
      <c r="H1397" s="7" t="str">
        <f>+'[1]BASE RED COMERCIAL'!$B1395</f>
        <v>SANTA FE</v>
      </c>
      <c r="I1397" s="8" t="str">
        <f>+'[1]BASE RED COMERCIAL'!$C1395</f>
        <v>ROSARIO</v>
      </c>
    </row>
    <row r="1398" spans="1:9" s="10" customFormat="1" x14ac:dyDescent="0.25">
      <c r="A1398" s="14" t="str">
        <f>+'[1]BASE RED COMERCIAL'!$A1396</f>
        <v>S0326</v>
      </c>
      <c r="B1398" s="8" t="str">
        <f>+'[1]BASE RED COMERCIAL'!$H1396</f>
        <v>ARTEAGA</v>
      </c>
      <c r="C1398" s="7" t="s">
        <v>33</v>
      </c>
      <c r="D1398" s="9" t="str">
        <f>+'[1]BASE RED COMERCIAL'!$E1396</f>
        <v>GRAL SAN MARTIN</v>
      </c>
      <c r="E1398" s="7">
        <f>+'[1]BASE RED COMERCIAL'!$F1396</f>
        <v>47</v>
      </c>
      <c r="F1398" s="14" t="str">
        <f>+'[1]BASE RED COMERCIAL'!$I1396</f>
        <v>S2187ZAA</v>
      </c>
      <c r="G1398" s="7" t="str">
        <f>+'[1]BASE RED COMERCIAL'!$D1396</f>
        <v>ARTEAGA</v>
      </c>
      <c r="H1398" s="7" t="str">
        <f>+'[1]BASE RED COMERCIAL'!$B1396</f>
        <v>SANTA FE</v>
      </c>
      <c r="I1398" s="8" t="str">
        <f>+'[1]BASE RED COMERCIAL'!$C1396</f>
        <v>CASEROS</v>
      </c>
    </row>
    <row r="1399" spans="1:9" s="10" customFormat="1" x14ac:dyDescent="0.25">
      <c r="A1399" s="14" t="str">
        <f>+'[1]BASE RED COMERCIAL'!$A1397</f>
        <v>S0327</v>
      </c>
      <c r="B1399" s="8" t="str">
        <f>+'[1]BASE RED COMERCIAL'!$H1397</f>
        <v>BERABEVU</v>
      </c>
      <c r="C1399" s="7" t="s">
        <v>33</v>
      </c>
      <c r="D1399" s="9" t="str">
        <f>+'[1]BASE RED COMERCIAL'!$E1397</f>
        <v>SIMON DE IRIONDO</v>
      </c>
      <c r="E1399" s="7">
        <f>+'[1]BASE RED COMERCIAL'!$F1397</f>
        <v>660</v>
      </c>
      <c r="F1399" s="14" t="str">
        <f>+'[1]BASE RED COMERCIAL'!$I1397</f>
        <v>S2639ZAA</v>
      </c>
      <c r="G1399" s="7" t="str">
        <f>+'[1]BASE RED COMERCIAL'!$D1397</f>
        <v>BERABEVU</v>
      </c>
      <c r="H1399" s="7" t="str">
        <f>+'[1]BASE RED COMERCIAL'!$B1397</f>
        <v>SANTA FE</v>
      </c>
      <c r="I1399" s="8" t="str">
        <f>+'[1]BASE RED COMERCIAL'!$C1397</f>
        <v>CASEROS</v>
      </c>
    </row>
    <row r="1400" spans="1:9" s="10" customFormat="1" x14ac:dyDescent="0.25">
      <c r="A1400" s="14" t="str">
        <f>+'[1]BASE RED COMERCIAL'!$A1398</f>
        <v>S0328</v>
      </c>
      <c r="B1400" s="8" t="str">
        <f>+'[1]BASE RED COMERCIAL'!$H1398</f>
        <v>BIGAND</v>
      </c>
      <c r="C1400" s="7" t="s">
        <v>33</v>
      </c>
      <c r="D1400" s="9" t="str">
        <f>+'[1]BASE RED COMERCIAL'!$E1398</f>
        <v>LIBERTAD</v>
      </c>
      <c r="E1400" s="7">
        <f>+'[1]BASE RED COMERCIAL'!$F1398</f>
        <v>201</v>
      </c>
      <c r="F1400" s="14" t="str">
        <f>+'[1]BASE RED COMERCIAL'!$I1398</f>
        <v>S2177ZAA</v>
      </c>
      <c r="G1400" s="7" t="str">
        <f>+'[1]BASE RED COMERCIAL'!$D1398</f>
        <v>BIGAND</v>
      </c>
      <c r="H1400" s="7" t="str">
        <f>+'[1]BASE RED COMERCIAL'!$B1398</f>
        <v>SANTA FE</v>
      </c>
      <c r="I1400" s="8" t="str">
        <f>+'[1]BASE RED COMERCIAL'!$C1398</f>
        <v>CASEROS</v>
      </c>
    </row>
    <row r="1401" spans="1:9" s="10" customFormat="1" x14ac:dyDescent="0.25">
      <c r="A1401" s="14" t="str">
        <f>+'[1]BASE RED COMERCIAL'!$A1399</f>
        <v>S0329</v>
      </c>
      <c r="B1401" s="8" t="str">
        <f>+'[1]BASE RED COMERCIAL'!$H1399</f>
        <v>BOMBAL</v>
      </c>
      <c r="C1401" s="7" t="s">
        <v>33</v>
      </c>
      <c r="D1401" s="9" t="str">
        <f>+'[1]BASE RED COMERCIAL'!$E1399</f>
        <v>ANTONIO VERA MUJICA</v>
      </c>
      <c r="E1401" s="7">
        <f>+'[1]BASE RED COMERCIAL'!$F1399</f>
        <v>100</v>
      </c>
      <c r="F1401" s="14" t="str">
        <f>+'[1]BASE RED COMERCIAL'!$I1399</f>
        <v>S2179ZAA</v>
      </c>
      <c r="G1401" s="7" t="str">
        <f>+'[1]BASE RED COMERCIAL'!$D1399</f>
        <v>BOMBAL</v>
      </c>
      <c r="H1401" s="7" t="str">
        <f>+'[1]BASE RED COMERCIAL'!$B1399</f>
        <v>SANTA FE</v>
      </c>
      <c r="I1401" s="8" t="str">
        <f>+'[1]BASE RED COMERCIAL'!$C1399</f>
        <v>CONSTITUCION</v>
      </c>
    </row>
    <row r="1402" spans="1:9" s="10" customFormat="1" x14ac:dyDescent="0.25">
      <c r="A1402" s="14" t="str">
        <f>+'[1]BASE RED COMERCIAL'!$A1400</f>
        <v>S0330</v>
      </c>
      <c r="B1402" s="8" t="str">
        <f>+'[1]BASE RED COMERCIAL'!$H1400</f>
        <v>BOUQUET</v>
      </c>
      <c r="C1402" s="7" t="s">
        <v>33</v>
      </c>
      <c r="D1402" s="9" t="str">
        <f>+'[1]BASE RED COMERCIAL'!$E1400</f>
        <v>9 DE JULIO</v>
      </c>
      <c r="E1402" s="7">
        <f>+'[1]BASE RED COMERCIAL'!$F1400</f>
        <v>90</v>
      </c>
      <c r="F1402" s="14" t="str">
        <f>+'[1]BASE RED COMERCIAL'!$I1400</f>
        <v>S2523ZAA</v>
      </c>
      <c r="G1402" s="7" t="str">
        <f>+'[1]BASE RED COMERCIAL'!$D1400</f>
        <v>BOUQUET</v>
      </c>
      <c r="H1402" s="7" t="str">
        <f>+'[1]BASE RED COMERCIAL'!$B1400</f>
        <v>SANTA FE</v>
      </c>
      <c r="I1402" s="8" t="str">
        <f>+'[1]BASE RED COMERCIAL'!$C1400</f>
        <v>BELGRANO</v>
      </c>
    </row>
    <row r="1403" spans="1:9" s="10" customFormat="1" x14ac:dyDescent="0.25">
      <c r="A1403" s="14" t="str">
        <f>+'[1]BASE RED COMERCIAL'!$A1401</f>
        <v>S0331</v>
      </c>
      <c r="B1403" s="8" t="str">
        <f>+'[1]BASE RED COMERCIAL'!$H1401</f>
        <v>CAÃ‘ADA DE GOMEZ</v>
      </c>
      <c r="C1403" s="7" t="s">
        <v>33</v>
      </c>
      <c r="D1403" s="9" t="str">
        <f>+'[1]BASE RED COMERCIAL'!$E1401</f>
        <v>DOMINGO SARMIENTO</v>
      </c>
      <c r="E1403" s="7">
        <f>+'[1]BASE RED COMERCIAL'!$F1401</f>
        <v>96</v>
      </c>
      <c r="F1403" s="14" t="str">
        <f>+'[1]BASE RED COMERCIAL'!$I1401</f>
        <v>S2500ZAA</v>
      </c>
      <c r="G1403" s="7" t="str">
        <f>+'[1]BASE RED COMERCIAL'!$D1401</f>
        <v>CAÃ‘ADA DE GOMEZ</v>
      </c>
      <c r="H1403" s="7" t="str">
        <f>+'[1]BASE RED COMERCIAL'!$B1401</f>
        <v>SANTA FE</v>
      </c>
      <c r="I1403" s="8" t="str">
        <f>+'[1]BASE RED COMERCIAL'!$C1401</f>
        <v>IRIONDO</v>
      </c>
    </row>
    <row r="1404" spans="1:9" s="10" customFormat="1" x14ac:dyDescent="0.25">
      <c r="A1404" s="14" t="str">
        <f>+'[1]BASE RED COMERCIAL'!$A1402</f>
        <v>S0332</v>
      </c>
      <c r="B1404" s="8" t="str">
        <f>+'[1]BASE RED COMERCIAL'!$H1402</f>
        <v>CAÃ‘ADA DEL UCLE</v>
      </c>
      <c r="C1404" s="7" t="s">
        <v>33</v>
      </c>
      <c r="D1404" s="9" t="str">
        <f>+'[1]BASE RED COMERCIAL'!$E1402</f>
        <v>GRAL SAN MARTIN</v>
      </c>
      <c r="E1404" s="7">
        <f>+'[1]BASE RED COMERCIAL'!$F1402</f>
        <v>558</v>
      </c>
      <c r="F1404" s="14" t="str">
        <f>+'[1]BASE RED COMERCIAL'!$I1402</f>
        <v>S2635ZAA</v>
      </c>
      <c r="G1404" s="7" t="str">
        <f>+'[1]BASE RED COMERCIAL'!$D1402</f>
        <v>CAÃ‘ADA DEL UCLE</v>
      </c>
      <c r="H1404" s="7" t="str">
        <f>+'[1]BASE RED COMERCIAL'!$B1402</f>
        <v>SANTA FE</v>
      </c>
      <c r="I1404" s="8" t="str">
        <f>+'[1]BASE RED COMERCIAL'!$C1402</f>
        <v>GENERAL LOPEZ</v>
      </c>
    </row>
    <row r="1405" spans="1:9" s="10" customFormat="1" x14ac:dyDescent="0.25">
      <c r="A1405" s="14" t="str">
        <f>+'[1]BASE RED COMERCIAL'!$A1403</f>
        <v>S0333</v>
      </c>
      <c r="B1405" s="8" t="str">
        <f>+'[1]BASE RED COMERCIAL'!$H1403</f>
        <v>CAFFERATA</v>
      </c>
      <c r="C1405" s="7" t="s">
        <v>33</v>
      </c>
      <c r="D1405" s="9" t="str">
        <f>+'[1]BASE RED COMERCIAL'!$E1403</f>
        <v>SAN MARTIN</v>
      </c>
      <c r="E1405" s="7">
        <f>+'[1]BASE RED COMERCIAL'!$F1403</f>
        <v>679</v>
      </c>
      <c r="F1405" s="14" t="str">
        <f>+'[1]BASE RED COMERCIAL'!$I1403</f>
        <v>S2643ZAA</v>
      </c>
      <c r="G1405" s="7" t="str">
        <f>+'[1]BASE RED COMERCIAL'!$D1403</f>
        <v>CAFFERATA</v>
      </c>
      <c r="H1405" s="7" t="str">
        <f>+'[1]BASE RED COMERCIAL'!$B1403</f>
        <v>SANTA FE</v>
      </c>
      <c r="I1405" s="8" t="str">
        <f>+'[1]BASE RED COMERCIAL'!$C1403</f>
        <v>GENERAL LOPEZ</v>
      </c>
    </row>
    <row r="1406" spans="1:9" s="10" customFormat="1" x14ac:dyDescent="0.25">
      <c r="A1406" s="14" t="str">
        <f>+'[1]BASE RED COMERCIAL'!$A1404</f>
        <v>S0334</v>
      </c>
      <c r="B1406" s="8" t="str">
        <f>+'[1]BASE RED COMERCIAL'!$H1404</f>
        <v>CAPITAN BERMUDEZ</v>
      </c>
      <c r="C1406" s="7" t="s">
        <v>33</v>
      </c>
      <c r="D1406" s="9" t="str">
        <f>+'[1]BASE RED COMERCIAL'!$E1404</f>
        <v>AV SAN LORENZO</v>
      </c>
      <c r="E1406" s="7">
        <f>+'[1]BASE RED COMERCIAL'!$F1404</f>
        <v>855</v>
      </c>
      <c r="F1406" s="14" t="str">
        <f>+'[1]BASE RED COMERCIAL'!$I1404</f>
        <v>S2154ZAA</v>
      </c>
      <c r="G1406" s="7" t="str">
        <f>+'[1]BASE RED COMERCIAL'!$D1404</f>
        <v>CAPITAN BERMUDEZ</v>
      </c>
      <c r="H1406" s="7" t="str">
        <f>+'[1]BASE RED COMERCIAL'!$B1404</f>
        <v>SANTA FE</v>
      </c>
      <c r="I1406" s="8" t="str">
        <f>+'[1]BASE RED COMERCIAL'!$C1404</f>
        <v>SAN LORENZO</v>
      </c>
    </row>
    <row r="1407" spans="1:9" s="10" customFormat="1" x14ac:dyDescent="0.25">
      <c r="A1407" s="14" t="str">
        <f>+'[1]BASE RED COMERCIAL'!$A1405</f>
        <v>S0336</v>
      </c>
      <c r="B1407" s="8" t="str">
        <f>+'[1]BASE RED COMERCIAL'!$H1405</f>
        <v>CARCARAÃ‘A</v>
      </c>
      <c r="C1407" s="7" t="s">
        <v>33</v>
      </c>
      <c r="D1407" s="9" t="str">
        <f>+'[1]BASE RED COMERCIAL'!$E1405</f>
        <v>1 DE MAYO</v>
      </c>
      <c r="E1407" s="7">
        <f>+'[1]BASE RED COMERCIAL'!$F1405</f>
        <v>413</v>
      </c>
      <c r="F1407" s="14" t="str">
        <f>+'[1]BASE RED COMERCIAL'!$I1405</f>
        <v>S2138ZAA</v>
      </c>
      <c r="G1407" s="7" t="str">
        <f>+'[1]BASE RED COMERCIAL'!$D1405</f>
        <v>CARCARAÃ‘A</v>
      </c>
      <c r="H1407" s="7" t="str">
        <f>+'[1]BASE RED COMERCIAL'!$B1405</f>
        <v>SANTA FE</v>
      </c>
      <c r="I1407" s="8" t="str">
        <f>+'[1]BASE RED COMERCIAL'!$C1405</f>
        <v>SAN LORENZO</v>
      </c>
    </row>
    <row r="1408" spans="1:9" s="10" customFormat="1" x14ac:dyDescent="0.25">
      <c r="A1408" s="14" t="str">
        <f>+'[1]BASE RED COMERCIAL'!$A1406</f>
        <v>S0338</v>
      </c>
      <c r="B1408" s="8" t="str">
        <f>+'[1]BASE RED COMERCIAL'!$H1406</f>
        <v>CARMEN</v>
      </c>
      <c r="C1408" s="7" t="s">
        <v>33</v>
      </c>
      <c r="D1408" s="9" t="str">
        <f>+'[1]BASE RED COMERCIAL'!$E1406</f>
        <v>MITRE</v>
      </c>
      <c r="E1408" s="7">
        <f>+'[1]BASE RED COMERCIAL'!$F1406</f>
        <v>473</v>
      </c>
      <c r="F1408" s="14" t="str">
        <f>+'[1]BASE RED COMERCIAL'!$I1406</f>
        <v>S2618ZAA</v>
      </c>
      <c r="G1408" s="7" t="str">
        <f>+'[1]BASE RED COMERCIAL'!$D1406</f>
        <v>CARMEN</v>
      </c>
      <c r="H1408" s="7" t="str">
        <f>+'[1]BASE RED COMERCIAL'!$B1406</f>
        <v>SANTA FE</v>
      </c>
      <c r="I1408" s="8" t="str">
        <f>+'[1]BASE RED COMERCIAL'!$C1406</f>
        <v>GENERAL LOPEZ</v>
      </c>
    </row>
    <row r="1409" spans="1:9" s="10" customFormat="1" x14ac:dyDescent="0.25">
      <c r="A1409" s="14" t="str">
        <f>+'[1]BASE RED COMERCIAL'!$A1407</f>
        <v>S0340</v>
      </c>
      <c r="B1409" s="8" t="str">
        <f>+'[1]BASE RED COMERCIAL'!$H1407</f>
        <v>CARRERAS</v>
      </c>
      <c r="C1409" s="7" t="s">
        <v>33</v>
      </c>
      <c r="D1409" s="9" t="str">
        <f>+'[1]BASE RED COMERCIAL'!$E1407</f>
        <v>GARIBALDI</v>
      </c>
      <c r="E1409" s="7">
        <f>+'[1]BASE RED COMERCIAL'!$F1407</f>
        <v>791</v>
      </c>
      <c r="F1409" s="14" t="str">
        <f>+'[1]BASE RED COMERCIAL'!$I1407</f>
        <v>S2729ZAA</v>
      </c>
      <c r="G1409" s="7" t="str">
        <f>+'[1]BASE RED COMERCIAL'!$D1407</f>
        <v>CARRERAS</v>
      </c>
      <c r="H1409" s="7" t="str">
        <f>+'[1]BASE RED COMERCIAL'!$B1407</f>
        <v>SANTA FE</v>
      </c>
      <c r="I1409" s="8" t="str">
        <f>+'[1]BASE RED COMERCIAL'!$C1407</f>
        <v>GENERAL LOPEZ</v>
      </c>
    </row>
    <row r="1410" spans="1:9" s="10" customFormat="1" x14ac:dyDescent="0.25">
      <c r="A1410" s="14" t="str">
        <f>+'[1]BASE RED COMERCIAL'!$A1408</f>
        <v>S0342</v>
      </c>
      <c r="B1410" s="8" t="str">
        <f>+'[1]BASE RED COMERCIAL'!$H1408</f>
        <v>CASILDA</v>
      </c>
      <c r="C1410" s="7" t="s">
        <v>33</v>
      </c>
      <c r="D1410" s="9" t="str">
        <f>+'[1]BASE RED COMERCIAL'!$E1408</f>
        <v>DR LISANDRO DE LA TORRE</v>
      </c>
      <c r="E1410" s="7">
        <f>+'[1]BASE RED COMERCIAL'!$F1408</f>
        <v>2371</v>
      </c>
      <c r="F1410" s="14" t="str">
        <f>+'[1]BASE RED COMERCIAL'!$I1408</f>
        <v>S2170ZAA</v>
      </c>
      <c r="G1410" s="7" t="str">
        <f>+'[1]BASE RED COMERCIAL'!$D1408</f>
        <v>CASILDA</v>
      </c>
      <c r="H1410" s="7" t="str">
        <f>+'[1]BASE RED COMERCIAL'!$B1408</f>
        <v>SANTA FE</v>
      </c>
      <c r="I1410" s="8" t="str">
        <f>+'[1]BASE RED COMERCIAL'!$C1408</f>
        <v>CASEROS</v>
      </c>
    </row>
    <row r="1411" spans="1:9" s="10" customFormat="1" x14ac:dyDescent="0.25">
      <c r="A1411" s="14" t="str">
        <f>+'[1]BASE RED COMERCIAL'!$A1409</f>
        <v>S0344</v>
      </c>
      <c r="B1411" s="8" t="str">
        <f>+'[1]BASE RED COMERCIAL'!$H1409</f>
        <v>CHAÃ‘AR LADEADO</v>
      </c>
      <c r="C1411" s="7" t="s">
        <v>33</v>
      </c>
      <c r="D1411" s="9" t="str">
        <f>+'[1]BASE RED COMERCIAL'!$E1409</f>
        <v>AV SAN MARTIN</v>
      </c>
      <c r="E1411" s="7">
        <f>+'[1]BASE RED COMERCIAL'!$F1409</f>
        <v>735</v>
      </c>
      <c r="F1411" s="14" t="str">
        <f>+'[1]BASE RED COMERCIAL'!$I1409</f>
        <v>S2139ZAA</v>
      </c>
      <c r="G1411" s="7" t="str">
        <f>+'[1]BASE RED COMERCIAL'!$D1409</f>
        <v>CHAÃ‘AR LADEADO</v>
      </c>
      <c r="H1411" s="7" t="str">
        <f>+'[1]BASE RED COMERCIAL'!$B1409</f>
        <v>SANTA FE</v>
      </c>
      <c r="I1411" s="8" t="str">
        <f>+'[1]BASE RED COMERCIAL'!$C1409</f>
        <v>CASEROS</v>
      </c>
    </row>
    <row r="1412" spans="1:9" s="10" customFormat="1" x14ac:dyDescent="0.25">
      <c r="A1412" s="14" t="str">
        <f>+'[1]BASE RED COMERCIAL'!$A1410</f>
        <v>S0346</v>
      </c>
      <c r="B1412" s="8" t="str">
        <f>+'[1]BASE RED COMERCIAL'!$H1410</f>
        <v>CHABAS</v>
      </c>
      <c r="C1412" s="7" t="s">
        <v>33</v>
      </c>
      <c r="D1412" s="9" t="str">
        <f>+'[1]BASE RED COMERCIAL'!$E1410</f>
        <v>ROSARIO</v>
      </c>
      <c r="E1412" s="7">
        <f>+'[1]BASE RED COMERCIAL'!$F1410</f>
        <v>1743</v>
      </c>
      <c r="F1412" s="14" t="str">
        <f>+'[1]BASE RED COMERCIAL'!$I1410</f>
        <v>S2173ZAA</v>
      </c>
      <c r="G1412" s="7" t="str">
        <f>+'[1]BASE RED COMERCIAL'!$D1410</f>
        <v>CHABAS</v>
      </c>
      <c r="H1412" s="7" t="str">
        <f>+'[1]BASE RED COMERCIAL'!$B1410</f>
        <v>SANTA FE</v>
      </c>
      <c r="I1412" s="8" t="str">
        <f>+'[1]BASE RED COMERCIAL'!$C1410</f>
        <v>CASEROS</v>
      </c>
    </row>
    <row r="1413" spans="1:9" s="10" customFormat="1" x14ac:dyDescent="0.25">
      <c r="A1413" s="14" t="str">
        <f>+'[1]BASE RED COMERCIAL'!$A1411</f>
        <v>S0348</v>
      </c>
      <c r="B1413" s="8" t="str">
        <f>+'[1]BASE RED COMERCIAL'!$H1411</f>
        <v>CHOVET</v>
      </c>
      <c r="C1413" s="7" t="s">
        <v>33</v>
      </c>
      <c r="D1413" s="9" t="str">
        <f>+'[1]BASE RED COMERCIAL'!$E1411</f>
        <v>SAN MARTIN</v>
      </c>
      <c r="E1413" s="7">
        <f>+'[1]BASE RED COMERCIAL'!$F1411</f>
        <v>570</v>
      </c>
      <c r="F1413" s="14" t="str">
        <f>+'[1]BASE RED COMERCIAL'!$I1411</f>
        <v>S2633ZAA</v>
      </c>
      <c r="G1413" s="7" t="str">
        <f>+'[1]BASE RED COMERCIAL'!$D1411</f>
        <v>CHOVET</v>
      </c>
      <c r="H1413" s="7" t="str">
        <f>+'[1]BASE RED COMERCIAL'!$B1411</f>
        <v>SANTA FE</v>
      </c>
      <c r="I1413" s="8" t="str">
        <f>+'[1]BASE RED COMERCIAL'!$C1411</f>
        <v>GENERAL LOPEZ</v>
      </c>
    </row>
    <row r="1414" spans="1:9" s="10" customFormat="1" x14ac:dyDescent="0.25">
      <c r="A1414" s="14" t="str">
        <f>+'[1]BASE RED COMERCIAL'!$A1412</f>
        <v>S0352</v>
      </c>
      <c r="B1414" s="8" t="str">
        <f>+'[1]BASE RED COMERCIAL'!$H1412</f>
        <v>CORONEL BOGADO</v>
      </c>
      <c r="C1414" s="7" t="s">
        <v>33</v>
      </c>
      <c r="D1414" s="9" t="str">
        <f>+'[1]BASE RED COMERCIAL'!$E1412</f>
        <v>9 DE JULIO</v>
      </c>
      <c r="E1414" s="7">
        <f>+'[1]BASE RED COMERCIAL'!$F1412</f>
        <v>253</v>
      </c>
      <c r="F1414" s="14" t="str">
        <f>+'[1]BASE RED COMERCIAL'!$I1412</f>
        <v>S2103ZAA</v>
      </c>
      <c r="G1414" s="7" t="str">
        <f>+'[1]BASE RED COMERCIAL'!$D1412</f>
        <v>CORONEL BOGADO</v>
      </c>
      <c r="H1414" s="7" t="str">
        <f>+'[1]BASE RED COMERCIAL'!$B1412</f>
        <v>SANTA FE</v>
      </c>
      <c r="I1414" s="8" t="str">
        <f>+'[1]BASE RED COMERCIAL'!$C1412</f>
        <v>ROSARIO</v>
      </c>
    </row>
    <row r="1415" spans="1:9" s="10" customFormat="1" x14ac:dyDescent="0.25">
      <c r="A1415" s="14" t="str">
        <f>+'[1]BASE RED COMERCIAL'!$A1413</f>
        <v>S0354</v>
      </c>
      <c r="B1415" s="8" t="str">
        <f>+'[1]BASE RED COMERCIAL'!$H1413</f>
        <v>CORREA</v>
      </c>
      <c r="C1415" s="7" t="s">
        <v>33</v>
      </c>
      <c r="D1415" s="9" t="str">
        <f>+'[1]BASE RED COMERCIAL'!$E1413</f>
        <v>25 DE MAYO</v>
      </c>
      <c r="E1415" s="7">
        <f>+'[1]BASE RED COMERCIAL'!$F1413</f>
        <v>765</v>
      </c>
      <c r="F1415" s="14" t="str">
        <f>+'[1]BASE RED COMERCIAL'!$I1413</f>
        <v>S2506ZAA</v>
      </c>
      <c r="G1415" s="7" t="str">
        <f>+'[1]BASE RED COMERCIAL'!$D1413</f>
        <v>CORREA</v>
      </c>
      <c r="H1415" s="7" t="str">
        <f>+'[1]BASE RED COMERCIAL'!$B1413</f>
        <v>SANTA FE</v>
      </c>
      <c r="I1415" s="8" t="str">
        <f>+'[1]BASE RED COMERCIAL'!$C1413</f>
        <v>IRIONDO</v>
      </c>
    </row>
    <row r="1416" spans="1:9" s="10" customFormat="1" x14ac:dyDescent="0.25">
      <c r="A1416" s="14" t="str">
        <f>+'[1]BASE RED COMERCIAL'!$A1414</f>
        <v>S0356</v>
      </c>
      <c r="B1416" s="8" t="str">
        <f>+'[1]BASE RED COMERCIAL'!$H1414</f>
        <v>DIEGO DE ALVEAR</v>
      </c>
      <c r="C1416" s="7" t="s">
        <v>33</v>
      </c>
      <c r="D1416" s="9" t="str">
        <f>+'[1]BASE RED COMERCIAL'!$E1414</f>
        <v>AV CHRISTOPHERSEN</v>
      </c>
      <c r="E1416" s="7">
        <f>+'[1]BASE RED COMERCIAL'!$F1414</f>
        <v>100</v>
      </c>
      <c r="F1416" s="14" t="str">
        <f>+'[1]BASE RED COMERCIAL'!$I1414</f>
        <v>S6036ZAA</v>
      </c>
      <c r="G1416" s="7" t="str">
        <f>+'[1]BASE RED COMERCIAL'!$D1414</f>
        <v>DIEGO DE ALVEAR</v>
      </c>
      <c r="H1416" s="7" t="str">
        <f>+'[1]BASE RED COMERCIAL'!$B1414</f>
        <v>SANTA FE</v>
      </c>
      <c r="I1416" s="8" t="str">
        <f>+'[1]BASE RED COMERCIAL'!$C1414</f>
        <v>GENERAL LOPEZ</v>
      </c>
    </row>
    <row r="1417" spans="1:9" s="10" customFormat="1" x14ac:dyDescent="0.25">
      <c r="A1417" s="14" t="str">
        <f>+'[1]BASE RED COMERCIAL'!$A1415</f>
        <v>S0358</v>
      </c>
      <c r="B1417" s="8" t="str">
        <f>+'[1]BASE RED COMERCIAL'!$H1415</f>
        <v>ELORTONDO</v>
      </c>
      <c r="C1417" s="7" t="s">
        <v>33</v>
      </c>
      <c r="D1417" s="9" t="str">
        <f>+'[1]BASE RED COMERCIAL'!$E1415</f>
        <v>ITALIA</v>
      </c>
      <c r="E1417" s="7">
        <f>+'[1]BASE RED COMERCIAL'!$F1415</f>
        <v>688</v>
      </c>
      <c r="F1417" s="14" t="str">
        <f>+'[1]BASE RED COMERCIAL'!$I1415</f>
        <v>S2732ZAA</v>
      </c>
      <c r="G1417" s="7" t="str">
        <f>+'[1]BASE RED COMERCIAL'!$D1415</f>
        <v>ELORTONDO</v>
      </c>
      <c r="H1417" s="7" t="str">
        <f>+'[1]BASE RED COMERCIAL'!$B1415</f>
        <v>SANTA FE</v>
      </c>
      <c r="I1417" s="8" t="str">
        <f>+'[1]BASE RED COMERCIAL'!$C1415</f>
        <v>GENERAL LOPEZ</v>
      </c>
    </row>
    <row r="1418" spans="1:9" s="10" customFormat="1" x14ac:dyDescent="0.25">
      <c r="A1418" s="14" t="str">
        <f>+'[1]BASE RED COMERCIAL'!$A1416</f>
        <v>S0360</v>
      </c>
      <c r="B1418" s="8" t="str">
        <f>+'[1]BASE RED COMERCIAL'!$H1416</f>
        <v>EMP. V. CONSTITUCION</v>
      </c>
      <c r="C1418" s="7" t="s">
        <v>33</v>
      </c>
      <c r="D1418" s="9" t="str">
        <f>+'[1]BASE RED COMERCIAL'!$E1416</f>
        <v>RIVADAVIA</v>
      </c>
      <c r="E1418" s="7">
        <f>+'[1]BASE RED COMERCIAL'!$F1416</f>
        <v>195</v>
      </c>
      <c r="F1418" s="14" t="str">
        <f>+'[1]BASE RED COMERCIAL'!$I1416</f>
        <v>S2918ZAB</v>
      </c>
      <c r="G1418" s="7" t="str">
        <f>+'[1]BASE RED COMERCIAL'!$D1416</f>
        <v>EMPALME VILLA CONSTITUCION</v>
      </c>
      <c r="H1418" s="7" t="str">
        <f>+'[1]BASE RED COMERCIAL'!$B1416</f>
        <v>SANTA FE</v>
      </c>
      <c r="I1418" s="8" t="str">
        <f>+'[1]BASE RED COMERCIAL'!$C1416</f>
        <v>CONSTITUCION</v>
      </c>
    </row>
    <row r="1419" spans="1:9" s="10" customFormat="1" x14ac:dyDescent="0.25">
      <c r="A1419" s="14" t="str">
        <f>+'[1]BASE RED COMERCIAL'!$A1417</f>
        <v>S0362</v>
      </c>
      <c r="B1419" s="8" t="str">
        <f>+'[1]BASE RED COMERCIAL'!$H1417</f>
        <v>FIGHIERA</v>
      </c>
      <c r="C1419" s="7" t="s">
        <v>33</v>
      </c>
      <c r="D1419" s="9" t="str">
        <f>+'[1]BASE RED COMERCIAL'!$E1417</f>
        <v>COLON</v>
      </c>
      <c r="E1419" s="7">
        <f>+'[1]BASE RED COMERCIAL'!$F1417</f>
        <v>642</v>
      </c>
      <c r="F1419" s="14" t="str">
        <f>+'[1]BASE RED COMERCIAL'!$I1417</f>
        <v>S2126ZAA</v>
      </c>
      <c r="G1419" s="7" t="str">
        <f>+'[1]BASE RED COMERCIAL'!$D1417</f>
        <v>FIGHIERA</v>
      </c>
      <c r="H1419" s="7" t="str">
        <f>+'[1]BASE RED COMERCIAL'!$B1417</f>
        <v>SANTA FE</v>
      </c>
      <c r="I1419" s="8" t="str">
        <f>+'[1]BASE RED COMERCIAL'!$C1417</f>
        <v>ROSARIO</v>
      </c>
    </row>
    <row r="1420" spans="1:9" s="10" customFormat="1" x14ac:dyDescent="0.25">
      <c r="A1420" s="14" t="str">
        <f>+'[1]BASE RED COMERCIAL'!$A1418</f>
        <v>S0364</v>
      </c>
      <c r="B1420" s="8" t="str">
        <f>+'[1]BASE RED COMERCIAL'!$H1418</f>
        <v>FIRMAT</v>
      </c>
      <c r="C1420" s="7" t="s">
        <v>33</v>
      </c>
      <c r="D1420" s="9" t="str">
        <f>+'[1]BASE RED COMERCIAL'!$E1418</f>
        <v>AV B RIVADAVIA</v>
      </c>
      <c r="E1420" s="7">
        <f>+'[1]BASE RED COMERCIAL'!$F1418</f>
        <v>1235</v>
      </c>
      <c r="F1420" s="14" t="str">
        <f>+'[1]BASE RED COMERCIAL'!$I1418</f>
        <v>S2630ZAA</v>
      </c>
      <c r="G1420" s="7" t="str">
        <f>+'[1]BASE RED COMERCIAL'!$D1418</f>
        <v>FIRMAT</v>
      </c>
      <c r="H1420" s="7" t="str">
        <f>+'[1]BASE RED COMERCIAL'!$B1418</f>
        <v>SANTA FE</v>
      </c>
      <c r="I1420" s="8" t="str">
        <f>+'[1]BASE RED COMERCIAL'!$C1418</f>
        <v>GENERAL LOPEZ</v>
      </c>
    </row>
    <row r="1421" spans="1:9" s="10" customFormat="1" x14ac:dyDescent="0.25">
      <c r="A1421" s="14" t="str">
        <f>+'[1]BASE RED COMERCIAL'!$A1419</f>
        <v>S0366</v>
      </c>
      <c r="B1421" s="8" t="str">
        <f>+'[1]BASE RED COMERCIAL'!$H1419</f>
        <v>FRAY L. BELTRAN</v>
      </c>
      <c r="C1421" s="7" t="s">
        <v>33</v>
      </c>
      <c r="D1421" s="9" t="str">
        <f>+'[1]BASE RED COMERCIAL'!$E1419</f>
        <v>SANTA FE</v>
      </c>
      <c r="E1421" s="7">
        <f>+'[1]BASE RED COMERCIAL'!$F1419</f>
        <v>145</v>
      </c>
      <c r="F1421" s="14" t="str">
        <f>+'[1]BASE RED COMERCIAL'!$I1419</f>
        <v>S2156ZAA</v>
      </c>
      <c r="G1421" s="7" t="str">
        <f>+'[1]BASE RED COMERCIAL'!$D1419</f>
        <v>FRAY LUIS BELTRAN</v>
      </c>
      <c r="H1421" s="7" t="str">
        <f>+'[1]BASE RED COMERCIAL'!$B1419</f>
        <v>SANTA FE</v>
      </c>
      <c r="I1421" s="8" t="str">
        <f>+'[1]BASE RED COMERCIAL'!$C1419</f>
        <v>SAN LORENZO</v>
      </c>
    </row>
    <row r="1422" spans="1:9" s="10" customFormat="1" x14ac:dyDescent="0.25">
      <c r="A1422" s="14" t="str">
        <f>+'[1]BASE RED COMERCIAL'!$A1420</f>
        <v>S0368</v>
      </c>
      <c r="B1422" s="8" t="str">
        <f>+'[1]BASE RED COMERCIAL'!$H1420</f>
        <v>FUENTES</v>
      </c>
      <c r="C1422" s="7" t="s">
        <v>33</v>
      </c>
      <c r="D1422" s="9" t="str">
        <f>+'[1]BASE RED COMERCIAL'!$E1420</f>
        <v>RECONQUISTA</v>
      </c>
      <c r="E1422" s="7">
        <f>+'[1]BASE RED COMERCIAL'!$F1420</f>
        <v>645</v>
      </c>
      <c r="F1422" s="14" t="str">
        <f>+'[1]BASE RED COMERCIAL'!$I1420</f>
        <v>S2123ZAA</v>
      </c>
      <c r="G1422" s="7" t="str">
        <f>+'[1]BASE RED COMERCIAL'!$D1420</f>
        <v>FUENTES</v>
      </c>
      <c r="H1422" s="7" t="str">
        <f>+'[1]BASE RED COMERCIAL'!$B1420</f>
        <v>SANTA FE</v>
      </c>
      <c r="I1422" s="8" t="str">
        <f>+'[1]BASE RED COMERCIAL'!$C1420</f>
        <v>SAN LORENZO</v>
      </c>
    </row>
    <row r="1423" spans="1:9" s="10" customFormat="1" x14ac:dyDescent="0.25">
      <c r="A1423" s="14" t="str">
        <f>+'[1]BASE RED COMERCIAL'!$A1421</f>
        <v>S0370</v>
      </c>
      <c r="B1423" s="8" t="str">
        <f>+'[1]BASE RED COMERCIAL'!$H1421</f>
        <v>FUNES</v>
      </c>
      <c r="C1423" s="7" t="s">
        <v>33</v>
      </c>
      <c r="D1423" s="9" t="str">
        <f>+'[1]BASE RED COMERCIAL'!$E1421</f>
        <v>MORENO</v>
      </c>
      <c r="E1423" s="7">
        <f>+'[1]BASE RED COMERCIAL'!$F1421</f>
        <v>1454</v>
      </c>
      <c r="F1423" s="14" t="str">
        <f>+'[1]BASE RED COMERCIAL'!$I1421</f>
        <v>S2132ZAA</v>
      </c>
      <c r="G1423" s="7" t="str">
        <f>+'[1]BASE RED COMERCIAL'!$D1421</f>
        <v>FUNES</v>
      </c>
      <c r="H1423" s="7" t="str">
        <f>+'[1]BASE RED COMERCIAL'!$B1421</f>
        <v>SANTA FE</v>
      </c>
      <c r="I1423" s="8" t="str">
        <f>+'[1]BASE RED COMERCIAL'!$C1421</f>
        <v>ROSARIO</v>
      </c>
    </row>
    <row r="1424" spans="1:9" s="10" customFormat="1" x14ac:dyDescent="0.25">
      <c r="A1424" s="14" t="str">
        <f>+'[1]BASE RED COMERCIAL'!$A1422</f>
        <v>S0372</v>
      </c>
      <c r="B1424" s="8" t="str">
        <f>+'[1]BASE RED COMERCIAL'!$H1422</f>
        <v>GODEKEN</v>
      </c>
      <c r="C1424" s="7" t="s">
        <v>33</v>
      </c>
      <c r="D1424" s="9" t="str">
        <f>+'[1]BASE RED COMERCIAL'!$E1422</f>
        <v>CALLE 14</v>
      </c>
      <c r="E1424" s="7">
        <f>+'[1]BASE RED COMERCIAL'!$F1422</f>
        <v>705</v>
      </c>
      <c r="F1424" s="14" t="str">
        <f>+'[1]BASE RED COMERCIAL'!$I1422</f>
        <v>S2640ZAA</v>
      </c>
      <c r="G1424" s="7" t="str">
        <f>+'[1]BASE RED COMERCIAL'!$D1422</f>
        <v>GODEKEN</v>
      </c>
      <c r="H1424" s="7" t="str">
        <f>+'[1]BASE RED COMERCIAL'!$B1422</f>
        <v>SANTA FE</v>
      </c>
      <c r="I1424" s="8" t="str">
        <f>+'[1]BASE RED COMERCIAL'!$C1422</f>
        <v>CASEROS</v>
      </c>
    </row>
    <row r="1425" spans="1:9" s="10" customFormat="1" x14ac:dyDescent="0.25">
      <c r="A1425" s="14" t="str">
        <f>+'[1]BASE RED COMERCIAL'!$A1423</f>
        <v>S0374</v>
      </c>
      <c r="B1425" s="8" t="str">
        <f>+'[1]BASE RED COMERCIAL'!$H1423</f>
        <v>GODOY</v>
      </c>
      <c r="C1425" s="7" t="s">
        <v>33</v>
      </c>
      <c r="D1425" s="9" t="str">
        <f>+'[1]BASE RED COMERCIAL'!$E1423</f>
        <v>ITALIA</v>
      </c>
      <c r="E1425" s="7">
        <f>+'[1]BASE RED COMERCIAL'!$F1423</f>
        <v>159</v>
      </c>
      <c r="F1425" s="14" t="str">
        <f>+'[1]BASE RED COMERCIAL'!$I1423</f>
        <v>S2921ZAA</v>
      </c>
      <c r="G1425" s="7" t="str">
        <f>+'[1]BASE RED COMERCIAL'!$D1423</f>
        <v>GODOY</v>
      </c>
      <c r="H1425" s="7" t="str">
        <f>+'[1]BASE RED COMERCIAL'!$B1423</f>
        <v>SANTA FE</v>
      </c>
      <c r="I1425" s="8" t="str">
        <f>+'[1]BASE RED COMERCIAL'!$C1423</f>
        <v>CONSTITUCION</v>
      </c>
    </row>
    <row r="1426" spans="1:9" s="10" customFormat="1" x14ac:dyDescent="0.25">
      <c r="A1426" s="14" t="str">
        <f>+'[1]BASE RED COMERCIAL'!$A1424</f>
        <v>S0376</v>
      </c>
      <c r="B1426" s="8" t="str">
        <f>+'[1]BASE RED COMERCIAL'!$H1424</f>
        <v>GRANADERO BAIGORRIA</v>
      </c>
      <c r="C1426" s="7" t="s">
        <v>33</v>
      </c>
      <c r="D1426" s="9" t="str">
        <f>+'[1]BASE RED COMERCIAL'!$E1424</f>
        <v>CORRIENTES</v>
      </c>
      <c r="E1426" s="7">
        <f>+'[1]BASE RED COMERCIAL'!$F1424</f>
        <v>1096</v>
      </c>
      <c r="F1426" s="14" t="str">
        <f>+'[1]BASE RED COMERCIAL'!$I1424</f>
        <v>S2152ZAA</v>
      </c>
      <c r="G1426" s="7" t="str">
        <f>+'[1]BASE RED COMERCIAL'!$D1424</f>
        <v>GRANADERO BAIGORRIA</v>
      </c>
      <c r="H1426" s="7" t="str">
        <f>+'[1]BASE RED COMERCIAL'!$B1424</f>
        <v>SANTA FE</v>
      </c>
      <c r="I1426" s="8" t="str">
        <f>+'[1]BASE RED COMERCIAL'!$C1424</f>
        <v>ROSARIO</v>
      </c>
    </row>
    <row r="1427" spans="1:9" s="10" customFormat="1" x14ac:dyDescent="0.25">
      <c r="A1427" s="14" t="str">
        <f>+'[1]BASE RED COMERCIAL'!$A1425</f>
        <v>S0378</v>
      </c>
      <c r="B1427" s="8" t="str">
        <f>+'[1]BASE RED COMERCIAL'!$H1425</f>
        <v>HUGHES</v>
      </c>
      <c r="C1427" s="7" t="s">
        <v>33</v>
      </c>
      <c r="D1427" s="9" t="str">
        <f>+'[1]BASE RED COMERCIAL'!$E1425</f>
        <v>15 DE ABRIL</v>
      </c>
      <c r="E1427" s="7">
        <f>+'[1]BASE RED COMERCIAL'!$F1425</f>
        <v>234</v>
      </c>
      <c r="F1427" s="14" t="str">
        <f>+'[1]BASE RED COMERCIAL'!$I1425</f>
        <v>S2725ZAA</v>
      </c>
      <c r="G1427" s="7" t="str">
        <f>+'[1]BASE RED COMERCIAL'!$D1425</f>
        <v>HUGHES</v>
      </c>
      <c r="H1427" s="7" t="str">
        <f>+'[1]BASE RED COMERCIAL'!$B1425</f>
        <v>SANTA FE</v>
      </c>
      <c r="I1427" s="8" t="str">
        <f>+'[1]BASE RED COMERCIAL'!$C1425</f>
        <v>GENERAL LOPEZ</v>
      </c>
    </row>
    <row r="1428" spans="1:9" s="10" customFormat="1" x14ac:dyDescent="0.25">
      <c r="A1428" s="14" t="str">
        <f>+'[1]BASE RED COMERCIAL'!$A1426</f>
        <v>S0380</v>
      </c>
      <c r="B1428" s="8" t="str">
        <f>+'[1]BASE RED COMERCIAL'!$H1426</f>
        <v>J. B. MOLINA</v>
      </c>
      <c r="C1428" s="7" t="s">
        <v>33</v>
      </c>
      <c r="D1428" s="9" t="str">
        <f>+'[1]BASE RED COMERCIAL'!$E1426</f>
        <v>MITRE</v>
      </c>
      <c r="E1428" s="7">
        <f>+'[1]BASE RED COMERCIAL'!$F1426</f>
        <v>302</v>
      </c>
      <c r="F1428" s="14" t="str">
        <f>+'[1]BASE RED COMERCIAL'!$I1426</f>
        <v>S2104ZAA</v>
      </c>
      <c r="G1428" s="7" t="str">
        <f>+'[1]BASE RED COMERCIAL'!$D1426</f>
        <v>JUAN B MOLINA</v>
      </c>
      <c r="H1428" s="7" t="str">
        <f>+'[1]BASE RED COMERCIAL'!$B1426</f>
        <v>SANTA FE</v>
      </c>
      <c r="I1428" s="8" t="str">
        <f>+'[1]BASE RED COMERCIAL'!$C1426</f>
        <v>CONSTITUCION</v>
      </c>
    </row>
    <row r="1429" spans="1:9" s="10" customFormat="1" x14ac:dyDescent="0.25">
      <c r="A1429" s="14" t="str">
        <f>+'[1]BASE RED COMERCIAL'!$A1427</f>
        <v>S0382</v>
      </c>
      <c r="B1429" s="8" t="str">
        <f>+'[1]BASE RED COMERCIAL'!$H1427</f>
        <v>JUNCAL</v>
      </c>
      <c r="C1429" s="7" t="s">
        <v>33</v>
      </c>
      <c r="D1429" s="9" t="str">
        <f>+'[1]BASE RED COMERCIAL'!$E1427</f>
        <v>AV CLODOMIRO LEDESMA</v>
      </c>
      <c r="E1429" s="7">
        <f>+'[1]BASE RED COMERCIAL'!$F1427</f>
        <v>254</v>
      </c>
      <c r="F1429" s="14" t="str">
        <f>+'[1]BASE RED COMERCIAL'!$I1427</f>
        <v>S2723ZAA</v>
      </c>
      <c r="G1429" s="7" t="str">
        <f>+'[1]BASE RED COMERCIAL'!$D1427</f>
        <v>JUNCAL</v>
      </c>
      <c r="H1429" s="7" t="str">
        <f>+'[1]BASE RED COMERCIAL'!$B1427</f>
        <v>SANTA FE</v>
      </c>
      <c r="I1429" s="8" t="str">
        <f>+'[1]BASE RED COMERCIAL'!$C1427</f>
        <v>CONSTITUCION</v>
      </c>
    </row>
    <row r="1430" spans="1:9" s="10" customFormat="1" x14ac:dyDescent="0.25">
      <c r="A1430" s="14" t="str">
        <f>+'[1]BASE RED COMERCIAL'!$A1428</f>
        <v>S0384</v>
      </c>
      <c r="B1430" s="8" t="str">
        <f>+'[1]BASE RED COMERCIAL'!$H1428</f>
        <v>LABORDEBOY</v>
      </c>
      <c r="C1430" s="7" t="s">
        <v>33</v>
      </c>
      <c r="D1430" s="9" t="str">
        <f>+'[1]BASE RED COMERCIAL'!$E1428</f>
        <v>INDEPENDENCIA</v>
      </c>
      <c r="E1430" s="7">
        <f>+'[1]BASE RED COMERCIAL'!$F1428</f>
        <v>485</v>
      </c>
      <c r="F1430" s="14" t="str">
        <f>+'[1]BASE RED COMERCIAL'!$I1428</f>
        <v>S2726ZAA</v>
      </c>
      <c r="G1430" s="7" t="str">
        <f>+'[1]BASE RED COMERCIAL'!$D1428</f>
        <v>LABORDEBOY</v>
      </c>
      <c r="H1430" s="7" t="str">
        <f>+'[1]BASE RED COMERCIAL'!$B1428</f>
        <v>SANTA FE</v>
      </c>
      <c r="I1430" s="8" t="str">
        <f>+'[1]BASE RED COMERCIAL'!$C1428</f>
        <v>GENERAL LOPEZ</v>
      </c>
    </row>
    <row r="1431" spans="1:9" s="10" customFormat="1" x14ac:dyDescent="0.25">
      <c r="A1431" s="14" t="str">
        <f>+'[1]BASE RED COMERCIAL'!$A1429</f>
        <v>S0386</v>
      </c>
      <c r="B1431" s="8" t="str">
        <f>+'[1]BASE RED COMERCIAL'!$H1429</f>
        <v>LAS PAREJAS</v>
      </c>
      <c r="C1431" s="7" t="s">
        <v>33</v>
      </c>
      <c r="D1431" s="9" t="str">
        <f>+'[1]BASE RED COMERCIAL'!$E1429</f>
        <v>CALLE 16</v>
      </c>
      <c r="E1431" s="7">
        <f>+'[1]BASE RED COMERCIAL'!$F1429</f>
        <v>856</v>
      </c>
      <c r="F1431" s="14" t="str">
        <f>+'[1]BASE RED COMERCIAL'!$I1429</f>
        <v>S2505ZAA</v>
      </c>
      <c r="G1431" s="7" t="str">
        <f>+'[1]BASE RED COMERCIAL'!$D1429</f>
        <v>LAS PAREJAS</v>
      </c>
      <c r="H1431" s="7" t="str">
        <f>+'[1]BASE RED COMERCIAL'!$B1429</f>
        <v>SANTA FE</v>
      </c>
      <c r="I1431" s="8" t="str">
        <f>+'[1]BASE RED COMERCIAL'!$C1429</f>
        <v>BELGRANO</v>
      </c>
    </row>
    <row r="1432" spans="1:9" s="10" customFormat="1" x14ac:dyDescent="0.25">
      <c r="A1432" s="14" t="str">
        <f>+'[1]BASE RED COMERCIAL'!$A1430</f>
        <v>S0388</v>
      </c>
      <c r="B1432" s="8" t="str">
        <f>+'[1]BASE RED COMERCIAL'!$H1430</f>
        <v>LAS ROSAS</v>
      </c>
      <c r="C1432" s="7" t="s">
        <v>33</v>
      </c>
      <c r="D1432" s="9" t="str">
        <f>+'[1]BASE RED COMERCIAL'!$E1430</f>
        <v>SAN MARTIN</v>
      </c>
      <c r="E1432" s="7">
        <f>+'[1]BASE RED COMERCIAL'!$F1430</f>
        <v>459</v>
      </c>
      <c r="F1432" s="14" t="str">
        <f>+'[1]BASE RED COMERCIAL'!$I1430</f>
        <v>S2520ZAA</v>
      </c>
      <c r="G1432" s="7" t="str">
        <f>+'[1]BASE RED COMERCIAL'!$D1430</f>
        <v>LAS ROSAS</v>
      </c>
      <c r="H1432" s="7" t="str">
        <f>+'[1]BASE RED COMERCIAL'!$B1430</f>
        <v>SANTA FE</v>
      </c>
      <c r="I1432" s="8" t="str">
        <f>+'[1]BASE RED COMERCIAL'!$C1430</f>
        <v>BELGRANO</v>
      </c>
    </row>
    <row r="1433" spans="1:9" s="10" customFormat="1" x14ac:dyDescent="0.25">
      <c r="A1433" s="14" t="str">
        <f>+'[1]BASE RED COMERCIAL'!$A1431</f>
        <v>S0390</v>
      </c>
      <c r="B1433" s="8" t="str">
        <f>+'[1]BASE RED COMERCIAL'!$H1431</f>
        <v>LOS MOLINOS</v>
      </c>
      <c r="C1433" s="7" t="s">
        <v>33</v>
      </c>
      <c r="D1433" s="9" t="str">
        <f>+'[1]BASE RED COMERCIAL'!$E1431</f>
        <v>BDIER ESTANISLAO LOPEZ</v>
      </c>
      <c r="E1433" s="7">
        <f>+'[1]BASE RED COMERCIAL'!$F1431</f>
        <v>626</v>
      </c>
      <c r="F1433" s="14" t="str">
        <f>+'[1]BASE RED COMERCIAL'!$I1431</f>
        <v>S2181ZAA</v>
      </c>
      <c r="G1433" s="7" t="str">
        <f>+'[1]BASE RED COMERCIAL'!$D1431</f>
        <v>LOS MOLINOS</v>
      </c>
      <c r="H1433" s="7" t="str">
        <f>+'[1]BASE RED COMERCIAL'!$B1431</f>
        <v>SANTA FE</v>
      </c>
      <c r="I1433" s="8" t="str">
        <f>+'[1]BASE RED COMERCIAL'!$C1431</f>
        <v>CASEROS</v>
      </c>
    </row>
    <row r="1434" spans="1:9" s="10" customFormat="1" x14ac:dyDescent="0.25">
      <c r="A1434" s="14" t="str">
        <f>+'[1]BASE RED COMERCIAL'!$A1432</f>
        <v>S0392</v>
      </c>
      <c r="B1434" s="8" t="str">
        <f>+'[1]BASE RED COMERCIAL'!$H1432</f>
        <v>LOS QUIRQUINCHOS</v>
      </c>
      <c r="C1434" s="7" t="s">
        <v>33</v>
      </c>
      <c r="D1434" s="9" t="str">
        <f>+'[1]BASE RED COMERCIAL'!$E1432</f>
        <v>25 DE MAYO</v>
      </c>
      <c r="E1434" s="7">
        <f>+'[1]BASE RED COMERCIAL'!$F1432</f>
        <v>554</v>
      </c>
      <c r="F1434" s="14" t="str">
        <f>+'[1]BASE RED COMERCIAL'!$I1432</f>
        <v>S2637ZAA</v>
      </c>
      <c r="G1434" s="7" t="str">
        <f>+'[1]BASE RED COMERCIAL'!$D1432</f>
        <v>LOS QUIRQUINCHOS</v>
      </c>
      <c r="H1434" s="7" t="str">
        <f>+'[1]BASE RED COMERCIAL'!$B1432</f>
        <v>SANTA FE</v>
      </c>
      <c r="I1434" s="8" t="str">
        <f>+'[1]BASE RED COMERCIAL'!$C1432</f>
        <v>CASEROS</v>
      </c>
    </row>
    <row r="1435" spans="1:9" s="10" customFormat="1" x14ac:dyDescent="0.25">
      <c r="A1435" s="14" t="str">
        <f>+'[1]BASE RED COMERCIAL'!$A1433</f>
        <v>S0394</v>
      </c>
      <c r="B1435" s="8" t="str">
        <f>+'[1]BASE RED COMERCIAL'!$H1433</f>
        <v>MAGGIOLO</v>
      </c>
      <c r="C1435" s="7" t="s">
        <v>33</v>
      </c>
      <c r="D1435" s="9" t="str">
        <f>+'[1]BASE RED COMERCIAL'!$E1433</f>
        <v>PADRE BADIA</v>
      </c>
      <c r="E1435" s="7">
        <f>+'[1]BASE RED COMERCIAL'!$F1433</f>
        <v>498</v>
      </c>
      <c r="F1435" s="14" t="str">
        <f>+'[1]BASE RED COMERCIAL'!$I1433</f>
        <v>S2622ZAA</v>
      </c>
      <c r="G1435" s="7" t="str">
        <f>+'[1]BASE RED COMERCIAL'!$D1433</f>
        <v>MAGGIOLO</v>
      </c>
      <c r="H1435" s="7" t="str">
        <f>+'[1]BASE RED COMERCIAL'!$B1433</f>
        <v>SANTA FE</v>
      </c>
      <c r="I1435" s="8" t="str">
        <f>+'[1]BASE RED COMERCIAL'!$C1433</f>
        <v>GENERAL LOPEZ</v>
      </c>
    </row>
    <row r="1436" spans="1:9" s="10" customFormat="1" x14ac:dyDescent="0.25">
      <c r="A1436" s="14" t="str">
        <f>+'[1]BASE RED COMERCIAL'!$A1434</f>
        <v>S0396</v>
      </c>
      <c r="B1436" s="8" t="str">
        <f>+'[1]BASE RED COMERCIAL'!$H1434</f>
        <v>MARIA TERESA</v>
      </c>
      <c r="C1436" s="7" t="s">
        <v>33</v>
      </c>
      <c r="D1436" s="9" t="str">
        <f>+'[1]BASE RED COMERCIAL'!$E1434</f>
        <v>MANUEL BELGRANO</v>
      </c>
      <c r="E1436" s="7">
        <f>+'[1]BASE RED COMERCIAL'!$F1434</f>
        <v>136</v>
      </c>
      <c r="F1436" s="14" t="str">
        <f>+'[1]BASE RED COMERCIAL'!$I1434</f>
        <v>S2609ZAA</v>
      </c>
      <c r="G1436" s="7" t="str">
        <f>+'[1]BASE RED COMERCIAL'!$D1434</f>
        <v>MARIA TERESA</v>
      </c>
      <c r="H1436" s="7" t="str">
        <f>+'[1]BASE RED COMERCIAL'!$B1434</f>
        <v>SANTA FE</v>
      </c>
      <c r="I1436" s="8" t="str">
        <f>+'[1]BASE RED COMERCIAL'!$C1434</f>
        <v>GENERAL LOPEZ</v>
      </c>
    </row>
    <row r="1437" spans="1:9" s="10" customFormat="1" x14ac:dyDescent="0.25">
      <c r="A1437" s="14" t="str">
        <f>+'[1]BASE RED COMERCIAL'!$A1435</f>
        <v>S0398</v>
      </c>
      <c r="B1437" s="8" t="str">
        <f>+'[1]BASE RED COMERCIAL'!$H1435</f>
        <v>MELINCUE</v>
      </c>
      <c r="C1437" s="7" t="s">
        <v>33</v>
      </c>
      <c r="D1437" s="9" t="str">
        <f>+'[1]BASE RED COMERCIAL'!$E1435</f>
        <v>25 DE MAYO</v>
      </c>
      <c r="E1437" s="7">
        <f>+'[1]BASE RED COMERCIAL'!$F1435</f>
        <v>385</v>
      </c>
      <c r="F1437" s="14" t="str">
        <f>+'[1]BASE RED COMERCIAL'!$I1435</f>
        <v>S2728ZAA</v>
      </c>
      <c r="G1437" s="7" t="str">
        <f>+'[1]BASE RED COMERCIAL'!$D1435</f>
        <v>MELINCUE</v>
      </c>
      <c r="H1437" s="7" t="str">
        <f>+'[1]BASE RED COMERCIAL'!$B1435</f>
        <v>SANTA FE</v>
      </c>
      <c r="I1437" s="8" t="str">
        <f>+'[1]BASE RED COMERCIAL'!$C1435</f>
        <v>GENERAL LOPEZ</v>
      </c>
    </row>
    <row r="1438" spans="1:9" s="10" customFormat="1" x14ac:dyDescent="0.25">
      <c r="A1438" s="14" t="str">
        <f>+'[1]BASE RED COMERCIAL'!$A1436</f>
        <v>S0400</v>
      </c>
      <c r="B1438" s="8" t="str">
        <f>+'[1]BASE RED COMERCIAL'!$H1436</f>
        <v>MONTES DE OCA</v>
      </c>
      <c r="C1438" s="7" t="s">
        <v>33</v>
      </c>
      <c r="D1438" s="9" t="str">
        <f>+'[1]BASE RED COMERCIAL'!$E1436</f>
        <v>GRAL SAN MARTIN</v>
      </c>
      <c r="E1438" s="7">
        <f>+'[1]BASE RED COMERCIAL'!$F1436</f>
        <v>698</v>
      </c>
      <c r="F1438" s="14" t="str">
        <f>+'[1]BASE RED COMERCIAL'!$I1436</f>
        <v>S2521ZAA</v>
      </c>
      <c r="G1438" s="7" t="str">
        <f>+'[1]BASE RED COMERCIAL'!$D1436</f>
        <v>MONTES DE OCA</v>
      </c>
      <c r="H1438" s="7" t="str">
        <f>+'[1]BASE RED COMERCIAL'!$B1436</f>
        <v>SANTA FE</v>
      </c>
      <c r="I1438" s="8" t="str">
        <f>+'[1]BASE RED COMERCIAL'!$C1436</f>
        <v>BELGRANO</v>
      </c>
    </row>
    <row r="1439" spans="1:9" s="10" customFormat="1" x14ac:dyDescent="0.25">
      <c r="A1439" s="14" t="str">
        <f>+'[1]BASE RED COMERCIAL'!$A1437</f>
        <v>S0402</v>
      </c>
      <c r="B1439" s="8" t="str">
        <f>+'[1]BASE RED COMERCIAL'!$H1437</f>
        <v>MURPHY</v>
      </c>
      <c r="C1439" s="7" t="s">
        <v>33</v>
      </c>
      <c r="D1439" s="9" t="str">
        <f>+'[1]BASE RED COMERCIAL'!$E1437</f>
        <v>AV DOMINGO SARMIENTO</v>
      </c>
      <c r="E1439" s="7">
        <f>+'[1]BASE RED COMERCIAL'!$F1437</f>
        <v>397</v>
      </c>
      <c r="F1439" s="14" t="str">
        <f>+'[1]BASE RED COMERCIAL'!$I1437</f>
        <v>S2601ZAA</v>
      </c>
      <c r="G1439" s="7" t="str">
        <f>+'[1]BASE RED COMERCIAL'!$D1437</f>
        <v>MURPHY</v>
      </c>
      <c r="H1439" s="7" t="str">
        <f>+'[1]BASE RED COMERCIAL'!$B1437</f>
        <v>SANTA FE</v>
      </c>
      <c r="I1439" s="8" t="str">
        <f>+'[1]BASE RED COMERCIAL'!$C1437</f>
        <v>GENERAL LOPEZ</v>
      </c>
    </row>
    <row r="1440" spans="1:9" s="10" customFormat="1" x14ac:dyDescent="0.25">
      <c r="A1440" s="14" t="str">
        <f>+'[1]BASE RED COMERCIAL'!$A1438</f>
        <v>S0404</v>
      </c>
      <c r="B1440" s="8" t="str">
        <f>+'[1]BASE RED COMERCIAL'!$H1438</f>
        <v>OLIVEROS</v>
      </c>
      <c r="C1440" s="7" t="s">
        <v>33</v>
      </c>
      <c r="D1440" s="9" t="str">
        <f>+'[1]BASE RED COMERCIAL'!$E1438</f>
        <v>AV BUENOS AIRES</v>
      </c>
      <c r="E1440" s="7">
        <f>+'[1]BASE RED COMERCIAL'!$F1438</f>
        <v>217</v>
      </c>
      <c r="F1440" s="14" t="str">
        <f>+'[1]BASE RED COMERCIAL'!$I1438</f>
        <v>S2206ZAA</v>
      </c>
      <c r="G1440" s="7" t="str">
        <f>+'[1]BASE RED COMERCIAL'!$D1438</f>
        <v>OLIVEROS</v>
      </c>
      <c r="H1440" s="7" t="str">
        <f>+'[1]BASE RED COMERCIAL'!$B1438</f>
        <v>SANTA FE</v>
      </c>
      <c r="I1440" s="8" t="str">
        <f>+'[1]BASE RED COMERCIAL'!$C1438</f>
        <v>IRIONDO</v>
      </c>
    </row>
    <row r="1441" spans="1:9" s="10" customFormat="1" x14ac:dyDescent="0.25">
      <c r="A1441" s="14" t="str">
        <f>+'[1]BASE RED COMERCIAL'!$A1439</f>
        <v>S0406</v>
      </c>
      <c r="B1441" s="8" t="str">
        <f>+'[1]BASE RED COMERCIAL'!$H1439</f>
        <v>PAVON ARRIBA</v>
      </c>
      <c r="C1441" s="7" t="s">
        <v>33</v>
      </c>
      <c r="D1441" s="9" t="str">
        <f>+'[1]BASE RED COMERCIAL'!$E1439</f>
        <v>BUENOS AIRES</v>
      </c>
      <c r="E1441" s="7">
        <f>+'[1]BASE RED COMERCIAL'!$F1439</f>
        <v>1178</v>
      </c>
      <c r="F1441" s="14" t="str">
        <f>+'[1]BASE RED COMERCIAL'!$I1439</f>
        <v>S2110ZAA</v>
      </c>
      <c r="G1441" s="7" t="str">
        <f>+'[1]BASE RED COMERCIAL'!$D1439</f>
        <v>PAVON ARRIBA</v>
      </c>
      <c r="H1441" s="7" t="str">
        <f>+'[1]BASE RED COMERCIAL'!$B1439</f>
        <v>SANTA FE</v>
      </c>
      <c r="I1441" s="8" t="str">
        <f>+'[1]BASE RED COMERCIAL'!$C1439</f>
        <v>CONSTITUCION</v>
      </c>
    </row>
    <row r="1442" spans="1:9" s="10" customFormat="1" x14ac:dyDescent="0.25">
      <c r="A1442" s="14" t="str">
        <f>+'[1]BASE RED COMERCIAL'!$A1440</f>
        <v>S0408</v>
      </c>
      <c r="B1442" s="8" t="str">
        <f>+'[1]BASE RED COMERCIAL'!$H1440</f>
        <v>PAZ</v>
      </c>
      <c r="C1442" s="7" t="s">
        <v>33</v>
      </c>
      <c r="D1442" s="9" t="str">
        <f>+'[1]BASE RED COMERCIAL'!$E1440</f>
        <v>25 DE MAYO</v>
      </c>
      <c r="E1442" s="7">
        <f>+'[1]BASE RED COMERCIAL'!$F1440</f>
        <v>963</v>
      </c>
      <c r="F1442" s="14" t="str">
        <f>+'[1]BASE RED COMERCIAL'!$I1440</f>
        <v>S2115ZAA</v>
      </c>
      <c r="G1442" s="7" t="str">
        <f>+'[1]BASE RED COMERCIAL'!$D1440</f>
        <v>MAXIMO PAZ</v>
      </c>
      <c r="H1442" s="7" t="str">
        <f>+'[1]BASE RED COMERCIAL'!$B1440</f>
        <v>SANTA FE</v>
      </c>
      <c r="I1442" s="8" t="str">
        <f>+'[1]BASE RED COMERCIAL'!$C1440</f>
        <v>CONSTITUCION</v>
      </c>
    </row>
    <row r="1443" spans="1:9" s="10" customFormat="1" x14ac:dyDescent="0.25">
      <c r="A1443" s="14" t="str">
        <f>+'[1]BASE RED COMERCIAL'!$A1441</f>
        <v>S0410</v>
      </c>
      <c r="B1443" s="8" t="str">
        <f>+'[1]BASE RED COMERCIAL'!$H1441</f>
        <v>PEREZ</v>
      </c>
      <c r="C1443" s="7" t="s">
        <v>33</v>
      </c>
      <c r="D1443" s="9" t="str">
        <f>+'[1]BASE RED COMERCIAL'!$E1441</f>
        <v>DR ALBERTO CHIAVARINI</v>
      </c>
      <c r="E1443" s="7">
        <f>+'[1]BASE RED COMERCIAL'!$F1441</f>
        <v>1199</v>
      </c>
      <c r="F1443" s="14" t="str">
        <f>+'[1]BASE RED COMERCIAL'!$I1441</f>
        <v>S2121ZAA</v>
      </c>
      <c r="G1443" s="7" t="str">
        <f>+'[1]BASE RED COMERCIAL'!$D1441</f>
        <v>PEREZ</v>
      </c>
      <c r="H1443" s="7" t="str">
        <f>+'[1]BASE RED COMERCIAL'!$B1441</f>
        <v>SANTA FE</v>
      </c>
      <c r="I1443" s="8" t="str">
        <f>+'[1]BASE RED COMERCIAL'!$C1441</f>
        <v>ROSARIO</v>
      </c>
    </row>
    <row r="1444" spans="1:9" s="10" customFormat="1" x14ac:dyDescent="0.25">
      <c r="A1444" s="14" t="str">
        <f>+'[1]BASE RED COMERCIAL'!$A1442</f>
        <v>S0412</v>
      </c>
      <c r="B1444" s="8" t="str">
        <f>+'[1]BASE RED COMERCIAL'!$H1442</f>
        <v>PEYRANO</v>
      </c>
      <c r="C1444" s="7" t="s">
        <v>33</v>
      </c>
      <c r="D1444" s="9" t="str">
        <f>+'[1]BASE RED COMERCIAL'!$E1442</f>
        <v>AV CENTENARIO</v>
      </c>
      <c r="E1444" s="7">
        <f>+'[1]BASE RED COMERCIAL'!$F1442</f>
        <v>821</v>
      </c>
      <c r="F1444" s="14" t="str">
        <f>+'[1]BASE RED COMERCIAL'!$I1442</f>
        <v>S2113ZAA</v>
      </c>
      <c r="G1444" s="7" t="str">
        <f>+'[1]BASE RED COMERCIAL'!$D1442</f>
        <v>PEYRANO</v>
      </c>
      <c r="H1444" s="7" t="str">
        <f>+'[1]BASE RED COMERCIAL'!$B1442</f>
        <v>SANTA FE</v>
      </c>
      <c r="I1444" s="8" t="str">
        <f>+'[1]BASE RED COMERCIAL'!$C1442</f>
        <v>CONSTITUCION</v>
      </c>
    </row>
    <row r="1445" spans="1:9" s="10" customFormat="1" x14ac:dyDescent="0.25">
      <c r="A1445" s="14" t="str">
        <f>+'[1]BASE RED COMERCIAL'!$A1443</f>
        <v>S0414</v>
      </c>
      <c r="B1445" s="8" t="str">
        <f>+'[1]BASE RED COMERCIAL'!$H1443</f>
        <v>PUERTO GRAL. SAN MARTIN</v>
      </c>
      <c r="C1445" s="7" t="s">
        <v>33</v>
      </c>
      <c r="D1445" s="9" t="str">
        <f>+'[1]BASE RED COMERCIAL'!$E1443</f>
        <v>CORDOBA</v>
      </c>
      <c r="E1445" s="7">
        <f>+'[1]BASE RED COMERCIAL'!$F1443</f>
        <v>884</v>
      </c>
      <c r="F1445" s="14" t="str">
        <f>+'[1]BASE RED COMERCIAL'!$I1443</f>
        <v>S2202ZAA</v>
      </c>
      <c r="G1445" s="7" t="str">
        <f>+'[1]BASE RED COMERCIAL'!$D1443</f>
        <v>PUERTO GRAL SAN MARTIN</v>
      </c>
      <c r="H1445" s="7" t="str">
        <f>+'[1]BASE RED COMERCIAL'!$B1443</f>
        <v>SANTA FE</v>
      </c>
      <c r="I1445" s="8" t="str">
        <f>+'[1]BASE RED COMERCIAL'!$C1443</f>
        <v>SAN LORENZO</v>
      </c>
    </row>
    <row r="1446" spans="1:9" s="10" customFormat="1" x14ac:dyDescent="0.25">
      <c r="A1446" s="14" t="str">
        <f>+'[1]BASE RED COMERCIAL'!$A1444</f>
        <v>S0416</v>
      </c>
      <c r="B1446" s="8" t="str">
        <f>+'[1]BASE RED COMERCIAL'!$H1444</f>
        <v>PUJATO</v>
      </c>
      <c r="C1446" s="7" t="s">
        <v>33</v>
      </c>
      <c r="D1446" s="9" t="str">
        <f>+'[1]BASE RED COMERCIAL'!$E1444</f>
        <v>DR LISANDRO DE LA TORRE</v>
      </c>
      <c r="E1446" s="7">
        <f>+'[1]BASE RED COMERCIAL'!$F1444</f>
        <v>345</v>
      </c>
      <c r="F1446" s="14" t="str">
        <f>+'[1]BASE RED COMERCIAL'!$I1444</f>
        <v>S2122ZAA</v>
      </c>
      <c r="G1446" s="7" t="str">
        <f>+'[1]BASE RED COMERCIAL'!$D1444</f>
        <v>PUJATO</v>
      </c>
      <c r="H1446" s="7" t="str">
        <f>+'[1]BASE RED COMERCIAL'!$B1444</f>
        <v>SANTA FE</v>
      </c>
      <c r="I1446" s="8" t="str">
        <f>+'[1]BASE RED COMERCIAL'!$C1444</f>
        <v>SAN LORENZO</v>
      </c>
    </row>
    <row r="1447" spans="1:9" s="10" customFormat="1" x14ac:dyDescent="0.25">
      <c r="A1447" s="14" t="str">
        <f>+'[1]BASE RED COMERCIAL'!$A1445</f>
        <v>S0418</v>
      </c>
      <c r="B1447" s="8" t="str">
        <f>+'[1]BASE RED COMERCIAL'!$H1445</f>
        <v>ROLDAN</v>
      </c>
      <c r="C1447" s="7" t="s">
        <v>33</v>
      </c>
      <c r="D1447" s="9" t="str">
        <f>+'[1]BASE RED COMERCIAL'!$E1445</f>
        <v>FRAY L BELTRAN</v>
      </c>
      <c r="E1447" s="7">
        <f>+'[1]BASE RED COMERCIAL'!$F1445</f>
        <v>161</v>
      </c>
      <c r="F1447" s="14" t="str">
        <f>+'[1]BASE RED COMERCIAL'!$I1445</f>
        <v>S2134ZAA</v>
      </c>
      <c r="G1447" s="7" t="str">
        <f>+'[1]BASE RED COMERCIAL'!$D1445</f>
        <v>ROLDAN</v>
      </c>
      <c r="H1447" s="7" t="str">
        <f>+'[1]BASE RED COMERCIAL'!$B1445</f>
        <v>SANTA FE</v>
      </c>
      <c r="I1447" s="8" t="str">
        <f>+'[1]BASE RED COMERCIAL'!$C1445</f>
        <v>SAN LORENZO</v>
      </c>
    </row>
    <row r="1448" spans="1:9" s="10" customFormat="1" x14ac:dyDescent="0.25">
      <c r="A1448" s="14" t="str">
        <f>+'[1]BASE RED COMERCIAL'!$A1446</f>
        <v>S0452</v>
      </c>
      <c r="B1448" s="8" t="str">
        <f>+'[1]BASE RED COMERCIAL'!$H1446</f>
        <v>RUEDA</v>
      </c>
      <c r="C1448" s="7" t="s">
        <v>33</v>
      </c>
      <c r="D1448" s="9" t="str">
        <f>+'[1]BASE RED COMERCIAL'!$E1446</f>
        <v>DR PEDRO RUEDA</v>
      </c>
      <c r="E1448" s="7">
        <f>+'[1]BASE RED COMERCIAL'!$F1446</f>
        <v>530</v>
      </c>
      <c r="F1448" s="14" t="str">
        <f>+'[1]BASE RED COMERCIAL'!$I1446</f>
        <v>S2923ZAA</v>
      </c>
      <c r="G1448" s="7" t="str">
        <f>+'[1]BASE RED COMERCIAL'!$D1446</f>
        <v>RUEDA</v>
      </c>
      <c r="H1448" s="7" t="str">
        <f>+'[1]BASE RED COMERCIAL'!$B1446</f>
        <v>SANTA FE</v>
      </c>
      <c r="I1448" s="8" t="str">
        <f>+'[1]BASE RED COMERCIAL'!$C1446</f>
        <v>CONSTITUCION</v>
      </c>
    </row>
    <row r="1449" spans="1:9" s="10" customFormat="1" x14ac:dyDescent="0.25">
      <c r="A1449" s="14" t="str">
        <f>+'[1]BASE RED COMERCIAL'!$A1447</f>
        <v>S0454</v>
      </c>
      <c r="B1449" s="8" t="str">
        <f>+'[1]BASE RED COMERCIAL'!$H1447</f>
        <v>RUFINO</v>
      </c>
      <c r="C1449" s="7" t="s">
        <v>33</v>
      </c>
      <c r="D1449" s="9" t="str">
        <f>+'[1]BASE RED COMERCIAL'!$E1447</f>
        <v>CENTENARIO</v>
      </c>
      <c r="E1449" s="7">
        <f>+'[1]BASE RED COMERCIAL'!$F1447</f>
        <v>298</v>
      </c>
      <c r="F1449" s="14" t="str">
        <f>+'[1]BASE RED COMERCIAL'!$I1447</f>
        <v>S6100ZAA</v>
      </c>
      <c r="G1449" s="7" t="str">
        <f>+'[1]BASE RED COMERCIAL'!$D1447</f>
        <v>RUFINO</v>
      </c>
      <c r="H1449" s="7" t="str">
        <f>+'[1]BASE RED COMERCIAL'!$B1447</f>
        <v>SANTA FE</v>
      </c>
      <c r="I1449" s="8" t="str">
        <f>+'[1]BASE RED COMERCIAL'!$C1447</f>
        <v>GENERAL LOPEZ</v>
      </c>
    </row>
    <row r="1450" spans="1:9" s="10" customFormat="1" x14ac:dyDescent="0.25">
      <c r="A1450" s="14" t="str">
        <f>+'[1]BASE RED COMERCIAL'!$A1448</f>
        <v>S0456</v>
      </c>
      <c r="B1450" s="8" t="str">
        <f>+'[1]BASE RED COMERCIAL'!$H1448</f>
        <v>SALTO GRANDE</v>
      </c>
      <c r="C1450" s="7" t="s">
        <v>33</v>
      </c>
      <c r="D1450" s="9" t="str">
        <f>+'[1]BASE RED COMERCIAL'!$E1448</f>
        <v>ARGENTINA</v>
      </c>
      <c r="E1450" s="7">
        <f>+'[1]BASE RED COMERCIAL'!$F1448</f>
        <v>117</v>
      </c>
      <c r="F1450" s="14" t="str">
        <f>+'[1]BASE RED COMERCIAL'!$I1448</f>
        <v>S2142ZAA</v>
      </c>
      <c r="G1450" s="7" t="str">
        <f>+'[1]BASE RED COMERCIAL'!$D1448</f>
        <v>SALTO GRANDE</v>
      </c>
      <c r="H1450" s="7" t="str">
        <f>+'[1]BASE RED COMERCIAL'!$B1448</f>
        <v>SANTA FE</v>
      </c>
      <c r="I1450" s="8" t="str">
        <f>+'[1]BASE RED COMERCIAL'!$C1448</f>
        <v>IRIONDO</v>
      </c>
    </row>
    <row r="1451" spans="1:9" s="10" customFormat="1" x14ac:dyDescent="0.25">
      <c r="A1451" s="14" t="str">
        <f>+'[1]BASE RED COMERCIAL'!$A1449</f>
        <v>S0458</v>
      </c>
      <c r="B1451" s="8" t="str">
        <f>+'[1]BASE RED COMERCIAL'!$H1449</f>
        <v>SAN EDUARDO</v>
      </c>
      <c r="C1451" s="7" t="s">
        <v>33</v>
      </c>
      <c r="D1451" s="9" t="str">
        <f>+'[1]BASE RED COMERCIAL'!$E1449</f>
        <v>SARMIENTO</v>
      </c>
      <c r="E1451" s="7">
        <f>+'[1]BASE RED COMERCIAL'!$F1449</f>
        <v>344</v>
      </c>
      <c r="F1451" s="14" t="str">
        <f>+'[1]BASE RED COMERCIAL'!$I1449</f>
        <v>S2615ZAA</v>
      </c>
      <c r="G1451" s="7" t="str">
        <f>+'[1]BASE RED COMERCIAL'!$D1449</f>
        <v>SAN EDUARDO</v>
      </c>
      <c r="H1451" s="7" t="str">
        <f>+'[1]BASE RED COMERCIAL'!$B1449</f>
        <v>SANTA FE</v>
      </c>
      <c r="I1451" s="8" t="str">
        <f>+'[1]BASE RED COMERCIAL'!$C1449</f>
        <v>GENERAL LOPEZ</v>
      </c>
    </row>
    <row r="1452" spans="1:9" s="10" customFormat="1" x14ac:dyDescent="0.25">
      <c r="A1452" s="14" t="str">
        <f>+'[1]BASE RED COMERCIAL'!$A1450</f>
        <v>S0460</v>
      </c>
      <c r="B1452" s="8" t="str">
        <f>+'[1]BASE RED COMERCIAL'!$H1450</f>
        <v>SANFORD</v>
      </c>
      <c r="C1452" s="7" t="s">
        <v>33</v>
      </c>
      <c r="D1452" s="9" t="str">
        <f>+'[1]BASE RED COMERCIAL'!$E1450</f>
        <v>AV LAS HERAS</v>
      </c>
      <c r="E1452" s="7">
        <f>+'[1]BASE RED COMERCIAL'!$F1450</f>
        <v>575</v>
      </c>
      <c r="F1452" s="14" t="str">
        <f>+'[1]BASE RED COMERCIAL'!$I1450</f>
        <v>S2174ZAA</v>
      </c>
      <c r="G1452" s="7" t="str">
        <f>+'[1]BASE RED COMERCIAL'!$D1450</f>
        <v>SANFORD</v>
      </c>
      <c r="H1452" s="7" t="str">
        <f>+'[1]BASE RED COMERCIAL'!$B1450</f>
        <v>SANTA FE</v>
      </c>
      <c r="I1452" s="8" t="str">
        <f>+'[1]BASE RED COMERCIAL'!$C1450</f>
        <v>CASEROS</v>
      </c>
    </row>
    <row r="1453" spans="1:9" s="10" customFormat="1" x14ac:dyDescent="0.25">
      <c r="A1453" s="14" t="str">
        <f>+'[1]BASE RED COMERCIAL'!$A1451</f>
        <v>S0462</v>
      </c>
      <c r="B1453" s="8" t="str">
        <f>+'[1]BASE RED COMERCIAL'!$H1451</f>
        <v>SAN GREGORIO</v>
      </c>
      <c r="C1453" s="7" t="s">
        <v>33</v>
      </c>
      <c r="D1453" s="9" t="str">
        <f>+'[1]BASE RED COMERCIAL'!$E1451</f>
        <v>JOSEFINA DE ALVEAR</v>
      </c>
      <c r="E1453" s="7">
        <f>+'[1]BASE RED COMERCIAL'!$F1451</f>
        <v>99</v>
      </c>
      <c r="F1453" s="14" t="str">
        <f>+'[1]BASE RED COMERCIAL'!$I1451</f>
        <v>S2613ZAA</v>
      </c>
      <c r="G1453" s="7" t="str">
        <f>+'[1]BASE RED COMERCIAL'!$D1451</f>
        <v>SAN GREGORIO</v>
      </c>
      <c r="H1453" s="7" t="str">
        <f>+'[1]BASE RED COMERCIAL'!$B1451</f>
        <v>SANTA FE</v>
      </c>
      <c r="I1453" s="8" t="str">
        <f>+'[1]BASE RED COMERCIAL'!$C1451</f>
        <v>GENERAL LOPEZ</v>
      </c>
    </row>
    <row r="1454" spans="1:9" s="10" customFormat="1" x14ac:dyDescent="0.25">
      <c r="A1454" s="14" t="str">
        <f>+'[1]BASE RED COMERCIAL'!$A1452</f>
        <v>S0464</v>
      </c>
      <c r="B1454" s="8" t="str">
        <f>+'[1]BASE RED COMERCIAL'!$H1452</f>
        <v>SAN JERONIMO SUD</v>
      </c>
      <c r="C1454" s="7" t="s">
        <v>33</v>
      </c>
      <c r="D1454" s="9" t="str">
        <f>+'[1]BASE RED COMERCIAL'!$E1452</f>
        <v>SAN MARTIN</v>
      </c>
      <c r="E1454" s="7">
        <f>+'[1]BASE RED COMERCIAL'!$F1452</f>
        <v>416</v>
      </c>
      <c r="F1454" s="14" t="str">
        <f>+'[1]BASE RED COMERCIAL'!$I1452</f>
        <v>S2136ZAA</v>
      </c>
      <c r="G1454" s="7" t="str">
        <f>+'[1]BASE RED COMERCIAL'!$D1452</f>
        <v>SAN JERONIMO SUD</v>
      </c>
      <c r="H1454" s="7" t="str">
        <f>+'[1]BASE RED COMERCIAL'!$B1452</f>
        <v>SANTA FE</v>
      </c>
      <c r="I1454" s="8" t="str">
        <f>+'[1]BASE RED COMERCIAL'!$C1452</f>
        <v>SAN LORENZO</v>
      </c>
    </row>
    <row r="1455" spans="1:9" s="10" customFormat="1" x14ac:dyDescent="0.25">
      <c r="A1455" s="14" t="str">
        <f>+'[1]BASE RED COMERCIAL'!$A1453</f>
        <v>S0466</v>
      </c>
      <c r="B1455" s="8" t="str">
        <f>+'[1]BASE RED COMERCIAL'!$H1453</f>
        <v>SAN JOSE DE LA ESQUINA</v>
      </c>
      <c r="C1455" s="7" t="s">
        <v>33</v>
      </c>
      <c r="D1455" s="9" t="str">
        <f>+'[1]BASE RED COMERCIAL'!$E1453</f>
        <v>AV PELLEGRINI</v>
      </c>
      <c r="E1455" s="7">
        <f>+'[1]BASE RED COMERCIAL'!$F1453</f>
        <v>1081</v>
      </c>
      <c r="F1455" s="14" t="str">
        <f>+'[1]BASE RED COMERCIAL'!$I1453</f>
        <v>S2185ZAA</v>
      </c>
      <c r="G1455" s="7" t="str">
        <f>+'[1]BASE RED COMERCIAL'!$D1453</f>
        <v>SAN JOSE DE LA ESQUINA</v>
      </c>
      <c r="H1455" s="7" t="str">
        <f>+'[1]BASE RED COMERCIAL'!$B1453</f>
        <v>SANTA FE</v>
      </c>
      <c r="I1455" s="8" t="str">
        <f>+'[1]BASE RED COMERCIAL'!$C1453</f>
        <v>CASEROS</v>
      </c>
    </row>
    <row r="1456" spans="1:9" s="10" customFormat="1" x14ac:dyDescent="0.25">
      <c r="A1456" s="14" t="str">
        <f>+'[1]BASE RED COMERCIAL'!$A1454</f>
        <v>S0468</v>
      </c>
      <c r="B1456" s="8" t="str">
        <f>+'[1]BASE RED COMERCIAL'!$H1454</f>
        <v>SAN LORENZO</v>
      </c>
      <c r="C1456" s="7" t="s">
        <v>33</v>
      </c>
      <c r="D1456" s="9" t="str">
        <f>+'[1]BASE RED COMERCIAL'!$E1454</f>
        <v>AV GRAL SAN MARTIN</v>
      </c>
      <c r="E1456" s="7">
        <f>+'[1]BASE RED COMERCIAL'!$F1454</f>
        <v>1202</v>
      </c>
      <c r="F1456" s="14" t="str">
        <f>+'[1]BASE RED COMERCIAL'!$I1454</f>
        <v>S2200ZAA</v>
      </c>
      <c r="G1456" s="7" t="str">
        <f>+'[1]BASE RED COMERCIAL'!$D1454</f>
        <v>SAN LORENZO</v>
      </c>
      <c r="H1456" s="7" t="str">
        <f>+'[1]BASE RED COMERCIAL'!$B1454</f>
        <v>SANTA FE</v>
      </c>
      <c r="I1456" s="8" t="str">
        <f>+'[1]BASE RED COMERCIAL'!$C1454</f>
        <v>SAN LORENZO</v>
      </c>
    </row>
    <row r="1457" spans="1:9" s="10" customFormat="1" x14ac:dyDescent="0.25">
      <c r="A1457" s="14" t="str">
        <f>+'[1]BASE RED COMERCIAL'!$A1455</f>
        <v>S0470</v>
      </c>
      <c r="B1457" s="8" t="str">
        <f>+'[1]BASE RED COMERCIAL'!$H1455</f>
        <v>SANCTI SPIRITU</v>
      </c>
      <c r="C1457" s="7" t="s">
        <v>33</v>
      </c>
      <c r="D1457" s="9" t="str">
        <f>+'[1]BASE RED COMERCIAL'!$E1455</f>
        <v>DR LISANDRO DE LA TORRE</v>
      </c>
      <c r="E1457" s="7">
        <f>+'[1]BASE RED COMERCIAL'!$F1455</f>
        <v>394</v>
      </c>
      <c r="F1457" s="14" t="str">
        <f>+'[1]BASE RED COMERCIAL'!$I1455</f>
        <v>S2617ZAA</v>
      </c>
      <c r="G1457" s="7" t="str">
        <f>+'[1]BASE RED COMERCIAL'!$D1455</f>
        <v>SANCTI SPIRITU</v>
      </c>
      <c r="H1457" s="7" t="str">
        <f>+'[1]BASE RED COMERCIAL'!$B1455</f>
        <v>SANTA FE</v>
      </c>
      <c r="I1457" s="8" t="str">
        <f>+'[1]BASE RED COMERCIAL'!$C1455</f>
        <v>GENERAL LOPEZ</v>
      </c>
    </row>
    <row r="1458" spans="1:9" s="10" customFormat="1" x14ac:dyDescent="0.25">
      <c r="A1458" s="14" t="str">
        <f>+'[1]BASE RED COMERCIAL'!$A1456</f>
        <v>S0472</v>
      </c>
      <c r="B1458" s="8" t="str">
        <f>+'[1]BASE RED COMERCIAL'!$H1456</f>
        <v>SANTA ISABEL</v>
      </c>
      <c r="C1458" s="7" t="s">
        <v>33</v>
      </c>
      <c r="D1458" s="9" t="str">
        <f>+'[1]BASE RED COMERCIAL'!$E1456</f>
        <v>RIVADAVIA</v>
      </c>
      <c r="E1458" s="7">
        <f>+'[1]BASE RED COMERCIAL'!$F1456</f>
        <v>1071</v>
      </c>
      <c r="F1458" s="14" t="str">
        <f>+'[1]BASE RED COMERCIAL'!$I1456</f>
        <v>S2605ZAA</v>
      </c>
      <c r="G1458" s="7" t="str">
        <f>+'[1]BASE RED COMERCIAL'!$D1456</f>
        <v>SANTA ISABEL</v>
      </c>
      <c r="H1458" s="7" t="str">
        <f>+'[1]BASE RED COMERCIAL'!$B1456</f>
        <v>SANTA FE</v>
      </c>
      <c r="I1458" s="8" t="str">
        <f>+'[1]BASE RED COMERCIAL'!$C1456</f>
        <v>GENERAL LOPEZ</v>
      </c>
    </row>
    <row r="1459" spans="1:9" s="10" customFormat="1" x14ac:dyDescent="0.25">
      <c r="A1459" s="14" t="str">
        <f>+'[1]BASE RED COMERCIAL'!$A1457</f>
        <v>S0474</v>
      </c>
      <c r="B1459" s="8" t="str">
        <f>+'[1]BASE RED COMERCIAL'!$H1457</f>
        <v>SANTA TERESA</v>
      </c>
      <c r="C1459" s="7" t="s">
        <v>33</v>
      </c>
      <c r="D1459" s="9" t="str">
        <f>+'[1]BASE RED COMERCIAL'!$E1457</f>
        <v>PRIMERA JUNTA</v>
      </c>
      <c r="E1459" s="7">
        <f>+'[1]BASE RED COMERCIAL'!$F1457</f>
        <v>468</v>
      </c>
      <c r="F1459" s="14" t="str">
        <f>+'[1]BASE RED COMERCIAL'!$I1457</f>
        <v>S2111ZAA</v>
      </c>
      <c r="G1459" s="7" t="str">
        <f>+'[1]BASE RED COMERCIAL'!$D1457</f>
        <v>SANTA TERESA</v>
      </c>
      <c r="H1459" s="7" t="str">
        <f>+'[1]BASE RED COMERCIAL'!$B1457</f>
        <v>SANTA FE</v>
      </c>
      <c r="I1459" s="8" t="str">
        <f>+'[1]BASE RED COMERCIAL'!$C1457</f>
        <v>CONSTITUCION</v>
      </c>
    </row>
    <row r="1460" spans="1:9" s="10" customFormat="1" x14ac:dyDescent="0.25">
      <c r="A1460" s="14" t="str">
        <f>+'[1]BASE RED COMERCIAL'!$A1458</f>
        <v>S0476</v>
      </c>
      <c r="B1460" s="8" t="str">
        <f>+'[1]BASE RED COMERCIAL'!$H1458</f>
        <v>SERODINO</v>
      </c>
      <c r="C1460" s="7" t="s">
        <v>33</v>
      </c>
      <c r="D1460" s="9" t="str">
        <f>+'[1]BASE RED COMERCIAL'!$E1458</f>
        <v>SAN MARTIN</v>
      </c>
      <c r="E1460" s="7">
        <f>+'[1]BASE RED COMERCIAL'!$F1458</f>
        <v>560</v>
      </c>
      <c r="F1460" s="14" t="str">
        <f>+'[1]BASE RED COMERCIAL'!$I1458</f>
        <v>S2216ZAA</v>
      </c>
      <c r="G1460" s="7" t="str">
        <f>+'[1]BASE RED COMERCIAL'!$D1458</f>
        <v>SERODINO</v>
      </c>
      <c r="H1460" s="7" t="str">
        <f>+'[1]BASE RED COMERCIAL'!$B1458</f>
        <v>SANTA FE</v>
      </c>
      <c r="I1460" s="8" t="str">
        <f>+'[1]BASE RED COMERCIAL'!$C1458</f>
        <v>IRIONDO</v>
      </c>
    </row>
    <row r="1461" spans="1:9" s="10" customFormat="1" x14ac:dyDescent="0.25">
      <c r="A1461" s="14" t="str">
        <f>+'[1]BASE RED COMERCIAL'!$A1459</f>
        <v>S0478</v>
      </c>
      <c r="B1461" s="8" t="str">
        <f>+'[1]BASE RED COMERCIAL'!$H1459</f>
        <v>TEODELINA</v>
      </c>
      <c r="C1461" s="7" t="s">
        <v>33</v>
      </c>
      <c r="D1461" s="9" t="str">
        <f>+'[1]BASE RED COMERCIAL'!$E1459</f>
        <v>9 DE JULIO</v>
      </c>
      <c r="E1461" s="7">
        <f>+'[1]BASE RED COMERCIAL'!$F1459</f>
        <v>344</v>
      </c>
      <c r="F1461" s="14" t="str">
        <f>+'[1]BASE RED COMERCIAL'!$I1459</f>
        <v>S6009ZAA</v>
      </c>
      <c r="G1461" s="7" t="str">
        <f>+'[1]BASE RED COMERCIAL'!$D1459</f>
        <v>TEODELINA</v>
      </c>
      <c r="H1461" s="7" t="str">
        <f>+'[1]BASE RED COMERCIAL'!$B1459</f>
        <v>SANTA FE</v>
      </c>
      <c r="I1461" s="8" t="str">
        <f>+'[1]BASE RED COMERCIAL'!$C1459</f>
        <v>GENERAL LOPEZ</v>
      </c>
    </row>
    <row r="1462" spans="1:9" s="10" customFormat="1" x14ac:dyDescent="0.25">
      <c r="A1462" s="14" t="str">
        <f>+'[1]BASE RED COMERCIAL'!$A1460</f>
        <v>S0480</v>
      </c>
      <c r="B1462" s="8" t="str">
        <f>+'[1]BASE RED COMERCIAL'!$H1460</f>
        <v>TIMBUES</v>
      </c>
      <c r="C1462" s="7" t="s">
        <v>33</v>
      </c>
      <c r="D1462" s="9" t="str">
        <f>+'[1]BASE RED COMERCIAL'!$E1460</f>
        <v>GABOTO</v>
      </c>
      <c r="E1462" s="7">
        <f>+'[1]BASE RED COMERCIAL'!$F1460</f>
        <v>573</v>
      </c>
      <c r="F1462" s="14" t="str">
        <f>+'[1]BASE RED COMERCIAL'!$I1460</f>
        <v>S2204ZAA</v>
      </c>
      <c r="G1462" s="7" t="str">
        <f>+'[1]BASE RED COMERCIAL'!$D1460</f>
        <v>TIMBUES</v>
      </c>
      <c r="H1462" s="7" t="str">
        <f>+'[1]BASE RED COMERCIAL'!$B1460</f>
        <v>SANTA FE</v>
      </c>
      <c r="I1462" s="8" t="str">
        <f>+'[1]BASE RED COMERCIAL'!$C1460</f>
        <v>SAN LORENZO</v>
      </c>
    </row>
    <row r="1463" spans="1:9" s="10" customFormat="1" x14ac:dyDescent="0.25">
      <c r="A1463" s="14" t="str">
        <f>+'[1]BASE RED COMERCIAL'!$A1461</f>
        <v>S0482</v>
      </c>
      <c r="B1463" s="8" t="str">
        <f>+'[1]BASE RED COMERCIAL'!$H1461</f>
        <v>TORTUGAS</v>
      </c>
      <c r="C1463" s="7" t="s">
        <v>33</v>
      </c>
      <c r="D1463" s="9" t="str">
        <f>+'[1]BASE RED COMERCIAL'!$E1461</f>
        <v>SAN MARTIN</v>
      </c>
      <c r="E1463" s="7">
        <f>+'[1]BASE RED COMERCIAL'!$F1461</f>
        <v>180</v>
      </c>
      <c r="F1463" s="14" t="str">
        <f>+'[1]BASE RED COMERCIAL'!$I1461</f>
        <v>S2512ZAA</v>
      </c>
      <c r="G1463" s="7" t="str">
        <f>+'[1]BASE RED COMERCIAL'!$D1461</f>
        <v>TORTUGAS</v>
      </c>
      <c r="H1463" s="7" t="str">
        <f>+'[1]BASE RED COMERCIAL'!$B1461</f>
        <v>SANTA FE</v>
      </c>
      <c r="I1463" s="8" t="str">
        <f>+'[1]BASE RED COMERCIAL'!$C1461</f>
        <v>BELGRANO</v>
      </c>
    </row>
    <row r="1464" spans="1:9" s="10" customFormat="1" x14ac:dyDescent="0.25">
      <c r="A1464" s="14" t="str">
        <f>+'[1]BASE RED COMERCIAL'!$A1462</f>
        <v>S0484</v>
      </c>
      <c r="B1464" s="8" t="str">
        <f>+'[1]BASE RED COMERCIAL'!$H1462</f>
        <v>TOTORAS</v>
      </c>
      <c r="C1464" s="7" t="s">
        <v>33</v>
      </c>
      <c r="D1464" s="9" t="str">
        <f>+'[1]BASE RED COMERCIAL'!$E1462</f>
        <v>MITRE</v>
      </c>
      <c r="E1464" s="7">
        <f>+'[1]BASE RED COMERCIAL'!$F1462</f>
        <v>1096</v>
      </c>
      <c r="F1464" s="14" t="str">
        <f>+'[1]BASE RED COMERCIAL'!$I1462</f>
        <v>S2144ZAA</v>
      </c>
      <c r="G1464" s="7" t="str">
        <f>+'[1]BASE RED COMERCIAL'!$D1462</f>
        <v>TOTORAS</v>
      </c>
      <c r="H1464" s="7" t="str">
        <f>+'[1]BASE RED COMERCIAL'!$B1462</f>
        <v>SANTA FE</v>
      </c>
      <c r="I1464" s="8" t="str">
        <f>+'[1]BASE RED COMERCIAL'!$C1462</f>
        <v>IRIONDO</v>
      </c>
    </row>
    <row r="1465" spans="1:9" s="10" customFormat="1" x14ac:dyDescent="0.25">
      <c r="A1465" s="14" t="str">
        <f>+'[1]BASE RED COMERCIAL'!$A1463</f>
        <v>S0486</v>
      </c>
      <c r="B1465" s="8" t="str">
        <f>+'[1]BASE RED COMERCIAL'!$H1463</f>
        <v>VENADO TUERTO</v>
      </c>
      <c r="C1465" s="7" t="s">
        <v>33</v>
      </c>
      <c r="D1465" s="9" t="str">
        <f>+'[1]BASE RED COMERCIAL'!$E1463</f>
        <v>SAAVEDRA</v>
      </c>
      <c r="E1465" s="7">
        <f>+'[1]BASE RED COMERCIAL'!$F1463</f>
        <v>497</v>
      </c>
      <c r="F1465" s="14" t="str">
        <f>+'[1]BASE RED COMERCIAL'!$I1463</f>
        <v>S2600ZAA</v>
      </c>
      <c r="G1465" s="7" t="str">
        <f>+'[1]BASE RED COMERCIAL'!$D1463</f>
        <v>VENADO TUERTO</v>
      </c>
      <c r="H1465" s="7" t="str">
        <f>+'[1]BASE RED COMERCIAL'!$B1463</f>
        <v>SANTA FE</v>
      </c>
      <c r="I1465" s="8" t="str">
        <f>+'[1]BASE RED COMERCIAL'!$C1463</f>
        <v>GENERAL LOPEZ</v>
      </c>
    </row>
    <row r="1466" spans="1:9" s="10" customFormat="1" x14ac:dyDescent="0.25">
      <c r="A1466" s="14" t="str">
        <f>+'[1]BASE RED COMERCIAL'!$A1464</f>
        <v>S0488</v>
      </c>
      <c r="B1466" s="8" t="str">
        <f>+'[1]BASE RED COMERCIAL'!$H1464</f>
        <v>VILLA CAÃ‘AS</v>
      </c>
      <c r="C1466" s="7" t="s">
        <v>33</v>
      </c>
      <c r="D1466" s="9" t="str">
        <f>+'[1]BASE RED COMERCIAL'!$E1464</f>
        <v>CALLE 59</v>
      </c>
      <c r="E1466" s="7">
        <f>+'[1]BASE RED COMERCIAL'!$F1464</f>
        <v>446</v>
      </c>
      <c r="F1466" s="14" t="str">
        <f>+'[1]BASE RED COMERCIAL'!$I1464</f>
        <v>S2607ZAA</v>
      </c>
      <c r="G1466" s="7" t="str">
        <f>+'[1]BASE RED COMERCIAL'!$D1464</f>
        <v>VILLA CAÃ‘AS</v>
      </c>
      <c r="H1466" s="7" t="str">
        <f>+'[1]BASE RED COMERCIAL'!$B1464</f>
        <v>SANTA FE</v>
      </c>
      <c r="I1466" s="8" t="str">
        <f>+'[1]BASE RED COMERCIAL'!$C1464</f>
        <v>GENERAL LOPEZ</v>
      </c>
    </row>
    <row r="1467" spans="1:9" s="10" customFormat="1" x14ac:dyDescent="0.25">
      <c r="A1467" s="14" t="str">
        <f>+'[1]BASE RED COMERCIAL'!$A1465</f>
        <v>S0490</v>
      </c>
      <c r="B1467" s="8" t="str">
        <f>+'[1]BASE RED COMERCIAL'!$H1465</f>
        <v>VILLA CONSTITUCION</v>
      </c>
      <c r="C1467" s="7" t="s">
        <v>33</v>
      </c>
      <c r="D1467" s="9" t="str">
        <f>+'[1]BASE RED COMERCIAL'!$E1465</f>
        <v>GRAL SAN MARTIN</v>
      </c>
      <c r="E1467" s="7">
        <f>+'[1]BASE RED COMERCIAL'!$F1465</f>
        <v>802</v>
      </c>
      <c r="F1467" s="14" t="str">
        <f>+'[1]BASE RED COMERCIAL'!$I1465</f>
        <v>S2919ZAA</v>
      </c>
      <c r="G1467" s="7" t="str">
        <f>+'[1]BASE RED COMERCIAL'!$D1465</f>
        <v>VILLA CONSTITUCION</v>
      </c>
      <c r="H1467" s="7" t="str">
        <f>+'[1]BASE RED COMERCIAL'!$B1465</f>
        <v>SANTA FE</v>
      </c>
      <c r="I1467" s="8" t="str">
        <f>+'[1]BASE RED COMERCIAL'!$C1465</f>
        <v>CONSTITUCION</v>
      </c>
    </row>
    <row r="1468" spans="1:9" s="10" customFormat="1" x14ac:dyDescent="0.25">
      <c r="A1468" s="14" t="str">
        <f>+'[1]BASE RED COMERCIAL'!$A1466</f>
        <v>S0492</v>
      </c>
      <c r="B1468" s="8" t="str">
        <f>+'[1]BASE RED COMERCIAL'!$H1466</f>
        <v>VILLA ELOISA</v>
      </c>
      <c r="C1468" s="7" t="s">
        <v>33</v>
      </c>
      <c r="D1468" s="9" t="str">
        <f>+'[1]BASE RED COMERCIAL'!$E1466</f>
        <v>PTE D F SARMIENTO</v>
      </c>
      <c r="E1468" s="7">
        <f>+'[1]BASE RED COMERCIAL'!$F1466</f>
        <v>401</v>
      </c>
      <c r="F1468" s="14" t="str">
        <f>+'[1]BASE RED COMERCIAL'!$I1466</f>
        <v>S2503ZAA</v>
      </c>
      <c r="G1468" s="7" t="str">
        <f>+'[1]BASE RED COMERCIAL'!$D1466</f>
        <v>VILLA ELOISA</v>
      </c>
      <c r="H1468" s="7" t="str">
        <f>+'[1]BASE RED COMERCIAL'!$B1466</f>
        <v>SANTA FE</v>
      </c>
      <c r="I1468" s="8" t="str">
        <f>+'[1]BASE RED COMERCIAL'!$C1466</f>
        <v>IRIONDO</v>
      </c>
    </row>
    <row r="1469" spans="1:9" s="10" customFormat="1" x14ac:dyDescent="0.25">
      <c r="A1469" s="14" t="str">
        <f>+'[1]BASE RED COMERCIAL'!$A1467</f>
        <v>S0494</v>
      </c>
      <c r="B1469" s="8" t="str">
        <f>+'[1]BASE RED COMERCIAL'!$H1467</f>
        <v>VILLA G. GALVEZ</v>
      </c>
      <c r="C1469" s="7" t="s">
        <v>33</v>
      </c>
      <c r="D1469" s="9" t="str">
        <f>+'[1]BASE RED COMERCIAL'!$E1467</f>
        <v>AV FILIPPINI</v>
      </c>
      <c r="E1469" s="7">
        <f>+'[1]BASE RED COMERCIAL'!$F1467</f>
        <v>1972</v>
      </c>
      <c r="F1469" s="14" t="str">
        <f>+'[1]BASE RED COMERCIAL'!$I1467</f>
        <v>S2124ZAA</v>
      </c>
      <c r="G1469" s="7" t="str">
        <f>+'[1]BASE RED COMERCIAL'!$D1467</f>
        <v>VILLA GOBERNADOR GALVEZ</v>
      </c>
      <c r="H1469" s="7" t="str">
        <f>+'[1]BASE RED COMERCIAL'!$B1467</f>
        <v>SANTA FE</v>
      </c>
      <c r="I1469" s="8" t="str">
        <f>+'[1]BASE RED COMERCIAL'!$C1467</f>
        <v>ROSARIO</v>
      </c>
    </row>
    <row r="1470" spans="1:9" s="10" customFormat="1" x14ac:dyDescent="0.25">
      <c r="A1470" s="14" t="str">
        <f>+'[1]BASE RED COMERCIAL'!$A1468</f>
        <v>S0496</v>
      </c>
      <c r="B1470" s="8" t="str">
        <f>+'[1]BASE RED COMERCIAL'!$H1468</f>
        <v>VILLA MUGUETA</v>
      </c>
      <c r="C1470" s="7" t="s">
        <v>33</v>
      </c>
      <c r="D1470" s="9" t="str">
        <f>+'[1]BASE RED COMERCIAL'!$E1468</f>
        <v>B RIVADAVIA</v>
      </c>
      <c r="E1470" s="7">
        <f>+'[1]BASE RED COMERCIAL'!$F1468</f>
        <v>799</v>
      </c>
      <c r="F1470" s="14" t="str">
        <f>+'[1]BASE RED COMERCIAL'!$I1468</f>
        <v>S2175ZAA</v>
      </c>
      <c r="G1470" s="7" t="str">
        <f>+'[1]BASE RED COMERCIAL'!$D1468</f>
        <v>VILLA MUGUETA</v>
      </c>
      <c r="H1470" s="7" t="str">
        <f>+'[1]BASE RED COMERCIAL'!$B1468</f>
        <v>SANTA FE</v>
      </c>
      <c r="I1470" s="8" t="str">
        <f>+'[1]BASE RED COMERCIAL'!$C1468</f>
        <v>SAN LORENZO</v>
      </c>
    </row>
    <row r="1471" spans="1:9" s="10" customFormat="1" x14ac:dyDescent="0.25">
      <c r="A1471" s="14" t="str">
        <f>+'[1]BASE RED COMERCIAL'!$A1469</f>
        <v>S0498</v>
      </c>
      <c r="B1471" s="8" t="str">
        <f>+'[1]BASE RED COMERCIAL'!$H1469</f>
        <v>WHEELWRIGHT</v>
      </c>
      <c r="C1471" s="7" t="s">
        <v>33</v>
      </c>
      <c r="D1471" s="9" t="str">
        <f>+'[1]BASE RED COMERCIAL'!$E1469</f>
        <v>DR MARIANO MORENO</v>
      </c>
      <c r="E1471" s="7">
        <f>+'[1]BASE RED COMERCIAL'!$F1469</f>
        <v>680</v>
      </c>
      <c r="F1471" s="14" t="str">
        <f>+'[1]BASE RED COMERCIAL'!$I1469</f>
        <v>S2722ZAA</v>
      </c>
      <c r="G1471" s="7" t="str">
        <f>+'[1]BASE RED COMERCIAL'!$D1469</f>
        <v>WHEELWRIGHT</v>
      </c>
      <c r="H1471" s="7" t="str">
        <f>+'[1]BASE RED COMERCIAL'!$B1469</f>
        <v>SANTA FE</v>
      </c>
      <c r="I1471" s="8" t="str">
        <f>+'[1]BASE RED COMERCIAL'!$C1469</f>
        <v>GENERAL LOPEZ</v>
      </c>
    </row>
    <row r="1472" spans="1:9" s="10" customFormat="1" x14ac:dyDescent="0.25">
      <c r="A1472" s="14" t="str">
        <f>+'[1]BASE RED COMERCIAL'!$A1470</f>
        <v>S0500</v>
      </c>
      <c r="B1472" s="8" t="str">
        <f>+'[1]BASE RED COMERCIAL'!$H1470</f>
        <v>ZAVALLA</v>
      </c>
      <c r="C1472" s="7" t="s">
        <v>33</v>
      </c>
      <c r="D1472" s="9" t="str">
        <f>+'[1]BASE RED COMERCIAL'!$E1470</f>
        <v>25 DE MAYO</v>
      </c>
      <c r="E1472" s="7">
        <f>+'[1]BASE RED COMERCIAL'!$F1470</f>
        <v>2124</v>
      </c>
      <c r="F1472" s="14" t="str">
        <f>+'[1]BASE RED COMERCIAL'!$I1470</f>
        <v>S2125ZAA</v>
      </c>
      <c r="G1472" s="7" t="str">
        <f>+'[1]BASE RED COMERCIAL'!$D1470</f>
        <v>ZAVALLA</v>
      </c>
      <c r="H1472" s="7" t="str">
        <f>+'[1]BASE RED COMERCIAL'!$B1470</f>
        <v>SANTA FE</v>
      </c>
      <c r="I1472" s="8" t="str">
        <f>+'[1]BASE RED COMERCIAL'!$C1470</f>
        <v>ROSARIO</v>
      </c>
    </row>
    <row r="1473" spans="1:9" s="10" customFormat="1" x14ac:dyDescent="0.25">
      <c r="A1473" s="14" t="str">
        <f>+'[1]BASE RED COMERCIAL'!$A1471</f>
        <v>S1028</v>
      </c>
      <c r="B1473" s="8" t="str">
        <f>+'[1]BASE RED COMERCIAL'!$H1471</f>
        <v>COLONIA DOLORES</v>
      </c>
      <c r="C1473" s="7" t="s">
        <v>33</v>
      </c>
      <c r="D1473" s="9" t="str">
        <f>+'[1]BASE RED COMERCIAL'!$E1471</f>
        <v>ZONA URBANA</v>
      </c>
      <c r="E1473" s="7">
        <f>+'[1]BASE RED COMERCIAL'!$F1471</f>
        <v>0</v>
      </c>
      <c r="F1473" s="14" t="str">
        <f>+'[1]BASE RED COMERCIAL'!$I1471</f>
        <v>S3045ZAA</v>
      </c>
      <c r="G1473" s="7" t="str">
        <f>+'[1]BASE RED COMERCIAL'!$D1471</f>
        <v>COLONIA DOLORES</v>
      </c>
      <c r="H1473" s="7" t="str">
        <f>+'[1]BASE RED COMERCIAL'!$B1471</f>
        <v>SANTA FE</v>
      </c>
      <c r="I1473" s="8" t="str">
        <f>+'[1]BASE RED COMERCIAL'!$C1471</f>
        <v>SAN JUSTO</v>
      </c>
    </row>
    <row r="1474" spans="1:9" s="10" customFormat="1" x14ac:dyDescent="0.25">
      <c r="A1474" s="14" t="str">
        <f>+'[1]BASE RED COMERCIAL'!$A1472</f>
        <v>S1034</v>
      </c>
      <c r="B1474" s="8" t="str">
        <f>+'[1]BASE RED COMERCIAL'!$H1472</f>
        <v>COLONIA LA PENCA</v>
      </c>
      <c r="C1474" s="7" t="s">
        <v>33</v>
      </c>
      <c r="D1474" s="9" t="str">
        <f>+'[1]BASE RED COMERCIAL'!$E1472</f>
        <v>ZONA URBANA</v>
      </c>
      <c r="E1474" s="7">
        <f>+'[1]BASE RED COMERCIAL'!$F1472</f>
        <v>0</v>
      </c>
      <c r="F1474" s="14" t="str">
        <f>+'[1]BASE RED COMERCIAL'!$I1472</f>
        <v>S3045ZAB</v>
      </c>
      <c r="G1474" s="7" t="str">
        <f>+'[1]BASE RED COMERCIAL'!$D1472</f>
        <v>COLONIA LA PENCA</v>
      </c>
      <c r="H1474" s="7" t="str">
        <f>+'[1]BASE RED COMERCIAL'!$B1472</f>
        <v>SANTA FE</v>
      </c>
      <c r="I1474" s="8" t="str">
        <f>+'[1]BASE RED COMERCIAL'!$C1472</f>
        <v>SAN JUSTO</v>
      </c>
    </row>
    <row r="1475" spans="1:9" s="10" customFormat="1" x14ac:dyDescent="0.25">
      <c r="A1475" s="14" t="str">
        <f>+'[1]BASE RED COMERCIAL'!$A1473</f>
        <v>S1056</v>
      </c>
      <c r="B1475" s="8" t="str">
        <f>+'[1]BASE RED COMERCIAL'!$H1473</f>
        <v>EMPALME SAN CARLOS</v>
      </c>
      <c r="C1475" s="7" t="s">
        <v>33</v>
      </c>
      <c r="D1475" s="9" t="str">
        <f>+'[1]BASE RED COMERCIAL'!$E1473</f>
        <v>ZONA URBANA</v>
      </c>
      <c r="E1475" s="7">
        <f>+'[1]BASE RED COMERCIAL'!$F1473</f>
        <v>0</v>
      </c>
      <c r="F1475" s="14" t="str">
        <f>+'[1]BASE RED COMERCIAL'!$I1473</f>
        <v>S3007ZAA</v>
      </c>
      <c r="G1475" s="7" t="str">
        <f>+'[1]BASE RED COMERCIAL'!$D1473</f>
        <v>EMPALME SAN CARLOS</v>
      </c>
      <c r="H1475" s="7" t="str">
        <f>+'[1]BASE RED COMERCIAL'!$B1473</f>
        <v>SANTA FE</v>
      </c>
      <c r="I1475" s="8" t="str">
        <f>+'[1]BASE RED COMERCIAL'!$C1473</f>
        <v>LAS COLONIAS</v>
      </c>
    </row>
    <row r="1476" spans="1:9" s="10" customFormat="1" x14ac:dyDescent="0.25">
      <c r="A1476" s="14" t="str">
        <f>+'[1]BASE RED COMERCIAL'!$A1474</f>
        <v>S1094</v>
      </c>
      <c r="B1476" s="8" t="str">
        <f>+'[1]BASE RED COMERCIAL'!$H1474</f>
        <v>LANTERI</v>
      </c>
      <c r="C1476" s="7" t="s">
        <v>33</v>
      </c>
      <c r="D1476" s="9" t="str">
        <f>+'[1]BASE RED COMERCIAL'!$E1474</f>
        <v>16 DE SEPTIEMBRE</v>
      </c>
      <c r="E1476" s="7">
        <f>+'[1]BASE RED COMERCIAL'!$F1474</f>
        <v>0</v>
      </c>
      <c r="F1476" s="14" t="str">
        <f>+'[1]BASE RED COMERCIAL'!$I1474</f>
        <v>S3576ZAA</v>
      </c>
      <c r="G1476" s="7" t="str">
        <f>+'[1]BASE RED COMERCIAL'!$D1474</f>
        <v>LANTERI</v>
      </c>
      <c r="H1476" s="7" t="str">
        <f>+'[1]BASE RED COMERCIAL'!$B1474</f>
        <v>SANTA FE</v>
      </c>
      <c r="I1476" s="8" t="str">
        <f>+'[1]BASE RED COMERCIAL'!$C1474</f>
        <v>GENERAL OBLIGADO</v>
      </c>
    </row>
    <row r="1477" spans="1:9" s="10" customFormat="1" x14ac:dyDescent="0.25">
      <c r="A1477" s="14" t="str">
        <f>+'[1]BASE RED COMERCIAL'!$A1475</f>
        <v>S1114</v>
      </c>
      <c r="B1477" s="8" t="str">
        <f>+'[1]BASE RED COMERCIAL'!$H1475</f>
        <v>SAGUIER</v>
      </c>
      <c r="C1477" s="7" t="s">
        <v>33</v>
      </c>
      <c r="D1477" s="9" t="str">
        <f>+'[1]BASE RED COMERCIAL'!$E1475</f>
        <v>9 DE JULIO</v>
      </c>
      <c r="E1477" s="7">
        <f>+'[1]BASE RED COMERCIAL'!$F1475</f>
        <v>0</v>
      </c>
      <c r="F1477" s="14" t="str">
        <f>+'[1]BASE RED COMERCIAL'!$I1475</f>
        <v>S2321ZAA</v>
      </c>
      <c r="G1477" s="7" t="str">
        <f>+'[1]BASE RED COMERCIAL'!$D1475</f>
        <v>SAGUIER</v>
      </c>
      <c r="H1477" s="7" t="str">
        <f>+'[1]BASE RED COMERCIAL'!$B1475</f>
        <v>SANTA FE</v>
      </c>
      <c r="I1477" s="8" t="str">
        <f>+'[1]BASE RED COMERCIAL'!$C1475</f>
        <v>CASTELLANOS</v>
      </c>
    </row>
    <row r="1478" spans="1:9" s="10" customFormat="1" x14ac:dyDescent="0.25">
      <c r="A1478" s="14" t="str">
        <f>+'[1]BASE RED COMERCIAL'!$A1476</f>
        <v>S1134</v>
      </c>
      <c r="B1478" s="8" t="str">
        <f>+'[1]BASE RED COMERCIAL'!$H1476</f>
        <v>SAUCE VIEJO</v>
      </c>
      <c r="C1478" s="7" t="s">
        <v>33</v>
      </c>
      <c r="D1478" s="9" t="str">
        <f>+'[1]BASE RED COMERCIAL'!$E1476</f>
        <v>RIVADAVIA</v>
      </c>
      <c r="E1478" s="7">
        <f>+'[1]BASE RED COMERCIAL'!$F1476</f>
        <v>1158</v>
      </c>
      <c r="F1478" s="14" t="str">
        <f>+'[1]BASE RED COMERCIAL'!$I1476</f>
        <v>S3034ZAB</v>
      </c>
      <c r="G1478" s="7" t="str">
        <f>+'[1]BASE RED COMERCIAL'!$D1476</f>
        <v>SAUCE VIEJO</v>
      </c>
      <c r="H1478" s="7" t="str">
        <f>+'[1]BASE RED COMERCIAL'!$B1476</f>
        <v>SANTA FE</v>
      </c>
      <c r="I1478" s="8" t="str">
        <f>+'[1]BASE RED COMERCIAL'!$C1476</f>
        <v>LA CAPITAL</v>
      </c>
    </row>
    <row r="1479" spans="1:9" s="10" customFormat="1" x14ac:dyDescent="0.25">
      <c r="A1479" s="14" t="str">
        <f>+'[1]BASE RED COMERCIAL'!$A1477</f>
        <v>S1608</v>
      </c>
      <c r="B1479" s="8" t="str">
        <f>+'[1]BASE RED COMERCIAL'!$H1477</f>
        <v>ANDINO</v>
      </c>
      <c r="C1479" s="7" t="s">
        <v>33</v>
      </c>
      <c r="D1479" s="9" t="str">
        <f>+'[1]BASE RED COMERCIAL'!$E1477</f>
        <v>L N ALEM</v>
      </c>
      <c r="E1479" s="7">
        <f>+'[1]BASE RED COMERCIAL'!$F1477</f>
        <v>829</v>
      </c>
      <c r="F1479" s="14" t="str">
        <f>+'[1]BASE RED COMERCIAL'!$I1477</f>
        <v>S2215ZAA</v>
      </c>
      <c r="G1479" s="7" t="str">
        <f>+'[1]BASE RED COMERCIAL'!$D1477</f>
        <v>ANDINO</v>
      </c>
      <c r="H1479" s="7" t="str">
        <f>+'[1]BASE RED COMERCIAL'!$B1477</f>
        <v>SANTA FE</v>
      </c>
      <c r="I1479" s="8" t="str">
        <f>+'[1]BASE RED COMERCIAL'!$C1477</f>
        <v>IRIONDO</v>
      </c>
    </row>
    <row r="1480" spans="1:9" s="10" customFormat="1" x14ac:dyDescent="0.25">
      <c r="A1480" s="14" t="str">
        <f>+'[1]BASE RED COMERCIAL'!$A1478</f>
        <v>S3496</v>
      </c>
      <c r="B1480" s="8" t="str">
        <f>+'[1]BASE RED COMERCIAL'!$H1478</f>
        <v>AGENCIA ADUANA</v>
      </c>
      <c r="C1480" s="7" t="s">
        <v>33</v>
      </c>
      <c r="D1480" s="9" t="str">
        <f>+'[1]BASE RED COMERCIAL'!$E1478</f>
        <v>PRES BERNARDINO RIVADAVIA</v>
      </c>
      <c r="E1480" s="7">
        <f>+'[1]BASE RED COMERCIAL'!$F1478</f>
        <v>2622</v>
      </c>
      <c r="F1480" s="14" t="str">
        <f>+'[1]BASE RED COMERCIAL'!$I1478</f>
        <v>S3000ZAA</v>
      </c>
      <c r="G1480" s="7" t="str">
        <f>+'[1]BASE RED COMERCIAL'!$D1478</f>
        <v>SANTA FE</v>
      </c>
      <c r="H1480" s="7" t="str">
        <f>+'[1]BASE RED COMERCIAL'!$B1478</f>
        <v>SANTA FE</v>
      </c>
      <c r="I1480" s="8" t="str">
        <f>+'[1]BASE RED COMERCIAL'!$C1478</f>
        <v>LA CAPITAL</v>
      </c>
    </row>
    <row r="1481" spans="1:9" s="10" customFormat="1" x14ac:dyDescent="0.25">
      <c r="A1481" s="14" t="str">
        <f>+'[1]BASE RED COMERCIAL'!$A1479</f>
        <v>S3497</v>
      </c>
      <c r="B1481" s="8" t="str">
        <f>+'[1]BASE RED COMERCIAL'!$H1479</f>
        <v>AGENCIA NÂº 1</v>
      </c>
      <c r="C1481" s="7" t="s">
        <v>33</v>
      </c>
      <c r="D1481" s="9" t="str">
        <f>+'[1]BASE RED COMERCIAL'!$E1479</f>
        <v>MENDOZA</v>
      </c>
      <c r="E1481" s="7">
        <f>+'[1]BASE RED COMERCIAL'!$F1479</f>
        <v>3320</v>
      </c>
      <c r="F1481" s="14" t="str">
        <f>+'[1]BASE RED COMERCIAL'!$I1479</f>
        <v>S3000ZAB</v>
      </c>
      <c r="G1481" s="7" t="str">
        <f>+'[1]BASE RED COMERCIAL'!$D1479</f>
        <v>SANTA FE</v>
      </c>
      <c r="H1481" s="7" t="str">
        <f>+'[1]BASE RED COMERCIAL'!$B1479</f>
        <v>SANTA FE</v>
      </c>
      <c r="I1481" s="8" t="str">
        <f>+'[1]BASE RED COMERCIAL'!$C1479</f>
        <v>LA CAPITAL</v>
      </c>
    </row>
    <row r="1482" spans="1:9" s="10" customFormat="1" x14ac:dyDescent="0.25">
      <c r="A1482" s="14" t="str">
        <f>+'[1]BASE RED COMERCIAL'!$A1480</f>
        <v>S3673</v>
      </c>
      <c r="B1482" s="8" t="str">
        <f>+'[1]BASE RED COMERCIAL'!$H1480</f>
        <v>MINIPOST TRIBUNALES</v>
      </c>
      <c r="C1482" s="7" t="s">
        <v>33</v>
      </c>
      <c r="D1482" s="9" t="str">
        <f>+'[1]BASE RED COMERCIAL'!$E1480</f>
        <v>3 DE FEBRERO</v>
      </c>
      <c r="E1482" s="7">
        <f>+'[1]BASE RED COMERCIAL'!$F1480</f>
        <v>2761</v>
      </c>
      <c r="F1482" s="14" t="str">
        <f>+'[1]BASE RED COMERCIAL'!$I1480</f>
        <v>S3000ZCH</v>
      </c>
      <c r="G1482" s="7" t="str">
        <f>+'[1]BASE RED COMERCIAL'!$D1480</f>
        <v>SANTA FE</v>
      </c>
      <c r="H1482" s="7" t="str">
        <f>+'[1]BASE RED COMERCIAL'!$B1480</f>
        <v>SANTA FE</v>
      </c>
      <c r="I1482" s="8" t="str">
        <f>+'[1]BASE RED COMERCIAL'!$C1480</f>
        <v>LA CAPITAL</v>
      </c>
    </row>
    <row r="1483" spans="1:9" s="10" customFormat="1" x14ac:dyDescent="0.25">
      <c r="A1483" s="14" t="str">
        <f>+'[1]BASE RED COMERCIAL'!$A1481</f>
        <v>G0000</v>
      </c>
      <c r="B1483" s="8" t="str">
        <f>+'[1]BASE RED COMERCIAL'!$H1481</f>
        <v>SGO. DEL ESTERO</v>
      </c>
      <c r="C1483" s="7" t="s">
        <v>33</v>
      </c>
      <c r="D1483" s="9" t="str">
        <f>+'[1]BASE RED COMERCIAL'!$E1481</f>
        <v>BUENOS AIRES</v>
      </c>
      <c r="E1483" s="7">
        <f>+'[1]BASE RED COMERCIAL'!$F1481</f>
        <v>252</v>
      </c>
      <c r="F1483" s="14" t="str">
        <f>+'[1]BASE RED COMERCIAL'!$I1481</f>
        <v>G4200ZAA</v>
      </c>
      <c r="G1483" s="7" t="str">
        <f>+'[1]BASE RED COMERCIAL'!$D1481</f>
        <v>SANTIAGO DEL ESTERO</v>
      </c>
      <c r="H1483" s="7" t="str">
        <f>+'[1]BASE RED COMERCIAL'!$B1481</f>
        <v>SANTIAGO DEL ESTERO</v>
      </c>
      <c r="I1483" s="8" t="str">
        <f>+'[1]BASE RED COMERCIAL'!$C1481</f>
        <v>CAPITAL</v>
      </c>
    </row>
    <row r="1484" spans="1:9" s="10" customFormat="1" x14ac:dyDescent="0.25">
      <c r="A1484" s="14" t="str">
        <f>+'[1]BASE RED COMERCIAL'!$A1482</f>
        <v>G0001</v>
      </c>
      <c r="B1484" s="8" t="str">
        <f>+'[1]BASE RED COMERCIAL'!$H1482</f>
        <v>AÃ‘ATUYA</v>
      </c>
      <c r="C1484" s="7" t="s">
        <v>33</v>
      </c>
      <c r="D1484" s="9" t="str">
        <f>+'[1]BASE RED COMERCIAL'!$E1482</f>
        <v>AV GRAL M BELGRANO</v>
      </c>
      <c r="E1484" s="7">
        <f>+'[1]BASE RED COMERCIAL'!$F1482</f>
        <v>19</v>
      </c>
      <c r="F1484" s="14" t="str">
        <f>+'[1]BASE RED COMERCIAL'!$I1482</f>
        <v>G3760ZAA</v>
      </c>
      <c r="G1484" s="7" t="str">
        <f>+'[1]BASE RED COMERCIAL'!$D1482</f>
        <v>AÃ‘ATUYA</v>
      </c>
      <c r="H1484" s="7" t="str">
        <f>+'[1]BASE RED COMERCIAL'!$B1482</f>
        <v>SANTIAGO DEL ESTERO</v>
      </c>
      <c r="I1484" s="8" t="str">
        <f>+'[1]BASE RED COMERCIAL'!$C1482</f>
        <v>TABOADA</v>
      </c>
    </row>
    <row r="1485" spans="1:9" s="10" customFormat="1" x14ac:dyDescent="0.25">
      <c r="A1485" s="14" t="str">
        <f>+'[1]BASE RED COMERCIAL'!$A1483</f>
        <v>G0003</v>
      </c>
      <c r="B1485" s="8" t="str">
        <f>+'[1]BASE RED COMERCIAL'!$H1483</f>
        <v>SANTIAGO DEL ESRERO 3</v>
      </c>
      <c r="C1485" s="7" t="s">
        <v>33</v>
      </c>
      <c r="D1485" s="9" t="str">
        <f>+'[1]BASE RED COMERCIAL'!$E1483</f>
        <v>PEDRO LEON GALLO</v>
      </c>
      <c r="E1485" s="7">
        <f>+'[1]BASE RED COMERCIAL'!$F1483</f>
        <v>486</v>
      </c>
      <c r="F1485" s="14" t="str">
        <f>+'[1]BASE RED COMERCIAL'!$I1483</f>
        <v>G4204ZAA</v>
      </c>
      <c r="G1485" s="7" t="str">
        <f>+'[1]BASE RED COMERCIAL'!$D1483</f>
        <v>SANTIAGO DEL ESTERO</v>
      </c>
      <c r="H1485" s="7" t="str">
        <f>+'[1]BASE RED COMERCIAL'!$B1483</f>
        <v>SANTIAGO DEL ESTERO</v>
      </c>
      <c r="I1485" s="8" t="str">
        <f>+'[1]BASE RED COMERCIAL'!$C1483</f>
        <v>CAPITAL</v>
      </c>
    </row>
    <row r="1486" spans="1:9" s="10" customFormat="1" x14ac:dyDescent="0.25">
      <c r="A1486" s="14" t="str">
        <f>+'[1]BASE RED COMERCIAL'!$A1484</f>
        <v>G0004</v>
      </c>
      <c r="B1486" s="8" t="str">
        <f>+'[1]BASE RED COMERCIAL'!$H1484</f>
        <v>BANDERA</v>
      </c>
      <c r="C1486" s="7" t="s">
        <v>33</v>
      </c>
      <c r="D1486" s="9" t="str">
        <f>+'[1]BASE RED COMERCIAL'!$E1484</f>
        <v>MANUEL BELGRANO</v>
      </c>
      <c r="E1486" s="7">
        <f>+'[1]BASE RED COMERCIAL'!$F1484</f>
        <v>20</v>
      </c>
      <c r="F1486" s="14" t="str">
        <f>+'[1]BASE RED COMERCIAL'!$I1484</f>
        <v>G3064ZAA</v>
      </c>
      <c r="G1486" s="7" t="str">
        <f>+'[1]BASE RED COMERCIAL'!$D1484</f>
        <v>BANDERA</v>
      </c>
      <c r="H1486" s="7" t="str">
        <f>+'[1]BASE RED COMERCIAL'!$B1484</f>
        <v>SANTIAGO DEL ESTERO</v>
      </c>
      <c r="I1486" s="8" t="str">
        <f>+'[1]BASE RED COMERCIAL'!$C1484</f>
        <v>BELGRANO</v>
      </c>
    </row>
    <row r="1487" spans="1:9" s="10" customFormat="1" x14ac:dyDescent="0.25">
      <c r="A1487" s="14" t="str">
        <f>+'[1]BASE RED COMERCIAL'!$A1485</f>
        <v>G0006</v>
      </c>
      <c r="B1487" s="8" t="str">
        <f>+'[1]BASE RED COMERCIAL'!$H1485</f>
        <v>BELTRAN</v>
      </c>
      <c r="C1487" s="7" t="s">
        <v>33</v>
      </c>
      <c r="D1487" s="9" t="str">
        <f>+'[1]BASE RED COMERCIAL'!$E1485</f>
        <v>ESPAÃ‘A</v>
      </c>
      <c r="E1487" s="7">
        <f>+'[1]BASE RED COMERCIAL'!$F1485</f>
        <v>60</v>
      </c>
      <c r="F1487" s="14" t="str">
        <f>+'[1]BASE RED COMERCIAL'!$I1485</f>
        <v>G4308ZAA</v>
      </c>
      <c r="G1487" s="7" t="str">
        <f>+'[1]BASE RED COMERCIAL'!$D1485</f>
        <v>BELTRAN</v>
      </c>
      <c r="H1487" s="7" t="str">
        <f>+'[1]BASE RED COMERCIAL'!$B1485</f>
        <v>SANTIAGO DEL ESTERO</v>
      </c>
      <c r="I1487" s="8" t="str">
        <f>+'[1]BASE RED COMERCIAL'!$C1485</f>
        <v>ROBLES</v>
      </c>
    </row>
    <row r="1488" spans="1:9" s="10" customFormat="1" x14ac:dyDescent="0.25">
      <c r="A1488" s="14" t="str">
        <f>+'[1]BASE RED COMERCIAL'!$A1486</f>
        <v>G0008</v>
      </c>
      <c r="B1488" s="8" t="str">
        <f>+'[1]BASE RED COMERCIAL'!$H1486</f>
        <v>BREA POZO</v>
      </c>
      <c r="C1488" s="7" t="s">
        <v>33</v>
      </c>
      <c r="D1488" s="9" t="str">
        <f>+'[1]BASE RED COMERCIAL'!$E1486</f>
        <v>AV TTE CNEL GARCIA</v>
      </c>
      <c r="E1488" s="7">
        <f>+'[1]BASE RED COMERCIAL'!$F1486</f>
        <v>100</v>
      </c>
      <c r="F1488" s="14" t="str">
        <f>+'[1]BASE RED COMERCIAL'!$I1486</f>
        <v>G4313ZAA</v>
      </c>
      <c r="G1488" s="7" t="str">
        <f>+'[1]BASE RED COMERCIAL'!$D1486</f>
        <v>BREA POZO</v>
      </c>
      <c r="H1488" s="7" t="str">
        <f>+'[1]BASE RED COMERCIAL'!$B1486</f>
        <v>SANTIAGO DEL ESTERO</v>
      </c>
      <c r="I1488" s="8" t="str">
        <f>+'[1]BASE RED COMERCIAL'!$C1486</f>
        <v>SAN MARTIN</v>
      </c>
    </row>
    <row r="1489" spans="1:9" s="10" customFormat="1" x14ac:dyDescent="0.25">
      <c r="A1489" s="14" t="str">
        <f>+'[1]BASE RED COMERCIAL'!$A1487</f>
        <v>G0010</v>
      </c>
      <c r="B1489" s="8" t="str">
        <f>+'[1]BASE RED COMERCIAL'!$H1487</f>
        <v>CAMPO GALLO</v>
      </c>
      <c r="C1489" s="7" t="s">
        <v>33</v>
      </c>
      <c r="D1489" s="9" t="str">
        <f>+'[1]BASE RED COMERCIAL'!$E1487</f>
        <v>GRAL M BELGRANO</v>
      </c>
      <c r="E1489" s="7">
        <f>+'[1]BASE RED COMERCIAL'!$F1487</f>
        <v>54</v>
      </c>
      <c r="F1489" s="14" t="str">
        <f>+'[1]BASE RED COMERCIAL'!$I1487</f>
        <v>G3747ZAA</v>
      </c>
      <c r="G1489" s="7" t="str">
        <f>+'[1]BASE RED COMERCIAL'!$D1487</f>
        <v>CAMPO GALLO</v>
      </c>
      <c r="H1489" s="7" t="str">
        <f>+'[1]BASE RED COMERCIAL'!$B1487</f>
        <v>SANTIAGO DEL ESTERO</v>
      </c>
      <c r="I1489" s="8" t="str">
        <f>+'[1]BASE RED COMERCIAL'!$C1487</f>
        <v>ALBERDI</v>
      </c>
    </row>
    <row r="1490" spans="1:9" s="10" customFormat="1" x14ac:dyDescent="0.25">
      <c r="A1490" s="14" t="str">
        <f>+'[1]BASE RED COMERCIAL'!$A1488</f>
        <v>G0012</v>
      </c>
      <c r="B1490" s="8" t="str">
        <f>+'[1]BASE RED COMERCIAL'!$H1488</f>
        <v>CHOYA</v>
      </c>
      <c r="C1490" s="7" t="s">
        <v>33</v>
      </c>
      <c r="D1490" s="9" t="str">
        <f>+'[1]BASE RED COMERCIAL'!$E1488</f>
        <v>CALLE PUBLICA</v>
      </c>
      <c r="E1490" s="7">
        <f>+'[1]BASE RED COMERCIAL'!$F1488</f>
        <v>0</v>
      </c>
      <c r="F1490" s="14" t="str">
        <f>+'[1]BASE RED COMERCIAL'!$I1488</f>
        <v>G4233ZAA</v>
      </c>
      <c r="G1490" s="7" t="str">
        <f>+'[1]BASE RED COMERCIAL'!$D1488</f>
        <v>CHOYA</v>
      </c>
      <c r="H1490" s="7" t="str">
        <f>+'[1]BASE RED COMERCIAL'!$B1488</f>
        <v>SANTIAGO DEL ESTERO</v>
      </c>
      <c r="I1490" s="8" t="str">
        <f>+'[1]BASE RED COMERCIAL'!$C1488</f>
        <v>CHOYA</v>
      </c>
    </row>
    <row r="1491" spans="1:9" s="10" customFormat="1" x14ac:dyDescent="0.25">
      <c r="A1491" s="14" t="str">
        <f>+'[1]BASE RED COMERCIAL'!$A1489</f>
        <v>G0014</v>
      </c>
      <c r="B1491" s="8" t="str">
        <f>+'[1]BASE RED COMERCIAL'!$H1489</f>
        <v>CLODOMIRA</v>
      </c>
      <c r="C1491" s="7" t="s">
        <v>33</v>
      </c>
      <c r="D1491" s="9" t="str">
        <f>+'[1]BASE RED COMERCIAL'!$E1489</f>
        <v>EUROPA</v>
      </c>
      <c r="E1491" s="7">
        <f>+'[1]BASE RED COMERCIAL'!$F1489</f>
        <v>0</v>
      </c>
      <c r="F1491" s="14" t="str">
        <f>+'[1]BASE RED COMERCIAL'!$I1489</f>
        <v>G4338ZAA</v>
      </c>
      <c r="G1491" s="7" t="str">
        <f>+'[1]BASE RED COMERCIAL'!$D1489</f>
        <v>CLODOMIRA</v>
      </c>
      <c r="H1491" s="7" t="str">
        <f>+'[1]BASE RED COMERCIAL'!$B1489</f>
        <v>SANTIAGO DEL ESTERO</v>
      </c>
      <c r="I1491" s="8" t="str">
        <f>+'[1]BASE RED COMERCIAL'!$C1489</f>
        <v>BANDA</v>
      </c>
    </row>
    <row r="1492" spans="1:9" s="10" customFormat="1" x14ac:dyDescent="0.25">
      <c r="A1492" s="14" t="str">
        <f>+'[1]BASE RED COMERCIAL'!$A1490</f>
        <v>G0016</v>
      </c>
      <c r="B1492" s="8" t="str">
        <f>+'[1]BASE RED COMERCIAL'!$H1490</f>
        <v>COLONIA DORA</v>
      </c>
      <c r="C1492" s="7" t="s">
        <v>33</v>
      </c>
      <c r="D1492" s="9" t="str">
        <f>+'[1]BASE RED COMERCIAL'!$E1490</f>
        <v>MAIPU</v>
      </c>
      <c r="E1492" s="7">
        <f>+'[1]BASE RED COMERCIAL'!$F1490</f>
        <v>0</v>
      </c>
      <c r="F1492" s="14" t="str">
        <f>+'[1]BASE RED COMERCIAL'!$I1490</f>
        <v>G4332ZAA</v>
      </c>
      <c r="G1492" s="7" t="str">
        <f>+'[1]BASE RED COMERCIAL'!$D1490</f>
        <v>COLONIA DORA</v>
      </c>
      <c r="H1492" s="7" t="str">
        <f>+'[1]BASE RED COMERCIAL'!$B1490</f>
        <v>SANTIAGO DEL ESTERO</v>
      </c>
      <c r="I1492" s="8" t="str">
        <f>+'[1]BASE RED COMERCIAL'!$C1490</f>
        <v>AVELLANEDA</v>
      </c>
    </row>
    <row r="1493" spans="1:9" s="10" customFormat="1" x14ac:dyDescent="0.25">
      <c r="A1493" s="14" t="str">
        <f>+'[1]BASE RED COMERCIAL'!$A1491</f>
        <v>G0018</v>
      </c>
      <c r="B1493" s="8" t="str">
        <f>+'[1]BASE RED COMERCIAL'!$H1491</f>
        <v>EL CHARCO</v>
      </c>
      <c r="C1493" s="7" t="s">
        <v>33</v>
      </c>
      <c r="D1493" s="9" t="str">
        <f>+'[1]BASE RED COMERCIAL'!$E1491</f>
        <v>CALLE 6</v>
      </c>
      <c r="E1493" s="7">
        <f>+'[1]BASE RED COMERCIAL'!$F1491</f>
        <v>1</v>
      </c>
      <c r="F1493" s="14" t="str">
        <f>+'[1]BASE RED COMERCIAL'!$I1491</f>
        <v>G4306ZAA</v>
      </c>
      <c r="G1493" s="7" t="str">
        <f>+'[1]BASE RED COMERCIAL'!$D1491</f>
        <v>EL CHARCO</v>
      </c>
      <c r="H1493" s="7" t="str">
        <f>+'[1]BASE RED COMERCIAL'!$B1491</f>
        <v>SANTIAGO DEL ESTERO</v>
      </c>
      <c r="I1493" s="8" t="str">
        <f>+'[1]BASE RED COMERCIAL'!$C1491</f>
        <v>JIMENEZ</v>
      </c>
    </row>
    <row r="1494" spans="1:9" s="10" customFormat="1" x14ac:dyDescent="0.25">
      <c r="A1494" s="14" t="str">
        <f>+'[1]BASE RED COMERCIAL'!$A1492</f>
        <v>G0020</v>
      </c>
      <c r="B1494" s="8" t="str">
        <f>+'[1]BASE RED COMERCIAL'!$H1492</f>
        <v>FERNANDEZ</v>
      </c>
      <c r="C1494" s="7" t="s">
        <v>33</v>
      </c>
      <c r="D1494" s="9" t="str">
        <f>+'[1]BASE RED COMERCIAL'!$E1492</f>
        <v>LIBERTAD</v>
      </c>
      <c r="E1494" s="7">
        <f>+'[1]BASE RED COMERCIAL'!$F1492</f>
        <v>195</v>
      </c>
      <c r="F1494" s="14" t="str">
        <f>+'[1]BASE RED COMERCIAL'!$I1492</f>
        <v>G4322ZAA</v>
      </c>
      <c r="G1494" s="7" t="str">
        <f>+'[1]BASE RED COMERCIAL'!$D1492</f>
        <v>FERNANDEZ</v>
      </c>
      <c r="H1494" s="7" t="str">
        <f>+'[1]BASE RED COMERCIAL'!$B1492</f>
        <v>SANTIAGO DEL ESTERO</v>
      </c>
      <c r="I1494" s="8" t="str">
        <f>+'[1]BASE RED COMERCIAL'!$C1492</f>
        <v>ROBLES</v>
      </c>
    </row>
    <row r="1495" spans="1:9" s="10" customFormat="1" x14ac:dyDescent="0.25">
      <c r="A1495" s="14" t="str">
        <f>+'[1]BASE RED COMERCIAL'!$A1493</f>
        <v>G0022</v>
      </c>
      <c r="B1495" s="8" t="str">
        <f>+'[1]BASE RED COMERCIAL'!$H1493</f>
        <v>FRIAS</v>
      </c>
      <c r="C1495" s="7" t="s">
        <v>33</v>
      </c>
      <c r="D1495" s="9" t="str">
        <f>+'[1]BASE RED COMERCIAL'!$E1493</f>
        <v>CARLOS MONTI</v>
      </c>
      <c r="E1495" s="7">
        <f>+'[1]BASE RED COMERCIAL'!$F1493</f>
        <v>50</v>
      </c>
      <c r="F1495" s="14" t="str">
        <f>+'[1]BASE RED COMERCIAL'!$I1493</f>
        <v>G4230ZAA</v>
      </c>
      <c r="G1495" s="7" t="str">
        <f>+'[1]BASE RED COMERCIAL'!$D1493</f>
        <v>FRIAS</v>
      </c>
      <c r="H1495" s="7" t="str">
        <f>+'[1]BASE RED COMERCIAL'!$B1493</f>
        <v>SANTIAGO DEL ESTERO</v>
      </c>
      <c r="I1495" s="8" t="str">
        <f>+'[1]BASE RED COMERCIAL'!$C1493</f>
        <v>CHOYA</v>
      </c>
    </row>
    <row r="1496" spans="1:9" s="10" customFormat="1" x14ac:dyDescent="0.25">
      <c r="A1496" s="14" t="str">
        <f>+'[1]BASE RED COMERCIAL'!$A1494</f>
        <v>G0024</v>
      </c>
      <c r="B1496" s="8" t="str">
        <f>+'[1]BASE RED COMERCIAL'!$H1494</f>
        <v>FORRES</v>
      </c>
      <c r="C1496" s="7" t="s">
        <v>33</v>
      </c>
      <c r="D1496" s="9" t="str">
        <f>+'[1]BASE RED COMERCIAL'!$E1494</f>
        <v>AV MANUEL BELGRANO</v>
      </c>
      <c r="E1496" s="7">
        <f>+'[1]BASE RED COMERCIAL'!$F1494</f>
        <v>0</v>
      </c>
      <c r="F1496" s="14" t="str">
        <f>+'[1]BASE RED COMERCIAL'!$I1494</f>
        <v>G4312ZAA</v>
      </c>
      <c r="G1496" s="7" t="str">
        <f>+'[1]BASE RED COMERCIAL'!$D1494</f>
        <v>INGENIERO FORRES</v>
      </c>
      <c r="H1496" s="7" t="str">
        <f>+'[1]BASE RED COMERCIAL'!$B1494</f>
        <v>SANTIAGO DEL ESTERO</v>
      </c>
      <c r="I1496" s="8" t="str">
        <f>+'[1]BASE RED COMERCIAL'!$C1494</f>
        <v>ROBLES</v>
      </c>
    </row>
    <row r="1497" spans="1:9" s="10" customFormat="1" x14ac:dyDescent="0.25">
      <c r="A1497" s="14" t="str">
        <f>+'[1]BASE RED COMERCIAL'!$A1495</f>
        <v>G0026</v>
      </c>
      <c r="B1497" s="8" t="str">
        <f>+'[1]BASE RED COMERCIAL'!$H1495</f>
        <v>GARZA</v>
      </c>
      <c r="C1497" s="7" t="s">
        <v>33</v>
      </c>
      <c r="D1497" s="9" t="str">
        <f>+'[1]BASE RED COMERCIAL'!$E1495</f>
        <v>AV GRAL M BELGRANO</v>
      </c>
      <c r="E1497" s="7">
        <f>+'[1]BASE RED COMERCIAL'!$F1495</f>
        <v>4</v>
      </c>
      <c r="F1497" s="14" t="str">
        <f>+'[1]BASE RED COMERCIAL'!$I1495</f>
        <v>G4324ZAA</v>
      </c>
      <c r="G1497" s="7" t="str">
        <f>+'[1]BASE RED COMERCIAL'!$D1495</f>
        <v>GARZA</v>
      </c>
      <c r="H1497" s="7" t="str">
        <f>+'[1]BASE RED COMERCIAL'!$B1495</f>
        <v>SANTIAGO DEL ESTERO</v>
      </c>
      <c r="I1497" s="8" t="str">
        <f>+'[1]BASE RED COMERCIAL'!$C1495</f>
        <v>SARMIENTO</v>
      </c>
    </row>
    <row r="1498" spans="1:9" s="10" customFormat="1" x14ac:dyDescent="0.25">
      <c r="A1498" s="14" t="str">
        <f>+'[1]BASE RED COMERCIAL'!$A1496</f>
        <v>G0028</v>
      </c>
      <c r="B1498" s="8" t="str">
        <f>+'[1]BASE RED COMERCIAL'!$H1496</f>
        <v>GUARDIA ESCOLTA</v>
      </c>
      <c r="C1498" s="7" t="s">
        <v>33</v>
      </c>
      <c r="D1498" s="9" t="str">
        <f>+'[1]BASE RED COMERCIAL'!$E1496</f>
        <v>CALLE 14</v>
      </c>
      <c r="E1498" s="7">
        <f>+'[1]BASE RED COMERCIAL'!$F1496</f>
        <v>100</v>
      </c>
      <c r="F1498" s="14" t="str">
        <f>+'[1]BASE RED COMERCIAL'!$I1496</f>
        <v>G3062ZAA</v>
      </c>
      <c r="G1498" s="7" t="str">
        <f>+'[1]BASE RED COMERCIAL'!$D1496</f>
        <v>GUARDIA ESCOLTA</v>
      </c>
      <c r="H1498" s="7" t="str">
        <f>+'[1]BASE RED COMERCIAL'!$B1496</f>
        <v>SANTIAGO DEL ESTERO</v>
      </c>
      <c r="I1498" s="8" t="str">
        <f>+'[1]BASE RED COMERCIAL'!$C1496</f>
        <v>BELGRANO</v>
      </c>
    </row>
    <row r="1499" spans="1:9" s="10" customFormat="1" x14ac:dyDescent="0.25">
      <c r="A1499" s="14" t="str">
        <f>+'[1]BASE RED COMERCIAL'!$A1497</f>
        <v>G0030</v>
      </c>
      <c r="B1499" s="8" t="str">
        <f>+'[1]BASE RED COMERCIAL'!$H1497</f>
        <v>HERRERA</v>
      </c>
      <c r="C1499" s="7" t="s">
        <v>33</v>
      </c>
      <c r="D1499" s="9" t="str">
        <f>+'[1]BASE RED COMERCIAL'!$E1497</f>
        <v>AV SAN MARTIN</v>
      </c>
      <c r="E1499" s="7">
        <f>+'[1]BASE RED COMERCIAL'!$F1497</f>
        <v>224</v>
      </c>
      <c r="F1499" s="14" t="str">
        <f>+'[1]BASE RED COMERCIAL'!$I1497</f>
        <v>G4328ZAA</v>
      </c>
      <c r="G1499" s="7" t="str">
        <f>+'[1]BASE RED COMERCIAL'!$D1497</f>
        <v>HERRERA</v>
      </c>
      <c r="H1499" s="7" t="str">
        <f>+'[1]BASE RED COMERCIAL'!$B1497</f>
        <v>SANTIAGO DEL ESTERO</v>
      </c>
      <c r="I1499" s="8" t="str">
        <f>+'[1]BASE RED COMERCIAL'!$C1497</f>
        <v>AVELLANEDA</v>
      </c>
    </row>
    <row r="1500" spans="1:9" s="10" customFormat="1" x14ac:dyDescent="0.25">
      <c r="A1500" s="14" t="str">
        <f>+'[1]BASE RED COMERCIAL'!$A1498</f>
        <v>G0032</v>
      </c>
      <c r="B1500" s="8" t="str">
        <f>+'[1]BASE RED COMERCIAL'!$H1498</f>
        <v>ICAÃ‘O</v>
      </c>
      <c r="C1500" s="7" t="s">
        <v>33</v>
      </c>
      <c r="D1500" s="9" t="str">
        <f>+'[1]BASE RED COMERCIAL'!$E1498</f>
        <v>CORRIENTES</v>
      </c>
      <c r="E1500" s="7">
        <f>+'[1]BASE RED COMERCIAL'!$F1498</f>
        <v>0</v>
      </c>
      <c r="F1500" s="14" t="str">
        <f>+'[1]BASE RED COMERCIAL'!$I1498</f>
        <v>G4334ZAA</v>
      </c>
      <c r="G1500" s="7" t="str">
        <f>+'[1]BASE RED COMERCIAL'!$D1498</f>
        <v>ICAÃ‘O</v>
      </c>
      <c r="H1500" s="7" t="str">
        <f>+'[1]BASE RED COMERCIAL'!$B1498</f>
        <v>SANTIAGO DEL ESTERO</v>
      </c>
      <c r="I1500" s="8" t="str">
        <f>+'[1]BASE RED COMERCIAL'!$C1498</f>
        <v>AVELLANEDA</v>
      </c>
    </row>
    <row r="1501" spans="1:9" s="10" customFormat="1" x14ac:dyDescent="0.25">
      <c r="A1501" s="14" t="str">
        <f>+'[1]BASE RED COMERCIAL'!$A1499</f>
        <v>G0034</v>
      </c>
      <c r="B1501" s="8" t="str">
        <f>+'[1]BASE RED COMERCIAL'!$H1499</f>
        <v>LA BANDA</v>
      </c>
      <c r="C1501" s="7" t="s">
        <v>33</v>
      </c>
      <c r="D1501" s="9" t="str">
        <f>+'[1]BASE RED COMERCIAL'!$E1499</f>
        <v>AV MANUEL BELGRANO</v>
      </c>
      <c r="E1501" s="7">
        <f>+'[1]BASE RED COMERCIAL'!$F1499</f>
        <v>261</v>
      </c>
      <c r="F1501" s="14" t="str">
        <f>+'[1]BASE RED COMERCIAL'!$I1499</f>
        <v>G4300ZAA</v>
      </c>
      <c r="G1501" s="7" t="str">
        <f>+'[1]BASE RED COMERCIAL'!$D1499</f>
        <v>LA BANDA</v>
      </c>
      <c r="H1501" s="7" t="str">
        <f>+'[1]BASE RED COMERCIAL'!$B1499</f>
        <v>SANTIAGO DEL ESTERO</v>
      </c>
      <c r="I1501" s="8" t="str">
        <f>+'[1]BASE RED COMERCIAL'!$C1499</f>
        <v>BANDA</v>
      </c>
    </row>
    <row r="1502" spans="1:9" s="10" customFormat="1" x14ac:dyDescent="0.25">
      <c r="A1502" s="14" t="str">
        <f>+'[1]BASE RED COMERCIAL'!$A1500</f>
        <v>G0036</v>
      </c>
      <c r="B1502" s="8" t="str">
        <f>+'[1]BASE RED COMERCIAL'!$H1500</f>
        <v>LAPRIDA</v>
      </c>
      <c r="C1502" s="7" t="s">
        <v>33</v>
      </c>
      <c r="D1502" s="9" t="str">
        <f>+'[1]BASE RED COMERCIAL'!$E1500</f>
        <v>CALLE 1</v>
      </c>
      <c r="E1502" s="7">
        <f>+'[1]BASE RED COMERCIAL'!$F1500</f>
        <v>1</v>
      </c>
      <c r="F1502" s="14" t="str">
        <f>+'[1]BASE RED COMERCIAL'!$I1500</f>
        <v>G4205ZAA</v>
      </c>
      <c r="G1502" s="7" t="str">
        <f>+'[1]BASE RED COMERCIAL'!$D1500</f>
        <v>LAPRIDA</v>
      </c>
      <c r="H1502" s="7" t="str">
        <f>+'[1]BASE RED COMERCIAL'!$B1500</f>
        <v>SANTIAGO DEL ESTERO</v>
      </c>
      <c r="I1502" s="8" t="str">
        <f>+'[1]BASE RED COMERCIAL'!$C1500</f>
        <v>CHOYA</v>
      </c>
    </row>
    <row r="1503" spans="1:9" s="10" customFormat="1" x14ac:dyDescent="0.25">
      <c r="A1503" s="14" t="str">
        <f>+'[1]BASE RED COMERCIAL'!$A1501</f>
        <v>G0038</v>
      </c>
      <c r="B1503" s="8" t="str">
        <f>+'[1]BASE RED COMERCIAL'!$H1501</f>
        <v>LORETO</v>
      </c>
      <c r="C1503" s="7" t="s">
        <v>33</v>
      </c>
      <c r="D1503" s="9" t="str">
        <f>+'[1]BASE RED COMERCIAL'!$E1501</f>
        <v>PTE J D PERON</v>
      </c>
      <c r="E1503" s="7">
        <f>+'[1]BASE RED COMERCIAL'!$F1501</f>
        <v>0</v>
      </c>
      <c r="F1503" s="14" t="str">
        <f>+'[1]BASE RED COMERCIAL'!$I1501</f>
        <v>G4208ZAA</v>
      </c>
      <c r="G1503" s="7" t="str">
        <f>+'[1]BASE RED COMERCIAL'!$D1501</f>
        <v>LORETO</v>
      </c>
      <c r="H1503" s="7" t="str">
        <f>+'[1]BASE RED COMERCIAL'!$B1501</f>
        <v>SANTIAGO DEL ESTERO</v>
      </c>
      <c r="I1503" s="8" t="str">
        <f>+'[1]BASE RED COMERCIAL'!$C1501</f>
        <v>LORETO</v>
      </c>
    </row>
    <row r="1504" spans="1:9" s="10" customFormat="1" x14ac:dyDescent="0.25">
      <c r="A1504" s="14" t="str">
        <f>+'[1]BASE RED COMERCIAL'!$A1502</f>
        <v>G0040</v>
      </c>
      <c r="B1504" s="8" t="str">
        <f>+'[1]BASE RED COMERCIAL'!$H1502</f>
        <v>LOS JURIES</v>
      </c>
      <c r="C1504" s="7" t="s">
        <v>33</v>
      </c>
      <c r="D1504" s="9" t="str">
        <f>+'[1]BASE RED COMERCIAL'!$E1502</f>
        <v>SARMIENTO S/N</v>
      </c>
      <c r="E1504" s="7">
        <f>+'[1]BASE RED COMERCIAL'!$F1502</f>
        <v>0</v>
      </c>
      <c r="F1504" s="14" t="str">
        <f>+'[1]BASE RED COMERCIAL'!$I1502</f>
        <v>G3763ZAA</v>
      </c>
      <c r="G1504" s="7" t="str">
        <f>+'[1]BASE RED COMERCIAL'!$D1502</f>
        <v>LOS JURIES</v>
      </c>
      <c r="H1504" s="7" t="str">
        <f>+'[1]BASE RED COMERCIAL'!$B1502</f>
        <v>SANTIAGO DEL ESTERO</v>
      </c>
      <c r="I1504" s="8" t="str">
        <f>+'[1]BASE RED COMERCIAL'!$C1502</f>
        <v>TABOADA</v>
      </c>
    </row>
    <row r="1505" spans="1:9" s="10" customFormat="1" x14ac:dyDescent="0.25">
      <c r="A1505" s="14" t="str">
        <f>+'[1]BASE RED COMERCIAL'!$A1503</f>
        <v>G0042</v>
      </c>
      <c r="B1505" s="8" t="str">
        <f>+'[1]BASE RED COMERCIAL'!$H1503</f>
        <v>LOS TELARES</v>
      </c>
      <c r="C1505" s="7" t="s">
        <v>33</v>
      </c>
      <c r="D1505" s="9" t="str">
        <f>+'[1]BASE RED COMERCIAL'!$E1503</f>
        <v>AV 24 DE SEPTIEMBRE</v>
      </c>
      <c r="E1505" s="7">
        <f>+'[1]BASE RED COMERCIAL'!$F1503</f>
        <v>0</v>
      </c>
      <c r="F1505" s="14" t="str">
        <f>+'[1]BASE RED COMERCIAL'!$I1503</f>
        <v>G4321ZAA</v>
      </c>
      <c r="G1505" s="7" t="str">
        <f>+'[1]BASE RED COMERCIAL'!$D1503</f>
        <v>LOS TELARES</v>
      </c>
      <c r="H1505" s="7" t="str">
        <f>+'[1]BASE RED COMERCIAL'!$B1503</f>
        <v>SANTIAGO DEL ESTERO</v>
      </c>
      <c r="I1505" s="8" t="str">
        <f>+'[1]BASE RED COMERCIAL'!$C1503</f>
        <v>SALAVINA</v>
      </c>
    </row>
    <row r="1506" spans="1:9" s="10" customFormat="1" x14ac:dyDescent="0.25">
      <c r="A1506" s="14" t="str">
        <f>+'[1]BASE RED COMERCIAL'!$A1504</f>
        <v>G0044</v>
      </c>
      <c r="B1506" s="8" t="str">
        <f>+'[1]BASE RED COMERCIAL'!$H1504</f>
        <v>MONTE QUEMADO</v>
      </c>
      <c r="C1506" s="7" t="s">
        <v>33</v>
      </c>
      <c r="D1506" s="9" t="str">
        <f>+'[1]BASE RED COMERCIAL'!$E1504</f>
        <v>CABILDO</v>
      </c>
      <c r="E1506" s="7">
        <f>+'[1]BASE RED COMERCIAL'!$F1504</f>
        <v>1</v>
      </c>
      <c r="F1506" s="14" t="str">
        <f>+'[1]BASE RED COMERCIAL'!$I1504</f>
        <v>G3714ZAA</v>
      </c>
      <c r="G1506" s="7" t="str">
        <f>+'[1]BASE RED COMERCIAL'!$D1504</f>
        <v>MONTE QUEMADO</v>
      </c>
      <c r="H1506" s="7" t="str">
        <f>+'[1]BASE RED COMERCIAL'!$B1504</f>
        <v>SANTIAGO DEL ESTERO</v>
      </c>
      <c r="I1506" s="8" t="str">
        <f>+'[1]BASE RED COMERCIAL'!$C1504</f>
        <v>COPO</v>
      </c>
    </row>
    <row r="1507" spans="1:9" s="10" customFormat="1" x14ac:dyDescent="0.25">
      <c r="A1507" s="14" t="str">
        <f>+'[1]BASE RED COMERCIAL'!$A1505</f>
        <v>G0046</v>
      </c>
      <c r="B1507" s="8" t="str">
        <f>+'[1]BASE RED COMERCIAL'!$H1505</f>
        <v>NUEVA ESPERANZA</v>
      </c>
      <c r="C1507" s="7" t="s">
        <v>33</v>
      </c>
      <c r="D1507" s="9" t="str">
        <f>+'[1]BASE RED COMERCIAL'!$E1505</f>
        <v>FRANCISCO DE URIARTE</v>
      </c>
      <c r="E1507" s="7">
        <f>+'[1]BASE RED COMERCIAL'!$F1505</f>
        <v>1</v>
      </c>
      <c r="F1507" s="14" t="str">
        <f>+'[1]BASE RED COMERCIAL'!$I1505</f>
        <v>G4197ZAA</v>
      </c>
      <c r="G1507" s="7" t="str">
        <f>+'[1]BASE RED COMERCIAL'!$D1505</f>
        <v>NUEVA ESPERANZA</v>
      </c>
      <c r="H1507" s="7" t="str">
        <f>+'[1]BASE RED COMERCIAL'!$B1505</f>
        <v>SANTIAGO DEL ESTERO</v>
      </c>
      <c r="I1507" s="8" t="str">
        <f>+'[1]BASE RED COMERCIAL'!$C1505</f>
        <v>PELLEGRINI</v>
      </c>
    </row>
    <row r="1508" spans="1:9" s="10" customFormat="1" x14ac:dyDescent="0.25">
      <c r="A1508" s="14" t="str">
        <f>+'[1]BASE RED COMERCIAL'!$A1506</f>
        <v>G0048</v>
      </c>
      <c r="B1508" s="8" t="str">
        <f>+'[1]BASE RED COMERCIAL'!$H1506</f>
        <v>OJO DE AGUA</v>
      </c>
      <c r="C1508" s="7" t="s">
        <v>33</v>
      </c>
      <c r="D1508" s="9" t="str">
        <f>+'[1]BASE RED COMERCIAL'!$E1506</f>
        <v>BELGRANO S/N</v>
      </c>
      <c r="E1508" s="7">
        <f>+'[1]BASE RED COMERCIAL'!$F1506</f>
        <v>0</v>
      </c>
      <c r="F1508" s="14" t="str">
        <f>+'[1]BASE RED COMERCIAL'!$I1506</f>
        <v>G5255ZAA</v>
      </c>
      <c r="G1508" s="7" t="str">
        <f>+'[1]BASE RED COMERCIAL'!$D1506</f>
        <v>OJO DE AGUA</v>
      </c>
      <c r="H1508" s="7" t="str">
        <f>+'[1]BASE RED COMERCIAL'!$B1506</f>
        <v>SANTIAGO DEL ESTERO</v>
      </c>
      <c r="I1508" s="8" t="str">
        <f>+'[1]BASE RED COMERCIAL'!$C1506</f>
        <v>OJO DE AGUA</v>
      </c>
    </row>
    <row r="1509" spans="1:9" s="10" customFormat="1" x14ac:dyDescent="0.25">
      <c r="A1509" s="14" t="str">
        <f>+'[1]BASE RED COMERCIAL'!$A1507</f>
        <v>G0050</v>
      </c>
      <c r="B1509" s="8" t="str">
        <f>+'[1]BASE RED COMERCIAL'!$H1507</f>
        <v>PAMPA DE LOS GUANACOS</v>
      </c>
      <c r="C1509" s="7" t="s">
        <v>33</v>
      </c>
      <c r="D1509" s="9" t="str">
        <f>+'[1]BASE RED COMERCIAL'!$E1507</f>
        <v>SANTIAGO DEL ESTERO</v>
      </c>
      <c r="E1509" s="7">
        <f>+'[1]BASE RED COMERCIAL'!$F1507</f>
        <v>350</v>
      </c>
      <c r="F1509" s="14" t="str">
        <f>+'[1]BASE RED COMERCIAL'!$I1507</f>
        <v>G3712ZAA</v>
      </c>
      <c r="G1509" s="7" t="str">
        <f>+'[1]BASE RED COMERCIAL'!$D1507</f>
        <v>PAMPA DE LOS GUANACOS</v>
      </c>
      <c r="H1509" s="7" t="str">
        <f>+'[1]BASE RED COMERCIAL'!$B1507</f>
        <v>SANTIAGO DEL ESTERO</v>
      </c>
      <c r="I1509" s="8" t="str">
        <f>+'[1]BASE RED COMERCIAL'!$C1507</f>
        <v>COPO</v>
      </c>
    </row>
    <row r="1510" spans="1:9" s="10" customFormat="1" x14ac:dyDescent="0.25">
      <c r="A1510" s="14" t="str">
        <f>+'[1]BASE RED COMERCIAL'!$A1508</f>
        <v>G0052</v>
      </c>
      <c r="B1510" s="8" t="str">
        <f>+'[1]BASE RED COMERCIAL'!$H1508</f>
        <v>PINTO</v>
      </c>
      <c r="C1510" s="7" t="s">
        <v>33</v>
      </c>
      <c r="D1510" s="9" t="str">
        <f>+'[1]BASE RED COMERCIAL'!$E1508</f>
        <v>DR MANUEL BELGRANO</v>
      </c>
      <c r="E1510" s="7">
        <f>+'[1]BASE RED COMERCIAL'!$F1508</f>
        <v>99</v>
      </c>
      <c r="F1510" s="14" t="str">
        <f>+'[1]BASE RED COMERCIAL'!$I1508</f>
        <v>G2356ZAA</v>
      </c>
      <c r="G1510" s="7" t="str">
        <f>+'[1]BASE RED COMERCIAL'!$D1508</f>
        <v>PINTO  VILLA GENERAL MITRE</v>
      </c>
      <c r="H1510" s="7" t="str">
        <f>+'[1]BASE RED COMERCIAL'!$B1508</f>
        <v>SANTIAGO DEL ESTERO</v>
      </c>
      <c r="I1510" s="8" t="str">
        <f>+'[1]BASE RED COMERCIAL'!$C1508</f>
        <v>AGUIRRE</v>
      </c>
    </row>
    <row r="1511" spans="1:9" s="10" customFormat="1" x14ac:dyDescent="0.25">
      <c r="A1511" s="14" t="str">
        <f>+'[1]BASE RED COMERCIAL'!$A1509</f>
        <v>G0054</v>
      </c>
      <c r="B1511" s="8" t="str">
        <f>+'[1]BASE RED COMERCIAL'!$H1509</f>
        <v>POZO HONDO</v>
      </c>
      <c r="C1511" s="7" t="s">
        <v>33</v>
      </c>
      <c r="D1511" s="9" t="str">
        <f>+'[1]BASE RED COMERCIAL'!$E1509</f>
        <v>AV 24 DE SEPTIEMBRE</v>
      </c>
      <c r="E1511" s="7">
        <f>+'[1]BASE RED COMERCIAL'!$F1509</f>
        <v>100</v>
      </c>
      <c r="F1511" s="14" t="str">
        <f>+'[1]BASE RED COMERCIAL'!$I1509</f>
        <v>G4184ZAA</v>
      </c>
      <c r="G1511" s="7" t="str">
        <f>+'[1]BASE RED COMERCIAL'!$D1509</f>
        <v>POZO HONDO</v>
      </c>
      <c r="H1511" s="7" t="str">
        <f>+'[1]BASE RED COMERCIAL'!$B1509</f>
        <v>SANTIAGO DEL ESTERO</v>
      </c>
      <c r="I1511" s="8" t="str">
        <f>+'[1]BASE RED COMERCIAL'!$C1509</f>
        <v>JIMENEZ</v>
      </c>
    </row>
    <row r="1512" spans="1:9" s="10" customFormat="1" x14ac:dyDescent="0.25">
      <c r="A1512" s="14" t="str">
        <f>+'[1]BASE RED COMERCIAL'!$A1510</f>
        <v>G0056</v>
      </c>
      <c r="B1512" s="8" t="str">
        <f>+'[1]BASE RED COMERCIAL'!$H1510</f>
        <v>QUIMILÃ</v>
      </c>
      <c r="C1512" s="7" t="s">
        <v>33</v>
      </c>
      <c r="D1512" s="9" t="str">
        <f>+'[1]BASE RED COMERCIAL'!$E1510</f>
        <v>25 DE MAYO</v>
      </c>
      <c r="E1512" s="7">
        <f>+'[1]BASE RED COMERCIAL'!$F1510</f>
        <v>1</v>
      </c>
      <c r="F1512" s="14" t="str">
        <f>+'[1]BASE RED COMERCIAL'!$I1510</f>
        <v>G3740ZAA</v>
      </c>
      <c r="G1512" s="7" t="str">
        <f>+'[1]BASE RED COMERCIAL'!$D1510</f>
        <v>QUIMILI</v>
      </c>
      <c r="H1512" s="7" t="str">
        <f>+'[1]BASE RED COMERCIAL'!$B1510</f>
        <v>SANTIAGO DEL ESTERO</v>
      </c>
      <c r="I1512" s="8" t="str">
        <f>+'[1]BASE RED COMERCIAL'!$C1510</f>
        <v>MORENO</v>
      </c>
    </row>
    <row r="1513" spans="1:9" s="10" customFormat="1" x14ac:dyDescent="0.25">
      <c r="A1513" s="14" t="str">
        <f>+'[1]BASE RED COMERCIAL'!$A1511</f>
        <v>G0058</v>
      </c>
      <c r="B1513" s="8" t="str">
        <f>+'[1]BASE RED COMERCIAL'!$H1511</f>
        <v>SAN PEDRO</v>
      </c>
      <c r="C1513" s="7" t="s">
        <v>33</v>
      </c>
      <c r="D1513" s="9" t="str">
        <f>+'[1]BASE RED COMERCIAL'!$E1511</f>
        <v>9 DE JULIO S/N</v>
      </c>
      <c r="E1513" s="7">
        <f>+'[1]BASE RED COMERCIAL'!$F1511</f>
        <v>0</v>
      </c>
      <c r="F1513" s="14" t="str">
        <f>+'[1]BASE RED COMERCIAL'!$I1511</f>
        <v>G4238ZAA</v>
      </c>
      <c r="G1513" s="7" t="str">
        <f>+'[1]BASE RED COMERCIAL'!$D1511</f>
        <v>SAN PEDRO</v>
      </c>
      <c r="H1513" s="7" t="str">
        <f>+'[1]BASE RED COMERCIAL'!$B1511</f>
        <v>SANTIAGO DEL ESTERO</v>
      </c>
      <c r="I1513" s="8" t="str">
        <f>+'[1]BASE RED COMERCIAL'!$C1511</f>
        <v>AVELLANEDA</v>
      </c>
    </row>
    <row r="1514" spans="1:9" s="10" customFormat="1" x14ac:dyDescent="0.25">
      <c r="A1514" s="14" t="str">
        <f>+'[1]BASE RED COMERCIAL'!$A1512</f>
        <v>G0064</v>
      </c>
      <c r="B1514" s="8" t="str">
        <f>+'[1]BASE RED COMERCIAL'!$H1512</f>
        <v>SELVA</v>
      </c>
      <c r="C1514" s="7" t="s">
        <v>33</v>
      </c>
      <c r="D1514" s="9" t="str">
        <f>+'[1]BASE RED COMERCIAL'!$E1512</f>
        <v>27 DE ABRIL</v>
      </c>
      <c r="E1514" s="7">
        <f>+'[1]BASE RED COMERCIAL'!$F1512</f>
        <v>105</v>
      </c>
      <c r="F1514" s="14" t="str">
        <f>+'[1]BASE RED COMERCIAL'!$I1512</f>
        <v>G2354ZAA</v>
      </c>
      <c r="G1514" s="7" t="str">
        <f>+'[1]BASE RED COMERCIAL'!$D1512</f>
        <v>SELVA</v>
      </c>
      <c r="H1514" s="7" t="str">
        <f>+'[1]BASE RED COMERCIAL'!$B1512</f>
        <v>SANTIAGO DEL ESTERO</v>
      </c>
      <c r="I1514" s="8" t="str">
        <f>+'[1]BASE RED COMERCIAL'!$C1512</f>
        <v>RIVADAVIA</v>
      </c>
    </row>
    <row r="1515" spans="1:9" s="10" customFormat="1" x14ac:dyDescent="0.25">
      <c r="A1515" s="14" t="str">
        <f>+'[1]BASE RED COMERCIAL'!$A1513</f>
        <v>G0066</v>
      </c>
      <c r="B1515" s="8" t="str">
        <f>+'[1]BASE RED COMERCIAL'!$H1513</f>
        <v>SOL DE JULIO</v>
      </c>
      <c r="C1515" s="7" t="s">
        <v>33</v>
      </c>
      <c r="D1515" s="9" t="str">
        <f>+'[1]BASE RED COMERCIAL'!$E1513</f>
        <v>SAN MARTIN S/N   29 PARCELA 10</v>
      </c>
      <c r="E1515" s="7">
        <f>+'[1]BASE RED COMERCIAL'!$F1513</f>
        <v>0</v>
      </c>
      <c r="F1515" s="14" t="str">
        <f>+'[1]BASE RED COMERCIAL'!$I1513</f>
        <v>G5255ZAB</v>
      </c>
      <c r="G1515" s="7" t="str">
        <f>+'[1]BASE RED COMERCIAL'!$D1513</f>
        <v>SOL DE JULIO</v>
      </c>
      <c r="H1515" s="7" t="str">
        <f>+'[1]BASE RED COMERCIAL'!$B1513</f>
        <v>SANTIAGO DEL ESTERO</v>
      </c>
      <c r="I1515" s="8" t="str">
        <f>+'[1]BASE RED COMERCIAL'!$C1513</f>
        <v>OJO DE AGUA</v>
      </c>
    </row>
    <row r="1516" spans="1:9" s="10" customFormat="1" x14ac:dyDescent="0.25">
      <c r="A1516" s="14" t="str">
        <f>+'[1]BASE RED COMERCIAL'!$A1514</f>
        <v>G0068</v>
      </c>
      <c r="B1516" s="8" t="str">
        <f>+'[1]BASE RED COMERCIAL'!$H1514</f>
        <v>SUMAMPA</v>
      </c>
      <c r="C1516" s="7" t="s">
        <v>33</v>
      </c>
      <c r="D1516" s="9" t="str">
        <f>+'[1]BASE RED COMERCIAL'!$E1514</f>
        <v>AV EVA PERON</v>
      </c>
      <c r="E1516" s="7">
        <f>+'[1]BASE RED COMERCIAL'!$F1514</f>
        <v>164</v>
      </c>
      <c r="F1516" s="14" t="str">
        <f>+'[1]BASE RED COMERCIAL'!$I1514</f>
        <v>G5253ZAA</v>
      </c>
      <c r="G1516" s="7" t="str">
        <f>+'[1]BASE RED COMERCIAL'!$D1514</f>
        <v>SUMAMPA</v>
      </c>
      <c r="H1516" s="7" t="str">
        <f>+'[1]BASE RED COMERCIAL'!$B1514</f>
        <v>SANTIAGO DEL ESTERO</v>
      </c>
      <c r="I1516" s="8" t="str">
        <f>+'[1]BASE RED COMERCIAL'!$C1514</f>
        <v>QUEBRACHOS</v>
      </c>
    </row>
    <row r="1517" spans="1:9" s="10" customFormat="1" x14ac:dyDescent="0.25">
      <c r="A1517" s="14" t="str">
        <f>+'[1]BASE RED COMERCIAL'!$A1515</f>
        <v>G0070</v>
      </c>
      <c r="B1517" s="8" t="str">
        <f>+'[1]BASE RED COMERCIAL'!$H1515</f>
        <v>SUNCHO CORRAL</v>
      </c>
      <c r="C1517" s="7" t="s">
        <v>33</v>
      </c>
      <c r="D1517" s="9" t="str">
        <f>+'[1]BASE RED COMERCIAL'!$E1515</f>
        <v>BME MITRE</v>
      </c>
      <c r="E1517" s="7">
        <f>+'[1]BASE RED COMERCIAL'!$F1515</f>
        <v>0</v>
      </c>
      <c r="F1517" s="14" t="str">
        <f>+'[1]BASE RED COMERCIAL'!$I1515</f>
        <v>G4350ZAA</v>
      </c>
      <c r="G1517" s="7" t="str">
        <f>+'[1]BASE RED COMERCIAL'!$D1515</f>
        <v>SUNCHO CORRAL</v>
      </c>
      <c r="H1517" s="7" t="str">
        <f>+'[1]BASE RED COMERCIAL'!$B1515</f>
        <v>SANTIAGO DEL ESTERO</v>
      </c>
      <c r="I1517" s="8" t="str">
        <f>+'[1]BASE RED COMERCIAL'!$C1515</f>
        <v>JUAN F IBARRA</v>
      </c>
    </row>
    <row r="1518" spans="1:9" s="10" customFormat="1" x14ac:dyDescent="0.25">
      <c r="A1518" s="14" t="str">
        <f>+'[1]BASE RED COMERCIAL'!$A1516</f>
        <v>G0074</v>
      </c>
      <c r="B1518" s="8" t="str">
        <f>+'[1]BASE RED COMERCIAL'!$H1516</f>
        <v>TERMAS DE RIO HONDO</v>
      </c>
      <c r="C1518" s="7" t="s">
        <v>33</v>
      </c>
      <c r="D1518" s="9" t="str">
        <f>+'[1]BASE RED COMERCIAL'!$E1516</f>
        <v>AV JUAN B ALBERDI</v>
      </c>
      <c r="E1518" s="7">
        <f>+'[1]BASE RED COMERCIAL'!$F1516</f>
        <v>766</v>
      </c>
      <c r="F1518" s="14" t="str">
        <f>+'[1]BASE RED COMERCIAL'!$I1516</f>
        <v>G4220ZAA</v>
      </c>
      <c r="G1518" s="7" t="str">
        <f>+'[1]BASE RED COMERCIAL'!$D1516</f>
        <v>TERMAS DE RIO HONDO</v>
      </c>
      <c r="H1518" s="7" t="str">
        <f>+'[1]BASE RED COMERCIAL'!$B1516</f>
        <v>SANTIAGO DEL ESTERO</v>
      </c>
      <c r="I1518" s="8" t="str">
        <f>+'[1]BASE RED COMERCIAL'!$C1516</f>
        <v>RIO HONDO</v>
      </c>
    </row>
    <row r="1519" spans="1:9" s="10" customFormat="1" x14ac:dyDescent="0.25">
      <c r="A1519" s="14" t="str">
        <f>+'[1]BASE RED COMERCIAL'!$A1517</f>
        <v>G0076</v>
      </c>
      <c r="B1519" s="8" t="str">
        <f>+'[1]BASE RED COMERCIAL'!$H1517</f>
        <v>TINTINA</v>
      </c>
      <c r="C1519" s="7" t="s">
        <v>33</v>
      </c>
      <c r="D1519" s="9" t="str">
        <f>+'[1]BASE RED COMERCIAL'!$E1517</f>
        <v>GRAL J J DE URQUIZA</v>
      </c>
      <c r="E1519" s="7">
        <f>+'[1]BASE RED COMERCIAL'!$F1517</f>
        <v>1</v>
      </c>
      <c r="F1519" s="14" t="str">
        <f>+'[1]BASE RED COMERCIAL'!$I1517</f>
        <v>G3743ZAA</v>
      </c>
      <c r="G1519" s="7" t="str">
        <f>+'[1]BASE RED COMERCIAL'!$D1517</f>
        <v>TINTINA</v>
      </c>
      <c r="H1519" s="7" t="str">
        <f>+'[1]BASE RED COMERCIAL'!$B1517</f>
        <v>SANTIAGO DEL ESTERO</v>
      </c>
      <c r="I1519" s="8" t="str">
        <f>+'[1]BASE RED COMERCIAL'!$C1517</f>
        <v>MORENO</v>
      </c>
    </row>
    <row r="1520" spans="1:9" s="10" customFormat="1" x14ac:dyDescent="0.25">
      <c r="A1520" s="14" t="str">
        <f>+'[1]BASE RED COMERCIAL'!$A1518</f>
        <v>G0078</v>
      </c>
      <c r="B1520" s="8" t="str">
        <f>+'[1]BASE RED COMERCIAL'!$H1518</f>
        <v>VILLA ATAMISQUI</v>
      </c>
      <c r="C1520" s="7" t="s">
        <v>33</v>
      </c>
      <c r="D1520" s="9" t="str">
        <f>+'[1]BASE RED COMERCIAL'!$E1518</f>
        <v>AV 25 DE MAYO</v>
      </c>
      <c r="E1520" s="7">
        <f>+'[1]BASE RED COMERCIAL'!$F1518</f>
        <v>0</v>
      </c>
      <c r="F1520" s="14" t="str">
        <f>+'[1]BASE RED COMERCIAL'!$I1518</f>
        <v>G4317ZAA</v>
      </c>
      <c r="G1520" s="7" t="str">
        <f>+'[1]BASE RED COMERCIAL'!$D1518</f>
        <v>VILLA ATAMISQUI</v>
      </c>
      <c r="H1520" s="7" t="str">
        <f>+'[1]BASE RED COMERCIAL'!$B1518</f>
        <v>SANTIAGO DEL ESTERO</v>
      </c>
      <c r="I1520" s="8" t="str">
        <f>+'[1]BASE RED COMERCIAL'!$C1518</f>
        <v>ATAMISQUI</v>
      </c>
    </row>
    <row r="1521" spans="1:9" s="10" customFormat="1" x14ac:dyDescent="0.25">
      <c r="A1521" s="14" t="str">
        <f>+'[1]BASE RED COMERCIAL'!$A1519</f>
        <v>G0082</v>
      </c>
      <c r="B1521" s="8" t="str">
        <f>+'[1]BASE RED COMERCIAL'!$H1519</f>
        <v>VINARÃ</v>
      </c>
      <c r="C1521" s="7" t="s">
        <v>33</v>
      </c>
      <c r="D1521" s="9" t="str">
        <f>+'[1]BASE RED COMERCIAL'!$E1519</f>
        <v>CALLE PUBLICA</v>
      </c>
      <c r="E1521" s="7">
        <f>+'[1]BASE RED COMERCIAL'!$F1519</f>
        <v>0</v>
      </c>
      <c r="F1521" s="14" t="str">
        <f>+'[1]BASE RED COMERCIAL'!$I1519</f>
        <v>G4223ZAA</v>
      </c>
      <c r="G1521" s="7" t="str">
        <f>+'[1]BASE RED COMERCIAL'!$D1519</f>
        <v>VINARA</v>
      </c>
      <c r="H1521" s="7" t="str">
        <f>+'[1]BASE RED COMERCIAL'!$B1519</f>
        <v>SANTIAGO DEL ESTERO</v>
      </c>
      <c r="I1521" s="8" t="str">
        <f>+'[1]BASE RED COMERCIAL'!$C1519</f>
        <v>RIO HONDO</v>
      </c>
    </row>
    <row r="1522" spans="1:9" s="10" customFormat="1" x14ac:dyDescent="0.25">
      <c r="A1522" s="14" t="str">
        <f>+'[1]BASE RED COMERCIAL'!$A1520</f>
        <v>G1038</v>
      </c>
      <c r="B1522" s="8" t="str">
        <f>+'[1]BASE RED COMERCIAL'!$H1520</f>
        <v>BANDERA BAJADA</v>
      </c>
      <c r="C1522" s="7" t="s">
        <v>33</v>
      </c>
      <c r="D1522" s="9" t="str">
        <f>+'[1]BASE RED COMERCIAL'!$E1520</f>
        <v>CALLE PUBLICA</v>
      </c>
      <c r="E1522" s="7">
        <f>+'[1]BASE RED COMERCIAL'!$F1520</f>
        <v>0</v>
      </c>
      <c r="F1522" s="14" t="str">
        <f>+'[1]BASE RED COMERCIAL'!$I1520</f>
        <v>G4301ZAA</v>
      </c>
      <c r="G1522" s="7" t="str">
        <f>+'[1]BASE RED COMERCIAL'!$D1520</f>
        <v>BANDERA BAJADA</v>
      </c>
      <c r="H1522" s="7" t="str">
        <f>+'[1]BASE RED COMERCIAL'!$B1520</f>
        <v>SANTIAGO DEL ESTERO</v>
      </c>
      <c r="I1522" s="8" t="str">
        <f>+'[1]BASE RED COMERCIAL'!$C1520</f>
        <v>FIGUEROA</v>
      </c>
    </row>
    <row r="1523" spans="1:9" s="10" customFormat="1" x14ac:dyDescent="0.25">
      <c r="A1523" s="14" t="str">
        <f>+'[1]BASE RED COMERCIAL'!$A1521</f>
        <v>G1040</v>
      </c>
      <c r="B1523" s="8" t="str">
        <f>+'[1]BASE RED COMERCIAL'!$H1521</f>
        <v>BARRANCA COLORADA</v>
      </c>
      <c r="C1523" s="7" t="s">
        <v>33</v>
      </c>
      <c r="D1523" s="9" t="str">
        <f>+'[1]BASE RED COMERCIAL'!$E1521</f>
        <v>CALLE PUBLICA</v>
      </c>
      <c r="E1523" s="7">
        <f>+'[1]BASE RED COMERCIAL'!$F1521</f>
        <v>0</v>
      </c>
      <c r="F1523" s="14" t="str">
        <f>+'[1]BASE RED COMERCIAL'!$I1521</f>
        <v>G4313ZAB</v>
      </c>
      <c r="G1523" s="7" t="str">
        <f>+'[1]BASE RED COMERCIAL'!$D1521</f>
        <v>BARRANCA COLORADA</v>
      </c>
      <c r="H1523" s="7" t="str">
        <f>+'[1]BASE RED COMERCIAL'!$B1521</f>
        <v>SANTIAGO DEL ESTERO</v>
      </c>
      <c r="I1523" s="8" t="str">
        <f>+'[1]BASE RED COMERCIAL'!$C1521</f>
        <v>SAN MARTIN</v>
      </c>
    </row>
    <row r="1524" spans="1:9" s="10" customFormat="1" x14ac:dyDescent="0.25">
      <c r="A1524" s="14" t="str">
        <f>+'[1]BASE RED COMERCIAL'!$A1522</f>
        <v>G1138</v>
      </c>
      <c r="B1524" s="8" t="str">
        <f>+'[1]BASE RED COMERCIAL'!$H1522</f>
        <v>LA COSTOSA</v>
      </c>
      <c r="C1524" s="7" t="s">
        <v>33</v>
      </c>
      <c r="D1524" s="9" t="str">
        <f>+'[1]BASE RED COMERCIAL'!$E1522</f>
        <v>CALLE PUBLICA</v>
      </c>
      <c r="E1524" s="7">
        <f>+'[1]BASE RED COMERCIAL'!$F1522</f>
        <v>0</v>
      </c>
      <c r="F1524" s="14" t="str">
        <f>+'[1]BASE RED COMERCIAL'!$I1522</f>
        <v>G4187ZAB</v>
      </c>
      <c r="G1524" s="7" t="str">
        <f>+'[1]BASE RED COMERCIAL'!$D1522</f>
        <v>LA COSTOSA</v>
      </c>
      <c r="H1524" s="7" t="str">
        <f>+'[1]BASE RED COMERCIAL'!$B1522</f>
        <v>SANTIAGO DEL ESTERO</v>
      </c>
      <c r="I1524" s="8" t="str">
        <f>+'[1]BASE RED COMERCIAL'!$C1522</f>
        <v>JIMENEZ</v>
      </c>
    </row>
    <row r="1525" spans="1:9" s="10" customFormat="1" x14ac:dyDescent="0.25">
      <c r="A1525" s="14" t="str">
        <f>+'[1]BASE RED COMERCIAL'!$A1523</f>
        <v>G1158</v>
      </c>
      <c r="B1525" s="8" t="str">
        <f>+'[1]BASE RED COMERCIAL'!$H1523</f>
        <v>LAS LOMAS</v>
      </c>
      <c r="C1525" s="7" t="s">
        <v>33</v>
      </c>
      <c r="D1525" s="9" t="str">
        <f>+'[1]BASE RED COMERCIAL'!$E1523</f>
        <v>CALLE PUBLICA</v>
      </c>
      <c r="E1525" s="7">
        <f>+'[1]BASE RED COMERCIAL'!$F1523</f>
        <v>0</v>
      </c>
      <c r="F1525" s="14" t="str">
        <f>+'[1]BASE RED COMERCIAL'!$I1523</f>
        <v>G4189ZAA</v>
      </c>
      <c r="G1525" s="7" t="str">
        <f>+'[1]BASE RED COMERCIAL'!$D1523</f>
        <v>LAS LOMAS</v>
      </c>
      <c r="H1525" s="7" t="str">
        <f>+'[1]BASE RED COMERCIAL'!$B1523</f>
        <v>SANTIAGO DEL ESTERO</v>
      </c>
      <c r="I1525" s="8" t="str">
        <f>+'[1]BASE RED COMERCIAL'!$C1523</f>
        <v>PELLEGRINI</v>
      </c>
    </row>
    <row r="1526" spans="1:9" s="10" customFormat="1" x14ac:dyDescent="0.25">
      <c r="A1526" s="14" t="str">
        <f>+'[1]BASE RED COMERCIAL'!$A1524</f>
        <v>G1274</v>
      </c>
      <c r="B1526" s="8" t="str">
        <f>+'[1]BASE RED COMERCIAL'!$H1524</f>
        <v>SANTOS LUGARES</v>
      </c>
      <c r="C1526" s="7" t="s">
        <v>33</v>
      </c>
      <c r="D1526" s="9" t="str">
        <f>+'[1]BASE RED COMERCIAL'!$E1524</f>
        <v>CALLE PUBLICA</v>
      </c>
      <c r="E1526" s="7">
        <f>+'[1]BASE RED COMERCIAL'!$F1524</f>
        <v>0</v>
      </c>
      <c r="F1526" s="14" t="str">
        <f>+'[1]BASE RED COMERCIAL'!$I1524</f>
        <v>G4300ZAB</v>
      </c>
      <c r="G1526" s="7" t="str">
        <f>+'[1]BASE RED COMERCIAL'!$D1524</f>
        <v>SANTOS LUGARES</v>
      </c>
      <c r="H1526" s="7" t="str">
        <f>+'[1]BASE RED COMERCIAL'!$B1524</f>
        <v>SANTIAGO DEL ESTERO</v>
      </c>
      <c r="I1526" s="8" t="str">
        <f>+'[1]BASE RED COMERCIAL'!$C1524</f>
        <v>BANDA</v>
      </c>
    </row>
    <row r="1527" spans="1:9" s="10" customFormat="1" x14ac:dyDescent="0.25">
      <c r="A1527" s="14" t="str">
        <f>+'[1]BASE RED COMERCIAL'!$A1525</f>
        <v>G1336</v>
      </c>
      <c r="B1527" s="8" t="str">
        <f>+'[1]BASE RED COMERCIAL'!$H1525</f>
        <v>SALAVINA</v>
      </c>
      <c r="C1527" s="7" t="s">
        <v>33</v>
      </c>
      <c r="D1527" s="9" t="str">
        <f>+'[1]BASE RED COMERCIAL'!$E1525</f>
        <v>CALLE PUBLICA</v>
      </c>
      <c r="E1527" s="7">
        <f>+'[1]BASE RED COMERCIAL'!$F1525</f>
        <v>0</v>
      </c>
      <c r="F1527" s="14" t="str">
        <f>+'[1]BASE RED COMERCIAL'!$I1525</f>
        <v>G4319ZAB</v>
      </c>
      <c r="G1527" s="7" t="str">
        <f>+'[1]BASE RED COMERCIAL'!$D1525</f>
        <v>VILLA SALAVINA</v>
      </c>
      <c r="H1527" s="7" t="str">
        <f>+'[1]BASE RED COMERCIAL'!$B1525</f>
        <v>SANTIAGO DEL ESTERO</v>
      </c>
      <c r="I1527" s="8" t="str">
        <f>+'[1]BASE RED COMERCIAL'!$C1525</f>
        <v>SALAVINA</v>
      </c>
    </row>
    <row r="1528" spans="1:9" s="10" customFormat="1" x14ac:dyDescent="0.25">
      <c r="A1528" s="14" t="str">
        <f>+'[1]BASE RED COMERCIAL'!$A1526</f>
        <v>G3056</v>
      </c>
      <c r="B1528" s="8" t="str">
        <f>+'[1]BASE RED COMERCIAL'!$H1526</f>
        <v>TRIBUNALES</v>
      </c>
      <c r="C1528" s="7" t="s">
        <v>33</v>
      </c>
      <c r="D1528" s="9" t="str">
        <f>+'[1]BASE RED COMERCIAL'!$E1526</f>
        <v>ABSALON ROJAS</v>
      </c>
      <c r="E1528" s="7">
        <f>+'[1]BASE RED COMERCIAL'!$F1526</f>
        <v>545</v>
      </c>
      <c r="F1528" s="14" t="str">
        <f>+'[1]BASE RED COMERCIAL'!$I1526</f>
        <v>G4200ZAC</v>
      </c>
      <c r="G1528" s="7" t="str">
        <f>+'[1]BASE RED COMERCIAL'!$D1526</f>
        <v>SANTIAGO DEL ESTERO</v>
      </c>
      <c r="H1528" s="7" t="str">
        <f>+'[1]BASE RED COMERCIAL'!$B1526</f>
        <v>SANTIAGO DEL ESTERO</v>
      </c>
      <c r="I1528" s="8" t="str">
        <f>+'[1]BASE RED COMERCIAL'!$C1526</f>
        <v>CAPITAL</v>
      </c>
    </row>
    <row r="1529" spans="1:9" s="10" customFormat="1" x14ac:dyDescent="0.25">
      <c r="A1529" s="14" t="str">
        <f>+'[1]BASE RED COMERCIAL'!$A1527</f>
        <v>V0002</v>
      </c>
      <c r="B1529" s="8" t="str">
        <f>+'[1]BASE RED COMERCIAL'!$H1527</f>
        <v>RIO GRANDE</v>
      </c>
      <c r="C1529" s="7" t="s">
        <v>33</v>
      </c>
      <c r="D1529" s="9" t="str">
        <f>+'[1]BASE RED COMERCIAL'!$E1527</f>
        <v>B RIVADAVIA</v>
      </c>
      <c r="E1529" s="7">
        <f>+'[1]BASE RED COMERCIAL'!$F1527</f>
        <v>968</v>
      </c>
      <c r="F1529" s="14" t="str">
        <f>+'[1]BASE RED COMERCIAL'!$I1527</f>
        <v>V9420ZAA</v>
      </c>
      <c r="G1529" s="7" t="str">
        <f>+'[1]BASE RED COMERCIAL'!$D1527</f>
        <v>RIO GRANDE</v>
      </c>
      <c r="H1529" s="7" t="str">
        <f>+'[1]BASE RED COMERCIAL'!$B1527</f>
        <v>TIERRA DEL FUEGO</v>
      </c>
      <c r="I1529" s="8" t="str">
        <f>+'[1]BASE RED COMERCIAL'!$C1527</f>
        <v>RIO GRANDE</v>
      </c>
    </row>
    <row r="1530" spans="1:9" s="10" customFormat="1" x14ac:dyDescent="0.25">
      <c r="A1530" s="14" t="str">
        <f>+'[1]BASE RED COMERCIAL'!$A1528</f>
        <v>V0004</v>
      </c>
      <c r="B1530" s="8" t="str">
        <f>+'[1]BASE RED COMERCIAL'!$H1528</f>
        <v>USHUAIA</v>
      </c>
      <c r="C1530" s="7" t="s">
        <v>33</v>
      </c>
      <c r="D1530" s="9" t="str">
        <f>+'[1]BASE RED COMERCIAL'!$E1528</f>
        <v>AV GRAL SAN MARTIN</v>
      </c>
      <c r="E1530" s="7">
        <f>+'[1]BASE RED COMERCIAL'!$F1528</f>
        <v>309</v>
      </c>
      <c r="F1530" s="14" t="str">
        <f>+'[1]BASE RED COMERCIAL'!$I1528</f>
        <v>V9410ZAA</v>
      </c>
      <c r="G1530" s="7" t="str">
        <f>+'[1]BASE RED COMERCIAL'!$D1528</f>
        <v>USHUAIA</v>
      </c>
      <c r="H1530" s="7" t="str">
        <f>+'[1]BASE RED COMERCIAL'!$B1528</f>
        <v>TIERRA DEL FUEGO</v>
      </c>
      <c r="I1530" s="8" t="str">
        <f>+'[1]BASE RED COMERCIAL'!$C1528</f>
        <v>USHUAIA</v>
      </c>
    </row>
    <row r="1531" spans="1:9" s="10" customFormat="1" x14ac:dyDescent="0.25">
      <c r="A1531" s="14" t="str">
        <f>+'[1]BASE RED COMERCIAL'!$A1529</f>
        <v>V3089</v>
      </c>
      <c r="B1531" s="8" t="str">
        <f>+'[1]BASE RED COMERCIAL'!$H1529</f>
        <v>TOLHUIN</v>
      </c>
      <c r="C1531" s="7" t="s">
        <v>33</v>
      </c>
      <c r="D1531" s="9" t="str">
        <f>+'[1]BASE RED COMERCIAL'!$E1529</f>
        <v>SANTIAGO RUPATINI</v>
      </c>
      <c r="E1531" s="7">
        <f>+'[1]BASE RED COMERCIAL'!$F1529</f>
        <v>360</v>
      </c>
      <c r="F1531" s="14" t="str">
        <f>+'[1]BASE RED COMERCIAL'!$I1529</f>
        <v>V9412ZAB</v>
      </c>
      <c r="G1531" s="7" t="str">
        <f>+'[1]BASE RED COMERCIAL'!$D1529</f>
        <v>TOLHUIN</v>
      </c>
      <c r="H1531" s="7" t="str">
        <f>+'[1]BASE RED COMERCIAL'!$B1529</f>
        <v>TIERRA DEL FUEGO</v>
      </c>
      <c r="I1531" s="8" t="str">
        <f>+'[1]BASE RED COMERCIAL'!$C1529</f>
        <v>RIO GRANDE</v>
      </c>
    </row>
    <row r="1532" spans="1:9" s="10" customFormat="1" x14ac:dyDescent="0.25">
      <c r="A1532" s="14" t="str">
        <f>+'[1]BASE RED COMERCIAL'!$A1530</f>
        <v>T0000</v>
      </c>
      <c r="B1532" s="8" t="str">
        <f>+'[1]BASE RED COMERCIAL'!$H1530</f>
        <v>TUCUMAN</v>
      </c>
      <c r="C1532" s="7" t="s">
        <v>33</v>
      </c>
      <c r="D1532" s="9" t="str">
        <f>+'[1]BASE RED COMERCIAL'!$E1530</f>
        <v>PROVINCIA DE CORDOBA</v>
      </c>
      <c r="E1532" s="7">
        <f>+'[1]BASE RED COMERCIAL'!$F1530</f>
        <v>540</v>
      </c>
      <c r="F1532" s="14" t="str">
        <f>+'[1]BASE RED COMERCIAL'!$I1530</f>
        <v>T4000ZAF</v>
      </c>
      <c r="G1532" s="7" t="str">
        <f>+'[1]BASE RED COMERCIAL'!$D1530</f>
        <v>SAN MIGUEL DE TUCUMAN</v>
      </c>
      <c r="H1532" s="7" t="str">
        <f>+'[1]BASE RED COMERCIAL'!$B1530</f>
        <v>TUCUMAN</v>
      </c>
      <c r="I1532" s="8" t="str">
        <f>+'[1]BASE RED COMERCIAL'!$C1530</f>
        <v>CAPITAL</v>
      </c>
    </row>
    <row r="1533" spans="1:9" s="10" customFormat="1" x14ac:dyDescent="0.25">
      <c r="A1533" s="14" t="str">
        <f>+'[1]BASE RED COMERCIAL'!$A1531</f>
        <v>T0001</v>
      </c>
      <c r="B1533" s="8" t="str">
        <f>+'[1]BASE RED COMERCIAL'!$H1531</f>
        <v>TUCUMAN 1</v>
      </c>
      <c r="C1533" s="7" t="s">
        <v>33</v>
      </c>
      <c r="D1533" s="9" t="str">
        <f>+'[1]BASE RED COMERCIAL'!$E1531</f>
        <v>AV BME MITRE</v>
      </c>
      <c r="E1533" s="7">
        <f>+'[1]BASE RED COMERCIAL'!$F1531</f>
        <v>815</v>
      </c>
      <c r="F1533" s="14" t="str">
        <f>+'[1]BASE RED COMERCIAL'!$I1531</f>
        <v>T4000ZAB</v>
      </c>
      <c r="G1533" s="7" t="str">
        <f>+'[1]BASE RED COMERCIAL'!$D1531</f>
        <v>SAN MIGUEL DE TUCUMAN</v>
      </c>
      <c r="H1533" s="7" t="str">
        <f>+'[1]BASE RED COMERCIAL'!$B1531</f>
        <v>TUCUMAN</v>
      </c>
      <c r="I1533" s="8" t="str">
        <f>+'[1]BASE RED COMERCIAL'!$C1531</f>
        <v>CAPITAL</v>
      </c>
    </row>
    <row r="1534" spans="1:9" s="10" customFormat="1" x14ac:dyDescent="0.25">
      <c r="A1534" s="14" t="str">
        <f>+'[1]BASE RED COMERCIAL'!$A1532</f>
        <v>T0002</v>
      </c>
      <c r="B1534" s="8" t="str">
        <f>+'[1]BASE RED COMERCIAL'!$H1532</f>
        <v>TUCUMAN 2</v>
      </c>
      <c r="C1534" s="7" t="s">
        <v>33</v>
      </c>
      <c r="D1534" s="9" t="str">
        <f>+'[1]BASE RED COMERCIAL'!$E1532</f>
        <v>AV L N ALEM</v>
      </c>
      <c r="E1534" s="7">
        <f>+'[1]BASE RED COMERCIAL'!$F1532</f>
        <v>340</v>
      </c>
      <c r="F1534" s="14" t="str">
        <f>+'[1]BASE RED COMERCIAL'!$I1532</f>
        <v>T4002ZAA</v>
      </c>
      <c r="G1534" s="7" t="str">
        <f>+'[1]BASE RED COMERCIAL'!$D1532</f>
        <v>SAN MIGUEL DE TUCUMAN</v>
      </c>
      <c r="H1534" s="7" t="str">
        <f>+'[1]BASE RED COMERCIAL'!$B1532</f>
        <v>TUCUMAN</v>
      </c>
      <c r="I1534" s="8" t="str">
        <f>+'[1]BASE RED COMERCIAL'!$C1532</f>
        <v>CAPITAL</v>
      </c>
    </row>
    <row r="1535" spans="1:9" s="10" customFormat="1" x14ac:dyDescent="0.25">
      <c r="A1535" s="14" t="str">
        <f>+'[1]BASE RED COMERCIAL'!$A1533</f>
        <v>T0003</v>
      </c>
      <c r="B1535" s="8" t="str">
        <f>+'[1]BASE RED COMERCIAL'!$H1533</f>
        <v>TUCUMAN 3</v>
      </c>
      <c r="C1535" s="7" t="s">
        <v>33</v>
      </c>
      <c r="D1535" s="9" t="str">
        <f>+'[1]BASE RED COMERCIAL'!$E1533</f>
        <v>AV PTE GRAL JULIO A ROCA</v>
      </c>
      <c r="E1535" s="7">
        <f>+'[1]BASE RED COMERCIAL'!$F1533</f>
        <v>477</v>
      </c>
      <c r="F1535" s="14" t="str">
        <f>+'[1]BASE RED COMERCIAL'!$I1533</f>
        <v>T4002ZAB</v>
      </c>
      <c r="G1535" s="7" t="str">
        <f>+'[1]BASE RED COMERCIAL'!$D1533</f>
        <v>SAN MIGUEL DE TUCUMAN</v>
      </c>
      <c r="H1535" s="7" t="str">
        <f>+'[1]BASE RED COMERCIAL'!$B1533</f>
        <v>TUCUMAN</v>
      </c>
      <c r="I1535" s="8" t="str">
        <f>+'[1]BASE RED COMERCIAL'!$C1533</f>
        <v>CAPITAL</v>
      </c>
    </row>
    <row r="1536" spans="1:9" s="10" customFormat="1" x14ac:dyDescent="0.25">
      <c r="A1536" s="14" t="str">
        <f>+'[1]BASE RED COMERCIAL'!$A1534</f>
        <v>T0004</v>
      </c>
      <c r="B1536" s="8" t="str">
        <f>+'[1]BASE RED COMERCIAL'!$H1534</f>
        <v>AGUILARES</v>
      </c>
      <c r="C1536" s="7" t="s">
        <v>33</v>
      </c>
      <c r="D1536" s="9" t="str">
        <f>+'[1]BASE RED COMERCIAL'!$E1534</f>
        <v>JOSE MARMOL</v>
      </c>
      <c r="E1536" s="7">
        <f>+'[1]BASE RED COMERCIAL'!$F1534</f>
        <v>1</v>
      </c>
      <c r="F1536" s="14" t="str">
        <f>+'[1]BASE RED COMERCIAL'!$I1534</f>
        <v>T4152ZAA</v>
      </c>
      <c r="G1536" s="7" t="str">
        <f>+'[1]BASE RED COMERCIAL'!$D1534</f>
        <v>AGUILARES</v>
      </c>
      <c r="H1536" s="7" t="str">
        <f>+'[1]BASE RED COMERCIAL'!$B1534</f>
        <v>TUCUMAN</v>
      </c>
      <c r="I1536" s="8" t="str">
        <f>+'[1]BASE RED COMERCIAL'!$C1534</f>
        <v>RIO CHICO</v>
      </c>
    </row>
    <row r="1537" spans="1:9" s="10" customFormat="1" x14ac:dyDescent="0.25">
      <c r="A1537" s="14" t="str">
        <f>+'[1]BASE RED COMERCIAL'!$A1535</f>
        <v>T0005</v>
      </c>
      <c r="B1537" s="8" t="str">
        <f>+'[1]BASE RED COMERCIAL'!$H1535</f>
        <v>ALDERETES</v>
      </c>
      <c r="C1537" s="7" t="s">
        <v>33</v>
      </c>
      <c r="D1537" s="9" t="str">
        <f>+'[1]BASE RED COMERCIAL'!$E1535</f>
        <v>AV RIVADAVIA</v>
      </c>
      <c r="E1537" s="7">
        <f>+'[1]BASE RED COMERCIAL'!$F1535</f>
        <v>930</v>
      </c>
      <c r="F1537" s="14" t="str">
        <f>+'[1]BASE RED COMERCIAL'!$I1535</f>
        <v>T4178ZAA</v>
      </c>
      <c r="G1537" s="7" t="str">
        <f>+'[1]BASE RED COMERCIAL'!$D1535</f>
        <v>ALDERETES</v>
      </c>
      <c r="H1537" s="7" t="str">
        <f>+'[1]BASE RED COMERCIAL'!$B1535</f>
        <v>TUCUMAN</v>
      </c>
      <c r="I1537" s="8" t="str">
        <f>+'[1]BASE RED COMERCIAL'!$C1535</f>
        <v>CRUZ ALTA</v>
      </c>
    </row>
    <row r="1538" spans="1:9" s="10" customFormat="1" x14ac:dyDescent="0.25">
      <c r="A1538" s="14" t="str">
        <f>+'[1]BASE RED COMERCIAL'!$A1536</f>
        <v>T0006</v>
      </c>
      <c r="B1538" s="8" t="str">
        <f>+'[1]BASE RED COMERCIAL'!$H1536</f>
        <v>AMAICHA DEL VALLE</v>
      </c>
      <c r="C1538" s="7" t="s">
        <v>33</v>
      </c>
      <c r="D1538" s="9" t="str">
        <f>+'[1]BASE RED COMERCIAL'!$E1536</f>
        <v>ERNESTO PADILLA</v>
      </c>
      <c r="E1538" s="7">
        <f>+'[1]BASE RED COMERCIAL'!$F1536</f>
        <v>100</v>
      </c>
      <c r="F1538" s="14" t="str">
        <f>+'[1]BASE RED COMERCIAL'!$I1536</f>
        <v>T4137ZAA</v>
      </c>
      <c r="G1538" s="7" t="str">
        <f>+'[1]BASE RED COMERCIAL'!$D1536</f>
        <v>AMAICHA DEL VALLE</v>
      </c>
      <c r="H1538" s="7" t="str">
        <f>+'[1]BASE RED COMERCIAL'!$B1536</f>
        <v>TUCUMAN</v>
      </c>
      <c r="I1538" s="8" t="str">
        <f>+'[1]BASE RED COMERCIAL'!$C1536</f>
        <v>TAFI DEL VALLE</v>
      </c>
    </row>
    <row r="1539" spans="1:9" s="10" customFormat="1" x14ac:dyDescent="0.25">
      <c r="A1539" s="14" t="str">
        <f>+'[1]BASE RED COMERCIAL'!$A1537</f>
        <v>T0008</v>
      </c>
      <c r="B1539" s="8" t="str">
        <f>+'[1]BASE RED COMERCIAL'!$H1537</f>
        <v>BDA. DE RIO SALI</v>
      </c>
      <c r="C1539" s="7" t="s">
        <v>33</v>
      </c>
      <c r="D1539" s="9" t="str">
        <f>+'[1]BASE RED COMERCIAL'!$E1537</f>
        <v>GRAL SAN MARTIN</v>
      </c>
      <c r="E1539" s="7">
        <f>+'[1]BASE RED COMERCIAL'!$F1537</f>
        <v>200</v>
      </c>
      <c r="F1539" s="14" t="str">
        <f>+'[1]BASE RED COMERCIAL'!$I1537</f>
        <v>T4109ZAA</v>
      </c>
      <c r="G1539" s="7" t="str">
        <f>+'[1]BASE RED COMERCIAL'!$D1537</f>
        <v>BANDA DEL RIO SALI</v>
      </c>
      <c r="H1539" s="7" t="str">
        <f>+'[1]BASE RED COMERCIAL'!$B1537</f>
        <v>TUCUMAN</v>
      </c>
      <c r="I1539" s="8" t="str">
        <f>+'[1]BASE RED COMERCIAL'!$C1537</f>
        <v>CRUZ ALTA</v>
      </c>
    </row>
    <row r="1540" spans="1:9" s="10" customFormat="1" x14ac:dyDescent="0.25">
      <c r="A1540" s="14" t="str">
        <f>+'[1]BASE RED COMERCIAL'!$A1538</f>
        <v>T0010</v>
      </c>
      <c r="B1540" s="8" t="str">
        <f>+'[1]BASE RED COMERCIAL'!$H1538</f>
        <v>BELLA VISTA</v>
      </c>
      <c r="C1540" s="7" t="s">
        <v>33</v>
      </c>
      <c r="D1540" s="9" t="str">
        <f>+'[1]BASE RED COMERCIAL'!$E1538</f>
        <v>MARCONI</v>
      </c>
      <c r="E1540" s="7">
        <f>+'[1]BASE RED COMERCIAL'!$F1538</f>
        <v>398</v>
      </c>
      <c r="F1540" s="14" t="str">
        <f>+'[1]BASE RED COMERCIAL'!$I1538</f>
        <v>T4168ZAA</v>
      </c>
      <c r="G1540" s="7" t="str">
        <f>+'[1]BASE RED COMERCIAL'!$D1538</f>
        <v>BELLA VISTA</v>
      </c>
      <c r="H1540" s="7" t="str">
        <f>+'[1]BASE RED COMERCIAL'!$B1538</f>
        <v>TUCUMAN</v>
      </c>
      <c r="I1540" s="8" t="str">
        <f>+'[1]BASE RED COMERCIAL'!$C1538</f>
        <v>LEALES</v>
      </c>
    </row>
    <row r="1541" spans="1:9" s="10" customFormat="1" x14ac:dyDescent="0.25">
      <c r="A1541" s="14" t="str">
        <f>+'[1]BASE RED COMERCIAL'!$A1539</f>
        <v>T0014</v>
      </c>
      <c r="B1541" s="8" t="str">
        <f>+'[1]BASE RED COMERCIAL'!$H1539</f>
        <v>BURRUYACU</v>
      </c>
      <c r="C1541" s="7" t="s">
        <v>33</v>
      </c>
      <c r="D1541" s="9" t="str">
        <f>+'[1]BASE RED COMERCIAL'!$E1539</f>
        <v>AV. 25 DE MAYO S/N</v>
      </c>
      <c r="E1541" s="7">
        <f>+'[1]BASE RED COMERCIAL'!$F1539</f>
        <v>0</v>
      </c>
      <c r="F1541" s="14" t="str">
        <f>+'[1]BASE RED COMERCIAL'!$I1539</f>
        <v>T4119ZAA</v>
      </c>
      <c r="G1541" s="7" t="str">
        <f>+'[1]BASE RED COMERCIAL'!$D1539</f>
        <v>BURRUYACU</v>
      </c>
      <c r="H1541" s="7" t="str">
        <f>+'[1]BASE RED COMERCIAL'!$B1539</f>
        <v>TUCUMAN</v>
      </c>
      <c r="I1541" s="8" t="str">
        <f>+'[1]BASE RED COMERCIAL'!$C1539</f>
        <v>BURRUYACU</v>
      </c>
    </row>
    <row r="1542" spans="1:9" s="10" customFormat="1" x14ac:dyDescent="0.25">
      <c r="A1542" s="14" t="str">
        <f>+'[1]BASE RED COMERCIAL'!$A1540</f>
        <v>T0016</v>
      </c>
      <c r="B1542" s="8" t="str">
        <f>+'[1]BASE RED COMERCIAL'!$H1540</f>
        <v>C. DEL VALLE</v>
      </c>
      <c r="C1542" s="7" t="s">
        <v>33</v>
      </c>
      <c r="D1542" s="9" t="str">
        <f>+'[1]BASE RED COMERCIAL'!$E1540</f>
        <v>AV 9 DE JULIO</v>
      </c>
      <c r="E1542" s="7">
        <f>+'[1]BASE RED COMERCIAL'!$F1540</f>
        <v>1</v>
      </c>
      <c r="F1542" s="14" t="str">
        <f>+'[1]BASE RED COMERCIAL'!$I1540</f>
        <v>T4141ZAA</v>
      </c>
      <c r="G1542" s="7" t="str">
        <f>+'[1]BASE RED COMERCIAL'!$D1540</f>
        <v>COLALAO DEL VALLE</v>
      </c>
      <c r="H1542" s="7" t="str">
        <f>+'[1]BASE RED COMERCIAL'!$B1540</f>
        <v>TUCUMAN</v>
      </c>
      <c r="I1542" s="8" t="str">
        <f>+'[1]BASE RED COMERCIAL'!$C1540</f>
        <v>TAFI DEL VALLE</v>
      </c>
    </row>
    <row r="1543" spans="1:9" s="10" customFormat="1" x14ac:dyDescent="0.25">
      <c r="A1543" s="14" t="str">
        <f>+'[1]BASE RED COMERCIAL'!$A1541</f>
        <v>T0018</v>
      </c>
      <c r="B1543" s="8" t="str">
        <f>+'[1]BASE RED COMERCIAL'!$H1541</f>
        <v>CONCEPCION</v>
      </c>
      <c r="C1543" s="7" t="s">
        <v>33</v>
      </c>
      <c r="D1543" s="9" t="str">
        <f>+'[1]BASE RED COMERCIAL'!$E1541</f>
        <v>AVELLANEDA</v>
      </c>
      <c r="E1543" s="7">
        <f>+'[1]BASE RED COMERCIAL'!$F1541</f>
        <v>305</v>
      </c>
      <c r="F1543" s="14" t="str">
        <f>+'[1]BASE RED COMERCIAL'!$I1541</f>
        <v>T4146ZAA</v>
      </c>
      <c r="G1543" s="7" t="str">
        <f>+'[1]BASE RED COMERCIAL'!$D1541</f>
        <v>CONCEPCION</v>
      </c>
      <c r="H1543" s="7" t="str">
        <f>+'[1]BASE RED COMERCIAL'!$B1541</f>
        <v>TUCUMAN</v>
      </c>
      <c r="I1543" s="8" t="str">
        <f>+'[1]BASE RED COMERCIAL'!$C1541</f>
        <v>CHICLIGASTA</v>
      </c>
    </row>
    <row r="1544" spans="1:9" s="10" customFormat="1" x14ac:dyDescent="0.25">
      <c r="A1544" s="14" t="str">
        <f>+'[1]BASE RED COMERCIAL'!$A1542</f>
        <v>T0020</v>
      </c>
      <c r="B1544" s="8" t="str">
        <f>+'[1]BASE RED COMERCIAL'!$H1542</f>
        <v>FAMAILLA</v>
      </c>
      <c r="C1544" s="7" t="s">
        <v>33</v>
      </c>
      <c r="D1544" s="9" t="str">
        <f>+'[1]BASE RED COMERCIAL'!$E1542</f>
        <v>MANUEL BELGRANO</v>
      </c>
      <c r="E1544" s="7">
        <f>+'[1]BASE RED COMERCIAL'!$F1542</f>
        <v>380</v>
      </c>
      <c r="F1544" s="14" t="str">
        <f>+'[1]BASE RED COMERCIAL'!$I1542</f>
        <v>T4132ZAA</v>
      </c>
      <c r="G1544" s="7" t="str">
        <f>+'[1]BASE RED COMERCIAL'!$D1542</f>
        <v>FAMAILLA</v>
      </c>
      <c r="H1544" s="7" t="str">
        <f>+'[1]BASE RED COMERCIAL'!$B1542</f>
        <v>TUCUMAN</v>
      </c>
      <c r="I1544" s="8" t="str">
        <f>+'[1]BASE RED COMERCIAL'!$C1542</f>
        <v>FAMAILLA</v>
      </c>
    </row>
    <row r="1545" spans="1:9" s="10" customFormat="1" x14ac:dyDescent="0.25">
      <c r="A1545" s="14" t="str">
        <f>+'[1]BASE RED COMERCIAL'!$A1543</f>
        <v>T0022</v>
      </c>
      <c r="B1545" s="8" t="str">
        <f>+'[1]BASE RED COMERCIAL'!$H1543</f>
        <v>GRANEROS</v>
      </c>
      <c r="C1545" s="7" t="s">
        <v>33</v>
      </c>
      <c r="D1545" s="9" t="str">
        <f>+'[1]BASE RED COMERCIAL'!$E1543</f>
        <v>GRAL SAN MARTIN</v>
      </c>
      <c r="E1545" s="7">
        <f>+'[1]BASE RED COMERCIAL'!$F1543</f>
        <v>12</v>
      </c>
      <c r="F1545" s="14" t="str">
        <f>+'[1]BASE RED COMERCIAL'!$I1543</f>
        <v>T4159ZAA</v>
      </c>
      <c r="G1545" s="7" t="str">
        <f>+'[1]BASE RED COMERCIAL'!$D1543</f>
        <v>GRANEROS</v>
      </c>
      <c r="H1545" s="7" t="str">
        <f>+'[1]BASE RED COMERCIAL'!$B1543</f>
        <v>TUCUMAN</v>
      </c>
      <c r="I1545" s="8" t="str">
        <f>+'[1]BASE RED COMERCIAL'!$C1543</f>
        <v>GRANEROS</v>
      </c>
    </row>
    <row r="1546" spans="1:9" s="10" customFormat="1" x14ac:dyDescent="0.25">
      <c r="A1546" s="14" t="str">
        <f>+'[1]BASE RED COMERCIAL'!$A1544</f>
        <v>T0024</v>
      </c>
      <c r="B1546" s="8" t="str">
        <f>+'[1]BASE RED COMERCIAL'!$H1544</f>
        <v>ING. SANTA ANA</v>
      </c>
      <c r="C1546" s="7" t="s">
        <v>33</v>
      </c>
      <c r="D1546" s="9" t="str">
        <f>+'[1]BASE RED COMERCIAL'!$E1544</f>
        <v>CARLOS PELLEGRINI</v>
      </c>
      <c r="E1546" s="7">
        <f>+'[1]BASE RED COMERCIAL'!$F1544</f>
        <v>0</v>
      </c>
      <c r="F1546" s="14" t="str">
        <f>+'[1]BASE RED COMERCIAL'!$I1544</f>
        <v>T4155ZAA</v>
      </c>
      <c r="G1546" s="7" t="str">
        <f>+'[1]BASE RED COMERCIAL'!$D1544</f>
        <v>SANTA ANA</v>
      </c>
      <c r="H1546" s="7" t="str">
        <f>+'[1]BASE RED COMERCIAL'!$B1544</f>
        <v>TUCUMAN</v>
      </c>
      <c r="I1546" s="8" t="str">
        <f>+'[1]BASE RED COMERCIAL'!$C1544</f>
        <v>RIO CHICO</v>
      </c>
    </row>
    <row r="1547" spans="1:9" s="10" customFormat="1" x14ac:dyDescent="0.25">
      <c r="A1547" s="14" t="str">
        <f>+'[1]BASE RED COMERCIAL'!$A1545</f>
        <v>T0026</v>
      </c>
      <c r="B1547" s="8" t="str">
        <f>+'[1]BASE RED COMERCIAL'!$H1545</f>
        <v>ING. SANTA LUCIA</v>
      </c>
      <c r="C1547" s="7" t="s">
        <v>33</v>
      </c>
      <c r="D1547" s="9" t="str">
        <f>+'[1]BASE RED COMERCIAL'!$E1545</f>
        <v>AV LIBERTADOR</v>
      </c>
      <c r="E1547" s="7">
        <f>+'[1]BASE RED COMERCIAL'!$F1545</f>
        <v>170</v>
      </c>
      <c r="F1547" s="14" t="str">
        <f>+'[1]BASE RED COMERCIAL'!$I1545</f>
        <v>T4135ZAA</v>
      </c>
      <c r="G1547" s="7" t="str">
        <f>+'[1]BASE RED COMERCIAL'!$D1545</f>
        <v>SANTA LUCIA</v>
      </c>
      <c r="H1547" s="7" t="str">
        <f>+'[1]BASE RED COMERCIAL'!$B1545</f>
        <v>TUCUMAN</v>
      </c>
      <c r="I1547" s="8" t="str">
        <f>+'[1]BASE RED COMERCIAL'!$C1545</f>
        <v>MONTEROS</v>
      </c>
    </row>
    <row r="1548" spans="1:9" s="10" customFormat="1" x14ac:dyDescent="0.25">
      <c r="A1548" s="14" t="str">
        <f>+'[1]BASE RED COMERCIAL'!$A1546</f>
        <v>T0028</v>
      </c>
      <c r="B1548" s="8" t="str">
        <f>+'[1]BASE RED COMERCIAL'!$H1546</f>
        <v>JUAN BAUTISTA ALBERDI</v>
      </c>
      <c r="C1548" s="7" t="s">
        <v>33</v>
      </c>
      <c r="D1548" s="9" t="str">
        <f>+'[1]BASE RED COMERCIAL'!$E1546</f>
        <v>ROQUE SAENZ PEÃ‘A</v>
      </c>
      <c r="E1548" s="7">
        <f>+'[1]BASE RED COMERCIAL'!$F1546</f>
        <v>402</v>
      </c>
      <c r="F1548" s="14" t="str">
        <f>+'[1]BASE RED COMERCIAL'!$I1546</f>
        <v>T4161ZAA</v>
      </c>
      <c r="G1548" s="7" t="str">
        <f>+'[1]BASE RED COMERCIAL'!$D1546</f>
        <v>JUAN BAUTISTA ALBERDI</v>
      </c>
      <c r="H1548" s="7" t="str">
        <f>+'[1]BASE RED COMERCIAL'!$B1546</f>
        <v>TUCUMAN</v>
      </c>
      <c r="I1548" s="8" t="str">
        <f>+'[1]BASE RED COMERCIAL'!$C1546</f>
        <v>JUAN B ALBERDI</v>
      </c>
    </row>
    <row r="1549" spans="1:9" s="10" customFormat="1" x14ac:dyDescent="0.25">
      <c r="A1549" s="14" t="str">
        <f>+'[1]BASE RED COMERCIAL'!$A1547</f>
        <v>T0030</v>
      </c>
      <c r="B1549" s="8" t="str">
        <f>+'[1]BASE RED COMERCIAL'!$H1547</f>
        <v>LA COCHA</v>
      </c>
      <c r="C1549" s="7" t="s">
        <v>33</v>
      </c>
      <c r="D1549" s="9" t="str">
        <f>+'[1]BASE RED COMERCIAL'!$E1547</f>
        <v>RIVADAVIA</v>
      </c>
      <c r="E1549" s="7">
        <f>+'[1]BASE RED COMERCIAL'!$F1547</f>
        <v>142</v>
      </c>
      <c r="F1549" s="14" t="str">
        <f>+'[1]BASE RED COMERCIAL'!$I1547</f>
        <v>T4162ZAA</v>
      </c>
      <c r="G1549" s="7" t="str">
        <f>+'[1]BASE RED COMERCIAL'!$D1547</f>
        <v>LA COCHA</v>
      </c>
      <c r="H1549" s="7" t="str">
        <f>+'[1]BASE RED COMERCIAL'!$B1547</f>
        <v>TUCUMAN</v>
      </c>
      <c r="I1549" s="8" t="str">
        <f>+'[1]BASE RED COMERCIAL'!$C1547</f>
        <v>LA COCHA</v>
      </c>
    </row>
    <row r="1550" spans="1:9" s="10" customFormat="1" x14ac:dyDescent="0.25">
      <c r="A1550" s="14" t="str">
        <f>+'[1]BASE RED COMERCIAL'!$A1548</f>
        <v>T0032</v>
      </c>
      <c r="B1550" s="8" t="str">
        <f>+'[1]BASE RED COMERCIAL'!$H1548</f>
        <v>LAMADRID</v>
      </c>
      <c r="C1550" s="7" t="s">
        <v>33</v>
      </c>
      <c r="D1550" s="9" t="str">
        <f>+'[1]BASE RED COMERCIAL'!$E1548</f>
        <v>25 DE MAYO</v>
      </c>
      <c r="E1550" s="7">
        <f>+'[1]BASE RED COMERCIAL'!$F1548</f>
        <v>0</v>
      </c>
      <c r="F1550" s="14" t="str">
        <f>+'[1]BASE RED COMERCIAL'!$I1548</f>
        <v>T4176ZAA</v>
      </c>
      <c r="G1550" s="7" t="str">
        <f>+'[1]BASE RED COMERCIAL'!$D1548</f>
        <v>LAMADRID</v>
      </c>
      <c r="H1550" s="7" t="str">
        <f>+'[1]BASE RED COMERCIAL'!$B1548</f>
        <v>TUCUMAN</v>
      </c>
      <c r="I1550" s="8" t="str">
        <f>+'[1]BASE RED COMERCIAL'!$C1548</f>
        <v>GRANEROS</v>
      </c>
    </row>
    <row r="1551" spans="1:9" s="10" customFormat="1" x14ac:dyDescent="0.25">
      <c r="A1551" s="14" t="str">
        <f>+'[1]BASE RED COMERCIAL'!$A1549</f>
        <v>T0034</v>
      </c>
      <c r="B1551" s="8" t="str">
        <f>+'[1]BASE RED COMERCIAL'!$H1549</f>
        <v>LA RAMADA</v>
      </c>
      <c r="C1551" s="7" t="s">
        <v>33</v>
      </c>
      <c r="D1551" s="9" t="str">
        <f>+'[1]BASE RED COMERCIAL'!$E1549</f>
        <v>24 DE SEPTIEMBRE</v>
      </c>
      <c r="E1551" s="7">
        <f>+'[1]BASE RED COMERCIAL'!$F1549</f>
        <v>1</v>
      </c>
      <c r="F1551" s="14" t="str">
        <f>+'[1]BASE RED COMERCIAL'!$I1549</f>
        <v>T4123ZAA</v>
      </c>
      <c r="G1551" s="7" t="str">
        <f>+'[1]BASE RED COMERCIAL'!$D1549</f>
        <v>LA RAMADA</v>
      </c>
      <c r="H1551" s="7" t="str">
        <f>+'[1]BASE RED COMERCIAL'!$B1549</f>
        <v>TUCUMAN</v>
      </c>
      <c r="I1551" s="8" t="str">
        <f>+'[1]BASE RED COMERCIAL'!$C1549</f>
        <v>BURRUYACU</v>
      </c>
    </row>
    <row r="1552" spans="1:9" s="10" customFormat="1" x14ac:dyDescent="0.25">
      <c r="A1552" s="14" t="str">
        <f>+'[1]BASE RED COMERCIAL'!$A1550</f>
        <v>T0036</v>
      </c>
      <c r="B1552" s="8" t="str">
        <f>+'[1]BASE RED COMERCIAL'!$H1550</f>
        <v>LAS CEJAS</v>
      </c>
      <c r="C1552" s="7" t="s">
        <v>33</v>
      </c>
      <c r="D1552" s="9" t="str">
        <f>+'[1]BASE RED COMERCIAL'!$E1550</f>
        <v>9 DE JULIO</v>
      </c>
      <c r="E1552" s="7">
        <f>+'[1]BASE RED COMERCIAL'!$F1550</f>
        <v>1</v>
      </c>
      <c r="F1552" s="14" t="str">
        <f>+'[1]BASE RED COMERCIAL'!$I1550</f>
        <v>T4186ZAA</v>
      </c>
      <c r="G1552" s="7" t="str">
        <f>+'[1]BASE RED COMERCIAL'!$D1550</f>
        <v>LAS CEJAS</v>
      </c>
      <c r="H1552" s="7" t="str">
        <f>+'[1]BASE RED COMERCIAL'!$B1550</f>
        <v>TUCUMAN</v>
      </c>
      <c r="I1552" s="8" t="str">
        <f>+'[1]BASE RED COMERCIAL'!$C1550</f>
        <v>CRUZ ALTA</v>
      </c>
    </row>
    <row r="1553" spans="1:9" s="10" customFormat="1" x14ac:dyDescent="0.25">
      <c r="A1553" s="14" t="str">
        <f>+'[1]BASE RED COMERCIAL'!$A1551</f>
        <v>T0038</v>
      </c>
      <c r="B1553" s="8" t="str">
        <f>+'[1]BASE RED COMERCIAL'!$H1551</f>
        <v>LEALES</v>
      </c>
      <c r="C1553" s="7" t="s">
        <v>33</v>
      </c>
      <c r="D1553" s="9">
        <f>+'[1]BASE RED COMERCIAL'!$E1551</f>
        <v>1</v>
      </c>
      <c r="E1553" s="7">
        <f>+'[1]BASE RED COMERCIAL'!$F1551</f>
        <v>0</v>
      </c>
      <c r="F1553" s="14" t="str">
        <f>+'[1]BASE RED COMERCIAL'!$I1551</f>
        <v>T4113ZAB</v>
      </c>
      <c r="G1553" s="7" t="str">
        <f>+'[1]BASE RED COMERCIAL'!$D1551</f>
        <v>LEALES</v>
      </c>
      <c r="H1553" s="7" t="str">
        <f>+'[1]BASE RED COMERCIAL'!$B1551</f>
        <v>TUCUMAN</v>
      </c>
      <c r="I1553" s="8" t="str">
        <f>+'[1]BASE RED COMERCIAL'!$C1551</f>
        <v>LEALES</v>
      </c>
    </row>
    <row r="1554" spans="1:9" s="10" customFormat="1" x14ac:dyDescent="0.25">
      <c r="A1554" s="14" t="str">
        <f>+'[1]BASE RED COMERCIAL'!$A1552</f>
        <v>T0040</v>
      </c>
      <c r="B1554" s="8" t="str">
        <f>+'[1]BASE RED COMERCIAL'!$H1552</f>
        <v>LOS RALOS</v>
      </c>
      <c r="C1554" s="7" t="s">
        <v>33</v>
      </c>
      <c r="D1554" s="9" t="str">
        <f>+'[1]BASE RED COMERCIAL'!$E1552</f>
        <v>SABINA PETRELLI</v>
      </c>
      <c r="E1554" s="7">
        <f>+'[1]BASE RED COMERCIAL'!$F1552</f>
        <v>0</v>
      </c>
      <c r="F1554" s="14" t="str">
        <f>+'[1]BASE RED COMERCIAL'!$I1552</f>
        <v>T4182ZAA</v>
      </c>
      <c r="G1554" s="7" t="str">
        <f>+'[1]BASE RED COMERCIAL'!$D1552</f>
        <v>LOS RALOS</v>
      </c>
      <c r="H1554" s="7" t="str">
        <f>+'[1]BASE RED COMERCIAL'!$B1552</f>
        <v>TUCUMAN</v>
      </c>
      <c r="I1554" s="8" t="str">
        <f>+'[1]BASE RED COMERCIAL'!$C1552</f>
        <v>CRUZ ALTA</v>
      </c>
    </row>
    <row r="1555" spans="1:9" s="10" customFormat="1" x14ac:dyDescent="0.25">
      <c r="A1555" s="14" t="str">
        <f>+'[1]BASE RED COMERCIAL'!$A1553</f>
        <v>T0042</v>
      </c>
      <c r="B1555" s="8" t="str">
        <f>+'[1]BASE RED COMERCIAL'!$H1553</f>
        <v>LULES</v>
      </c>
      <c r="C1555" s="7" t="s">
        <v>33</v>
      </c>
      <c r="D1555" s="9" t="str">
        <f>+'[1]BASE RED COMERCIAL'!$E1553</f>
        <v>GRAL SAN MARTIN</v>
      </c>
      <c r="E1555" s="7">
        <f>+'[1]BASE RED COMERCIAL'!$F1553</f>
        <v>125</v>
      </c>
      <c r="F1555" s="14" t="str">
        <f>+'[1]BASE RED COMERCIAL'!$I1553</f>
        <v>T4128ZAA</v>
      </c>
      <c r="G1555" s="7" t="str">
        <f>+'[1]BASE RED COMERCIAL'!$D1553</f>
        <v>LULES</v>
      </c>
      <c r="H1555" s="7" t="str">
        <f>+'[1]BASE RED COMERCIAL'!$B1553</f>
        <v>TUCUMAN</v>
      </c>
      <c r="I1555" s="8" t="str">
        <f>+'[1]BASE RED COMERCIAL'!$C1553</f>
        <v>LULES</v>
      </c>
    </row>
    <row r="1556" spans="1:9" s="10" customFormat="1" x14ac:dyDescent="0.25">
      <c r="A1556" s="14" t="str">
        <f>+'[1]BASE RED COMERCIAL'!$A1554</f>
        <v>T0044</v>
      </c>
      <c r="B1556" s="8" t="str">
        <f>+'[1]BASE RED COMERCIAL'!$H1554</f>
        <v>LAS TALITAS</v>
      </c>
      <c r="C1556" s="7" t="s">
        <v>33</v>
      </c>
      <c r="D1556" s="9" t="str">
        <f>+'[1]BASE RED COMERCIAL'!$E1554</f>
        <v>SERAFIN LOPEZ</v>
      </c>
      <c r="E1556" s="7">
        <f>+'[1]BASE RED COMERCIAL'!$F1554</f>
        <v>15</v>
      </c>
      <c r="F1556" s="14" t="str">
        <f>+'[1]BASE RED COMERCIAL'!$I1554</f>
        <v>T4101ZAA</v>
      </c>
      <c r="G1556" s="7" t="str">
        <f>+'[1]BASE RED COMERCIAL'!$D1554</f>
        <v>LAS TALITAS</v>
      </c>
      <c r="H1556" s="7" t="str">
        <f>+'[1]BASE RED COMERCIAL'!$B1554</f>
        <v>TUCUMAN</v>
      </c>
      <c r="I1556" s="8" t="str">
        <f>+'[1]BASE RED COMERCIAL'!$C1554</f>
        <v>TAFI VIEJO</v>
      </c>
    </row>
    <row r="1557" spans="1:9" s="10" customFormat="1" x14ac:dyDescent="0.25">
      <c r="A1557" s="14" t="str">
        <f>+'[1]BASE RED COMERCIAL'!$A1555</f>
        <v>T0046</v>
      </c>
      <c r="B1557" s="8" t="str">
        <f>+'[1]BASE RED COMERCIAL'!$H1555</f>
        <v>MANANTIAL</v>
      </c>
      <c r="C1557" s="7" t="s">
        <v>33</v>
      </c>
      <c r="D1557" s="9" t="str">
        <f>+'[1]BASE RED COMERCIAL'!$E1555</f>
        <v>CRISTO REY</v>
      </c>
      <c r="E1557" s="7">
        <f>+'[1]BASE RED COMERCIAL'!$F1555</f>
        <v>199</v>
      </c>
      <c r="F1557" s="14" t="str">
        <f>+'[1]BASE RED COMERCIAL'!$I1555</f>
        <v>T4104ZAA</v>
      </c>
      <c r="G1557" s="7" t="str">
        <f>+'[1]BASE RED COMERCIAL'!$D1555</f>
        <v>EL MANANTIAL</v>
      </c>
      <c r="H1557" s="7" t="str">
        <f>+'[1]BASE RED COMERCIAL'!$B1555</f>
        <v>TUCUMAN</v>
      </c>
      <c r="I1557" s="8" t="str">
        <f>+'[1]BASE RED COMERCIAL'!$C1555</f>
        <v>LULES</v>
      </c>
    </row>
    <row r="1558" spans="1:9" s="10" customFormat="1" x14ac:dyDescent="0.25">
      <c r="A1558" s="14" t="str">
        <f>+'[1]BASE RED COMERCIAL'!$A1556</f>
        <v>T0048</v>
      </c>
      <c r="B1558" s="8" t="str">
        <f>+'[1]BASE RED COMERCIAL'!$H1556</f>
        <v>MONTEAGUDO</v>
      </c>
      <c r="C1558" s="7" t="s">
        <v>33</v>
      </c>
      <c r="D1558" s="9" t="str">
        <f>+'[1]BASE RED COMERCIAL'!$E1556</f>
        <v>9 DE JULIO</v>
      </c>
      <c r="E1558" s="7">
        <f>+'[1]BASE RED COMERCIAL'!$F1556</f>
        <v>1</v>
      </c>
      <c r="F1558" s="14" t="str">
        <f>+'[1]BASE RED COMERCIAL'!$I1556</f>
        <v>T4174ZAA</v>
      </c>
      <c r="G1558" s="7" t="str">
        <f>+'[1]BASE RED COMERCIAL'!$D1556</f>
        <v>MONTEAGUDO</v>
      </c>
      <c r="H1558" s="7" t="str">
        <f>+'[1]BASE RED COMERCIAL'!$B1556</f>
        <v>TUCUMAN</v>
      </c>
      <c r="I1558" s="8" t="str">
        <f>+'[1]BASE RED COMERCIAL'!$C1556</f>
        <v>SIMOCA</v>
      </c>
    </row>
    <row r="1559" spans="1:9" s="10" customFormat="1" x14ac:dyDescent="0.25">
      <c r="A1559" s="14" t="str">
        <f>+'[1]BASE RED COMERCIAL'!$A1557</f>
        <v>T0050</v>
      </c>
      <c r="B1559" s="8" t="str">
        <f>+'[1]BASE RED COMERCIAL'!$H1557</f>
        <v>MONTEROS</v>
      </c>
      <c r="C1559" s="7" t="s">
        <v>33</v>
      </c>
      <c r="D1559" s="9" t="str">
        <f>+'[1]BASE RED COMERCIAL'!$E1557</f>
        <v>COLON</v>
      </c>
      <c r="E1559" s="7">
        <f>+'[1]BASE RED COMERCIAL'!$F1557</f>
        <v>247</v>
      </c>
      <c r="F1559" s="14" t="str">
        <f>+'[1]BASE RED COMERCIAL'!$I1557</f>
        <v>T4142ZAA</v>
      </c>
      <c r="G1559" s="7" t="str">
        <f>+'[1]BASE RED COMERCIAL'!$D1557</f>
        <v>MONTEROS</v>
      </c>
      <c r="H1559" s="7" t="str">
        <f>+'[1]BASE RED COMERCIAL'!$B1557</f>
        <v>TUCUMAN</v>
      </c>
      <c r="I1559" s="8" t="str">
        <f>+'[1]BASE RED COMERCIAL'!$C1557</f>
        <v>MONTEROS</v>
      </c>
    </row>
    <row r="1560" spans="1:9" s="10" customFormat="1" x14ac:dyDescent="0.25">
      <c r="A1560" s="14" t="str">
        <f>+'[1]BASE RED COMERCIAL'!$A1558</f>
        <v>T0052</v>
      </c>
      <c r="B1560" s="8" t="str">
        <f>+'[1]BASE RED COMERCIAL'!$H1558</f>
        <v>LA FLORIDA</v>
      </c>
      <c r="C1560" s="7" t="s">
        <v>33</v>
      </c>
      <c r="D1560" s="9" t="str">
        <f>+'[1]BASE RED COMERCIAL'!$E1558</f>
        <v>SALTA</v>
      </c>
      <c r="E1560" s="7">
        <f>+'[1]BASE RED COMERCIAL'!$F1558</f>
        <v>101</v>
      </c>
      <c r="F1560" s="14" t="str">
        <f>+'[1]BASE RED COMERCIAL'!$I1558</f>
        <v>T4117ZAA</v>
      </c>
      <c r="G1560" s="7" t="str">
        <f>+'[1]BASE RED COMERCIAL'!$D1558</f>
        <v>LA FLORIDA</v>
      </c>
      <c r="H1560" s="7" t="str">
        <f>+'[1]BASE RED COMERCIAL'!$B1558</f>
        <v>TUCUMAN</v>
      </c>
      <c r="I1560" s="8" t="str">
        <f>+'[1]BASE RED COMERCIAL'!$C1558</f>
        <v>CRUZ ALTA</v>
      </c>
    </row>
    <row r="1561" spans="1:9" s="10" customFormat="1" x14ac:dyDescent="0.25">
      <c r="A1561" s="14" t="str">
        <f>+'[1]BASE RED COMERCIAL'!$A1559</f>
        <v>T0060</v>
      </c>
      <c r="B1561" s="8" t="str">
        <f>+'[1]BASE RED COMERCIAL'!$H1559</f>
        <v>SAN PABLO</v>
      </c>
      <c r="C1561" s="7" t="s">
        <v>33</v>
      </c>
      <c r="D1561" s="9" t="str">
        <f>+'[1]BASE RED COMERCIAL'!$E1559</f>
        <v>AV SAN MARTIN</v>
      </c>
      <c r="E1561" s="7">
        <f>+'[1]BASE RED COMERCIAL'!$F1559</f>
        <v>240</v>
      </c>
      <c r="F1561" s="14" t="str">
        <f>+'[1]BASE RED COMERCIAL'!$I1559</f>
        <v>T4129ZAA</v>
      </c>
      <c r="G1561" s="7" t="str">
        <f>+'[1]BASE RED COMERCIAL'!$D1559</f>
        <v>SAN PABLO</v>
      </c>
      <c r="H1561" s="7" t="str">
        <f>+'[1]BASE RED COMERCIAL'!$B1559</f>
        <v>TUCUMAN</v>
      </c>
      <c r="I1561" s="8" t="str">
        <f>+'[1]BASE RED COMERCIAL'!$C1559</f>
        <v>LULES</v>
      </c>
    </row>
    <row r="1562" spans="1:9" s="10" customFormat="1" x14ac:dyDescent="0.25">
      <c r="A1562" s="14" t="str">
        <f>+'[1]BASE RED COMERCIAL'!$A1560</f>
        <v>T0062</v>
      </c>
      <c r="B1562" s="8" t="str">
        <f>+'[1]BASE RED COMERCIAL'!$H1560</f>
        <v>SAN P.DE COLALAO</v>
      </c>
      <c r="C1562" s="7" t="s">
        <v>33</v>
      </c>
      <c r="D1562" s="9" t="str">
        <f>+'[1]BASE RED COMERCIAL'!$E1560</f>
        <v>CONGRESO</v>
      </c>
      <c r="E1562" s="7">
        <f>+'[1]BASE RED COMERCIAL'!$F1560</f>
        <v>1</v>
      </c>
      <c r="F1562" s="14" t="str">
        <f>+'[1]BASE RED COMERCIAL'!$I1560</f>
        <v>T4124ZAA</v>
      </c>
      <c r="G1562" s="7" t="str">
        <f>+'[1]BASE RED COMERCIAL'!$D1560</f>
        <v>SAN PEDRO DE COLALAO</v>
      </c>
      <c r="H1562" s="7" t="str">
        <f>+'[1]BASE RED COMERCIAL'!$B1560</f>
        <v>TUCUMAN</v>
      </c>
      <c r="I1562" s="8" t="str">
        <f>+'[1]BASE RED COMERCIAL'!$C1560</f>
        <v>TRANCAS</v>
      </c>
    </row>
    <row r="1563" spans="1:9" s="10" customFormat="1" x14ac:dyDescent="0.25">
      <c r="A1563" s="14" t="str">
        <f>+'[1]BASE RED COMERCIAL'!$A1561</f>
        <v>T0064</v>
      </c>
      <c r="B1563" s="8" t="str">
        <f>+'[1]BASE RED COMERCIAL'!$H1561</f>
        <v>SIMOCA</v>
      </c>
      <c r="C1563" s="7" t="s">
        <v>33</v>
      </c>
      <c r="D1563" s="9" t="str">
        <f>+'[1]BASE RED COMERCIAL'!$E1561</f>
        <v>JUAN B ALBERDI</v>
      </c>
      <c r="E1563" s="7">
        <f>+'[1]BASE RED COMERCIAL'!$F1561</f>
        <v>455</v>
      </c>
      <c r="F1563" s="14" t="str">
        <f>+'[1]BASE RED COMERCIAL'!$I1561</f>
        <v>T4172ZAA</v>
      </c>
      <c r="G1563" s="7" t="str">
        <f>+'[1]BASE RED COMERCIAL'!$D1561</f>
        <v>SIMOCA</v>
      </c>
      <c r="H1563" s="7" t="str">
        <f>+'[1]BASE RED COMERCIAL'!$B1561</f>
        <v>TUCUMAN</v>
      </c>
      <c r="I1563" s="8" t="str">
        <f>+'[1]BASE RED COMERCIAL'!$C1561</f>
        <v>SIMOCA</v>
      </c>
    </row>
    <row r="1564" spans="1:9" s="10" customFormat="1" x14ac:dyDescent="0.25">
      <c r="A1564" s="14" t="str">
        <f>+'[1]BASE RED COMERCIAL'!$A1562</f>
        <v>T0066</v>
      </c>
      <c r="B1564" s="8" t="str">
        <f>+'[1]BASE RED COMERCIAL'!$H1562</f>
        <v>TACO RALO</v>
      </c>
      <c r="C1564" s="7" t="s">
        <v>33</v>
      </c>
      <c r="D1564" s="9" t="str">
        <f>+'[1]BASE RED COMERCIAL'!$E1562</f>
        <v>BUENOS AIRES</v>
      </c>
      <c r="E1564" s="7">
        <f>+'[1]BASE RED COMERCIAL'!$F1562</f>
        <v>99</v>
      </c>
      <c r="F1564" s="14" t="str">
        <f>+'[1]BASE RED COMERCIAL'!$I1562</f>
        <v>T4242ZAA</v>
      </c>
      <c r="G1564" s="7" t="str">
        <f>+'[1]BASE RED COMERCIAL'!$D1562</f>
        <v>TACO RALO</v>
      </c>
      <c r="H1564" s="7" t="str">
        <f>+'[1]BASE RED COMERCIAL'!$B1562</f>
        <v>TUCUMAN</v>
      </c>
      <c r="I1564" s="8" t="str">
        <f>+'[1]BASE RED COMERCIAL'!$C1562</f>
        <v>GRANEROS</v>
      </c>
    </row>
    <row r="1565" spans="1:9" s="10" customFormat="1" x14ac:dyDescent="0.25">
      <c r="A1565" s="14" t="str">
        <f>+'[1]BASE RED COMERCIAL'!$A1563</f>
        <v>T0068</v>
      </c>
      <c r="B1565" s="8" t="str">
        <f>+'[1]BASE RED COMERCIAL'!$H1563</f>
        <v>TAFI DEL VALLE</v>
      </c>
      <c r="C1565" s="7" t="s">
        <v>33</v>
      </c>
      <c r="D1565" s="9" t="str">
        <f>+'[1]BASE RED COMERCIAL'!$E1563</f>
        <v>AV SAN MARTIN</v>
      </c>
      <c r="E1565" s="7">
        <f>+'[1]BASE RED COMERCIAL'!$F1563</f>
        <v>1</v>
      </c>
      <c r="F1565" s="14" t="str">
        <f>+'[1]BASE RED COMERCIAL'!$I1563</f>
        <v>T4140ZAA</v>
      </c>
      <c r="G1565" s="7" t="str">
        <f>+'[1]BASE RED COMERCIAL'!$D1563</f>
        <v>TAFI DEL VALLE</v>
      </c>
      <c r="H1565" s="7" t="str">
        <f>+'[1]BASE RED COMERCIAL'!$B1563</f>
        <v>TUCUMAN</v>
      </c>
      <c r="I1565" s="8" t="str">
        <f>+'[1]BASE RED COMERCIAL'!$C1563</f>
        <v>TAFI DEL VALLE</v>
      </c>
    </row>
    <row r="1566" spans="1:9" s="10" customFormat="1" x14ac:dyDescent="0.25">
      <c r="A1566" s="14" t="str">
        <f>+'[1]BASE RED COMERCIAL'!$A1564</f>
        <v>T0070</v>
      </c>
      <c r="B1566" s="8" t="str">
        <f>+'[1]BASE RED COMERCIAL'!$H1564</f>
        <v>TAFI VIEJO</v>
      </c>
      <c r="C1566" s="7" t="s">
        <v>33</v>
      </c>
      <c r="D1566" s="9" t="str">
        <f>+'[1]BASE RED COMERCIAL'!$E1564</f>
        <v>MONTEAGUDO</v>
      </c>
      <c r="E1566" s="7">
        <f>+'[1]BASE RED COMERCIAL'!$F1564</f>
        <v>15</v>
      </c>
      <c r="F1566" s="14" t="str">
        <f>+'[1]BASE RED COMERCIAL'!$I1564</f>
        <v>T4103ZAA</v>
      </c>
      <c r="G1566" s="7" t="str">
        <f>+'[1]BASE RED COMERCIAL'!$D1564</f>
        <v>TAFI VIEJO</v>
      </c>
      <c r="H1566" s="7" t="str">
        <f>+'[1]BASE RED COMERCIAL'!$B1564</f>
        <v>TUCUMAN</v>
      </c>
      <c r="I1566" s="8" t="str">
        <f>+'[1]BASE RED COMERCIAL'!$C1564</f>
        <v>TAFI VIEJO</v>
      </c>
    </row>
    <row r="1567" spans="1:9" s="10" customFormat="1" x14ac:dyDescent="0.25">
      <c r="A1567" s="14" t="str">
        <f>+'[1]BASE RED COMERCIAL'!$A1565</f>
        <v>T0072</v>
      </c>
      <c r="B1567" s="8" t="str">
        <f>+'[1]BASE RED COMERCIAL'!$H1565</f>
        <v>TRANCAS</v>
      </c>
      <c r="C1567" s="7" t="s">
        <v>33</v>
      </c>
      <c r="D1567" s="9" t="str">
        <f>+'[1]BASE RED COMERCIAL'!$E1565</f>
        <v>25 DE MAYO Y BELGRANO</v>
      </c>
      <c r="E1567" s="7">
        <f>+'[1]BASE RED COMERCIAL'!$F1565</f>
        <v>0</v>
      </c>
      <c r="F1567" s="14" t="str">
        <f>+'[1]BASE RED COMERCIAL'!$I1565</f>
        <v>T4124ZAB</v>
      </c>
      <c r="G1567" s="7" t="str">
        <f>+'[1]BASE RED COMERCIAL'!$D1565</f>
        <v>TRANCAS</v>
      </c>
      <c r="H1567" s="7" t="str">
        <f>+'[1]BASE RED COMERCIAL'!$B1565</f>
        <v>TUCUMAN</v>
      </c>
      <c r="I1567" s="8" t="str">
        <f>+'[1]BASE RED COMERCIAL'!$C1565</f>
        <v>TRANCAS</v>
      </c>
    </row>
    <row r="1568" spans="1:9" s="10" customFormat="1" x14ac:dyDescent="0.25">
      <c r="A1568" s="14" t="str">
        <f>+'[1]BASE RED COMERCIAL'!$A1566</f>
        <v>T0074</v>
      </c>
      <c r="B1568" s="8" t="str">
        <f>+'[1]BASE RED COMERCIAL'!$H1566</f>
        <v>V. LA TRINIDAD</v>
      </c>
      <c r="C1568" s="7" t="s">
        <v>33</v>
      </c>
      <c r="D1568" s="9" t="str">
        <f>+'[1]BASE RED COMERCIAL'!$E1566</f>
        <v>AV ANTONIO LAFUENTE</v>
      </c>
      <c r="E1568" s="7">
        <f>+'[1]BASE RED COMERCIAL'!$F1566</f>
        <v>1</v>
      </c>
      <c r="F1568" s="14" t="str">
        <f>+'[1]BASE RED COMERCIAL'!$I1566</f>
        <v>T4151ZAA</v>
      </c>
      <c r="G1568" s="7" t="str">
        <f>+'[1]BASE RED COMERCIAL'!$D1566</f>
        <v>VILLA LA TRINIDAD</v>
      </c>
      <c r="H1568" s="7" t="str">
        <f>+'[1]BASE RED COMERCIAL'!$B1566</f>
        <v>TUCUMAN</v>
      </c>
      <c r="I1568" s="8" t="str">
        <f>+'[1]BASE RED COMERCIAL'!$C1566</f>
        <v>CHICLIGASTA</v>
      </c>
    </row>
    <row r="1569" spans="1:9" s="10" customFormat="1" x14ac:dyDescent="0.25">
      <c r="A1569" s="14" t="str">
        <f>+'[1]BASE RED COMERCIAL'!$A1567</f>
        <v>T0076</v>
      </c>
      <c r="B1569" s="8" t="str">
        <f>+'[1]BASE RED COMERCIAL'!$H1567</f>
        <v>V. QUINTEROS</v>
      </c>
      <c r="C1569" s="7" t="s">
        <v>33</v>
      </c>
      <c r="D1569" s="9" t="str">
        <f>+'[1]BASE RED COMERCIAL'!$E1567</f>
        <v>FLORIDA</v>
      </c>
      <c r="E1569" s="7">
        <f>+'[1]BASE RED COMERCIAL'!$F1567</f>
        <v>101</v>
      </c>
      <c r="F1569" s="14" t="str">
        <f>+'[1]BASE RED COMERCIAL'!$I1567</f>
        <v>T4144ZAA</v>
      </c>
      <c r="G1569" s="7" t="str">
        <f>+'[1]BASE RED COMERCIAL'!$D1567</f>
        <v>VILLA QUINTEROS</v>
      </c>
      <c r="H1569" s="7" t="str">
        <f>+'[1]BASE RED COMERCIAL'!$B1567</f>
        <v>TUCUMAN</v>
      </c>
      <c r="I1569" s="8" t="str">
        <f>+'[1]BASE RED COMERCIAL'!$C1567</f>
        <v>MONTEROS</v>
      </c>
    </row>
    <row r="1570" spans="1:9" s="10" customFormat="1" x14ac:dyDescent="0.25">
      <c r="A1570" s="14" t="str">
        <f>+'[1]BASE RED COMERCIAL'!$A1568</f>
        <v>T0078</v>
      </c>
      <c r="B1570" s="8" t="str">
        <f>+'[1]BASE RED COMERCIAL'!$H1568</f>
        <v>YERBA BUENA</v>
      </c>
      <c r="C1570" s="7" t="s">
        <v>33</v>
      </c>
      <c r="D1570" s="9" t="str">
        <f>+'[1]BASE RED COMERCIAL'!$E1568</f>
        <v>AV ACONQUIJA</v>
      </c>
      <c r="E1570" s="7">
        <f>+'[1]BASE RED COMERCIAL'!$F1568</f>
        <v>2021</v>
      </c>
      <c r="F1570" s="14" t="str">
        <f>+'[1]BASE RED COMERCIAL'!$I1568</f>
        <v>T4107ZAA</v>
      </c>
      <c r="G1570" s="7" t="str">
        <f>+'[1]BASE RED COMERCIAL'!$D1568</f>
        <v>YERBA BUENA</v>
      </c>
      <c r="H1570" s="7" t="str">
        <f>+'[1]BASE RED COMERCIAL'!$B1568</f>
        <v>TUCUMAN</v>
      </c>
      <c r="I1570" s="8" t="str">
        <f>+'[1]BASE RED COMERCIAL'!$C1568</f>
        <v>YERBA BUENA</v>
      </c>
    </row>
    <row r="1571" spans="1:9" s="10" customFormat="1" x14ac:dyDescent="0.25">
      <c r="A1571" s="14" t="str">
        <f>+'[1]BASE RED COMERCIAL'!$A1569</f>
        <v>T1018</v>
      </c>
      <c r="B1571" s="8" t="str">
        <f>+'[1]BASE RED COMERCIAL'!$H1569</f>
        <v>RANCHILLOS</v>
      </c>
      <c r="C1571" s="7" t="s">
        <v>33</v>
      </c>
      <c r="D1571" s="9" t="str">
        <f>+'[1]BASE RED COMERCIAL'!$E1569</f>
        <v>AV SAN MARTIN</v>
      </c>
      <c r="E1571" s="7">
        <f>+'[1]BASE RED COMERCIAL'!$F1569</f>
        <v>64</v>
      </c>
      <c r="F1571" s="14" t="str">
        <f>+'[1]BASE RED COMERCIAL'!$I1569</f>
        <v>T4179ZAA</v>
      </c>
      <c r="G1571" s="7" t="str">
        <f>+'[1]BASE RED COMERCIAL'!$D1569</f>
        <v>RANCHILLOS</v>
      </c>
      <c r="H1571" s="7" t="str">
        <f>+'[1]BASE RED COMERCIAL'!$B1569</f>
        <v>TUCUMAN</v>
      </c>
      <c r="I1571" s="8" t="str">
        <f>+'[1]BASE RED COMERCIAL'!$C1569</f>
        <v>CRUZ ALTA</v>
      </c>
    </row>
    <row r="1572" spans="1:9" s="10" customFormat="1" x14ac:dyDescent="0.25">
      <c r="A1572" s="14" t="str">
        <f>+'[1]BASE RED COMERCIAL'!$A1570</f>
        <v>T1149</v>
      </c>
      <c r="B1572" s="8" t="str">
        <f>+'[1]BASE RED COMERCIAL'!$H1570</f>
        <v>AGUA DULCE</v>
      </c>
      <c r="C1572" s="7" t="s">
        <v>33</v>
      </c>
      <c r="D1572" s="9" t="str">
        <f>+'[1]BASE RED COMERCIAL'!$E1570</f>
        <v>CALLE PUBLICA</v>
      </c>
      <c r="E1572" s="7">
        <f>+'[1]BASE RED COMERCIAL'!$F1570</f>
        <v>0</v>
      </c>
      <c r="F1572" s="14" t="str">
        <f>+'[1]BASE RED COMERCIAL'!$I1570</f>
        <v>T4115ZAA</v>
      </c>
      <c r="G1572" s="7" t="str">
        <f>+'[1]BASE RED COMERCIAL'!$D1570</f>
        <v>AGUA DULCE</v>
      </c>
      <c r="H1572" s="7" t="str">
        <f>+'[1]BASE RED COMERCIAL'!$B1570</f>
        <v>TUCUMAN</v>
      </c>
      <c r="I1572" s="8" t="str">
        <f>+'[1]BASE RED COMERCIAL'!$C1570</f>
        <v>CRUZ ALTA</v>
      </c>
    </row>
    <row r="1573" spans="1:9" s="10" customFormat="1" x14ac:dyDescent="0.25">
      <c r="A1573" s="14" t="str">
        <f>+'[1]BASE RED COMERCIAL'!$A1571</f>
        <v>T1159</v>
      </c>
      <c r="B1573" s="8" t="str">
        <f>+'[1]BASE RED COMERCIAL'!$H1571</f>
        <v>EL SIAMBON</v>
      </c>
      <c r="C1573" s="7" t="s">
        <v>33</v>
      </c>
      <c r="D1573" s="9" t="str">
        <f>+'[1]BASE RED COMERCIAL'!$E1571</f>
        <v>PUBLICA S/N</v>
      </c>
      <c r="E1573" s="7">
        <f>+'[1]BASE RED COMERCIAL'!$F1571</f>
        <v>0</v>
      </c>
      <c r="F1573" s="14" t="str">
        <f>+'[1]BASE RED COMERCIAL'!$I1571</f>
        <v>T4105ZAB</v>
      </c>
      <c r="G1573" s="7" t="str">
        <f>+'[1]BASE RED COMERCIAL'!$D1571</f>
        <v>EL SIAMBON</v>
      </c>
      <c r="H1573" s="7" t="str">
        <f>+'[1]BASE RED COMERCIAL'!$B1571</f>
        <v>TUCUMAN</v>
      </c>
      <c r="I1573" s="8" t="str">
        <f>+'[1]BASE RED COMERCIAL'!$C1571</f>
        <v>TAFI VIEJO</v>
      </c>
    </row>
    <row r="1574" spans="1:9" s="10" customFormat="1" x14ac:dyDescent="0.25">
      <c r="A1574" s="14" t="str">
        <f>+'[1]BASE RED COMERCIAL'!$A1572</f>
        <v>T1208</v>
      </c>
      <c r="B1574" s="8" t="str">
        <f>+'[1]BASE RED COMERCIAL'!$H1572</f>
        <v>NUEVA TRINIDAD</v>
      </c>
      <c r="C1574" s="7" t="s">
        <v>33</v>
      </c>
      <c r="D1574" s="9" t="str">
        <f>+'[1]BASE RED COMERCIAL'!$E1572</f>
        <v>CALLE PUBLICA</v>
      </c>
      <c r="E1574" s="7">
        <f>+'[1]BASE RED COMERCIAL'!$F1572</f>
        <v>0</v>
      </c>
      <c r="F1574" s="14" t="str">
        <f>+'[1]BASE RED COMERCIAL'!$I1572</f>
        <v>T4157ZAB</v>
      </c>
      <c r="G1574" s="7" t="str">
        <f>+'[1]BASE RED COMERCIAL'!$D1572</f>
        <v>NUEVA TRINIDAD</v>
      </c>
      <c r="H1574" s="7" t="str">
        <f>+'[1]BASE RED COMERCIAL'!$B1572</f>
        <v>TUCUMAN</v>
      </c>
      <c r="I1574" s="8" t="str">
        <f>+'[1]BASE RED COMERCIAL'!$C1572</f>
        <v>SIMOCA</v>
      </c>
    </row>
    <row r="1575" spans="1:9" s="10" customFormat="1" x14ac:dyDescent="0.25">
      <c r="A1575" s="270" t="str">
        <f>+'[1]BASE RED COMERCIAL'!$A1573</f>
        <v>T1282</v>
      </c>
      <c r="B1575" s="271" t="str">
        <f>+'[1]BASE RED COMERCIAL'!$H1573</f>
        <v>TUCUMAN TRIBUNALES</v>
      </c>
      <c r="C1575" s="272" t="s">
        <v>33</v>
      </c>
      <c r="D1575" s="273" t="str">
        <f>+'[1]BASE RED COMERCIAL'!$E1573</f>
        <v>VELEZ SARSFIELD</v>
      </c>
      <c r="E1575" s="272">
        <f>+'[1]BASE RED COMERCIAL'!$F1573</f>
        <v>450</v>
      </c>
      <c r="F1575" s="270" t="str">
        <f>+'[1]BASE RED COMERCIAL'!$I1573</f>
        <v>T4002ZAC</v>
      </c>
      <c r="G1575" s="272" t="str">
        <f>+'[1]BASE RED COMERCIAL'!$D1573</f>
        <v>SAN MIGUEL DE TUCUMAN</v>
      </c>
      <c r="H1575" s="272" t="str">
        <f>+'[1]BASE RED COMERCIAL'!$B1573</f>
        <v>TUCUMAN</v>
      </c>
      <c r="I1575" s="271" t="str">
        <f>+'[1]BASE RED COMERCIAL'!$C1573</f>
        <v>CAPITAL</v>
      </c>
    </row>
    <row r="1576" spans="1:9" s="10" customFormat="1" x14ac:dyDescent="0.25">
      <c r="A1576" s="18"/>
      <c r="C1576" s="17"/>
      <c r="D1576" s="19"/>
      <c r="E1576" s="17"/>
      <c r="F1576" s="18"/>
      <c r="G1576" s="17"/>
      <c r="H1576" s="17"/>
    </row>
    <row r="1577" spans="1:9" s="10" customFormat="1" x14ac:dyDescent="0.25">
      <c r="A1577" s="18"/>
      <c r="C1577" s="17"/>
      <c r="D1577" s="19"/>
      <c r="E1577" s="17"/>
      <c r="F1577" s="18"/>
      <c r="G1577" s="17"/>
      <c r="H1577" s="17"/>
    </row>
    <row r="1578" spans="1:9" s="10" customFormat="1" x14ac:dyDescent="0.25">
      <c r="A1578" s="18"/>
      <c r="C1578" s="17"/>
      <c r="D1578" s="19"/>
      <c r="E1578" s="17"/>
      <c r="F1578" s="18"/>
      <c r="G1578" s="17"/>
      <c r="H1578" s="17"/>
    </row>
    <row r="1579" spans="1:9" s="10" customFormat="1" x14ac:dyDescent="0.25">
      <c r="A1579" s="18"/>
      <c r="C1579" s="17"/>
      <c r="D1579" s="19"/>
      <c r="E1579" s="17"/>
      <c r="F1579" s="18"/>
      <c r="G1579" s="17"/>
      <c r="H1579" s="17"/>
    </row>
    <row r="1580" spans="1:9" s="10" customFormat="1" x14ac:dyDescent="0.25">
      <c r="A1580" s="18"/>
      <c r="C1580" s="17"/>
      <c r="D1580" s="19"/>
      <c r="E1580" s="17"/>
      <c r="F1580" s="18"/>
      <c r="G1580" s="17"/>
      <c r="H1580" s="17"/>
    </row>
    <row r="1581" spans="1:9" s="10" customFormat="1" x14ac:dyDescent="0.25">
      <c r="A1581" s="18"/>
      <c r="C1581" s="17"/>
      <c r="D1581" s="19"/>
      <c r="E1581" s="17"/>
      <c r="F1581" s="18"/>
      <c r="G1581" s="17"/>
      <c r="H1581" s="17"/>
    </row>
    <row r="1582" spans="1:9" s="10" customFormat="1" x14ac:dyDescent="0.25">
      <c r="A1582" s="18"/>
      <c r="C1582" s="17"/>
      <c r="D1582" s="19"/>
      <c r="E1582" s="17"/>
      <c r="F1582" s="18"/>
      <c r="G1582" s="17"/>
      <c r="H1582" s="17"/>
    </row>
    <row r="1583" spans="1:9" s="10" customFormat="1" x14ac:dyDescent="0.25">
      <c r="A1583" s="18"/>
      <c r="C1583" s="17"/>
      <c r="D1583" s="19"/>
      <c r="E1583" s="17"/>
      <c r="F1583" s="18"/>
      <c r="G1583" s="17"/>
      <c r="H1583" s="17"/>
    </row>
    <row r="1584" spans="1:9" s="10" customFormat="1" x14ac:dyDescent="0.25">
      <c r="A1584" s="18"/>
      <c r="C1584" s="17"/>
      <c r="D1584" s="19"/>
      <c r="E1584" s="17"/>
      <c r="F1584" s="18"/>
      <c r="G1584" s="17"/>
      <c r="H1584" s="17"/>
    </row>
    <row r="1585" spans="1:8" s="10" customFormat="1" x14ac:dyDescent="0.25">
      <c r="A1585" s="18"/>
      <c r="C1585" s="17"/>
      <c r="D1585" s="19"/>
      <c r="E1585" s="17"/>
      <c r="F1585" s="18"/>
      <c r="G1585" s="17"/>
      <c r="H1585" s="17"/>
    </row>
    <row r="1586" spans="1:8" s="10" customFormat="1" x14ac:dyDescent="0.25">
      <c r="A1586" s="18"/>
      <c r="C1586" s="17"/>
      <c r="D1586" s="19"/>
      <c r="E1586" s="17"/>
      <c r="F1586" s="18"/>
      <c r="G1586" s="17"/>
      <c r="H1586" s="17"/>
    </row>
    <row r="1587" spans="1:8" s="10" customFormat="1" x14ac:dyDescent="0.25">
      <c r="A1587" s="18"/>
      <c r="C1587" s="17"/>
      <c r="D1587" s="19"/>
      <c r="E1587" s="17"/>
      <c r="F1587" s="18"/>
      <c r="G1587" s="17"/>
      <c r="H1587" s="17"/>
    </row>
    <row r="1588" spans="1:8" s="10" customFormat="1" x14ac:dyDescent="0.25">
      <c r="A1588" s="18"/>
      <c r="C1588" s="17"/>
      <c r="D1588" s="19"/>
      <c r="E1588" s="17"/>
      <c r="F1588" s="18"/>
      <c r="G1588" s="17"/>
      <c r="H1588" s="17"/>
    </row>
    <row r="1589" spans="1:8" s="10" customFormat="1" x14ac:dyDescent="0.25">
      <c r="A1589" s="18"/>
      <c r="C1589" s="17"/>
      <c r="D1589" s="19"/>
      <c r="E1589" s="17"/>
      <c r="F1589" s="18"/>
      <c r="G1589" s="17"/>
      <c r="H1589" s="17"/>
    </row>
    <row r="1590" spans="1:8" s="10" customFormat="1" x14ac:dyDescent="0.25">
      <c r="A1590" s="18"/>
      <c r="C1590" s="17"/>
      <c r="D1590" s="19"/>
      <c r="E1590" s="17"/>
      <c r="F1590" s="18"/>
      <c r="G1590" s="17"/>
      <c r="H1590" s="17"/>
    </row>
    <row r="1591" spans="1:8" s="10" customFormat="1" x14ac:dyDescent="0.25">
      <c r="A1591" s="18"/>
      <c r="C1591" s="17"/>
      <c r="D1591" s="19"/>
      <c r="E1591" s="17"/>
      <c r="F1591" s="18"/>
      <c r="G1591" s="17"/>
      <c r="H1591" s="17"/>
    </row>
    <row r="1592" spans="1:8" s="10" customFormat="1" x14ac:dyDescent="0.25">
      <c r="A1592" s="18"/>
      <c r="C1592" s="17"/>
      <c r="D1592" s="19"/>
      <c r="E1592" s="17"/>
      <c r="F1592" s="18"/>
      <c r="G1592" s="17"/>
      <c r="H1592" s="17"/>
    </row>
    <row r="1593" spans="1:8" s="10" customFormat="1" x14ac:dyDescent="0.25">
      <c r="A1593" s="18"/>
      <c r="C1593" s="17"/>
      <c r="D1593" s="19"/>
      <c r="E1593" s="17"/>
      <c r="F1593" s="18"/>
      <c r="G1593" s="17"/>
      <c r="H1593" s="17"/>
    </row>
    <row r="1594" spans="1:8" s="10" customFormat="1" x14ac:dyDescent="0.25">
      <c r="A1594" s="18"/>
      <c r="C1594" s="17"/>
      <c r="D1594" s="19"/>
      <c r="E1594" s="17"/>
      <c r="F1594" s="18"/>
      <c r="G1594" s="17"/>
      <c r="H1594" s="17"/>
    </row>
    <row r="1595" spans="1:8" s="10" customFormat="1" x14ac:dyDescent="0.25">
      <c r="A1595" s="18"/>
      <c r="C1595" s="17"/>
      <c r="D1595" s="19"/>
      <c r="E1595" s="17"/>
      <c r="F1595" s="18"/>
      <c r="G1595" s="17"/>
      <c r="H1595" s="17"/>
    </row>
    <row r="1596" spans="1:8" s="10" customFormat="1" x14ac:dyDescent="0.25">
      <c r="A1596" s="18"/>
      <c r="C1596" s="17"/>
      <c r="D1596" s="19"/>
      <c r="E1596" s="17"/>
      <c r="F1596" s="18"/>
      <c r="G1596" s="17"/>
      <c r="H1596" s="17"/>
    </row>
    <row r="1597" spans="1:8" s="10" customFormat="1" x14ac:dyDescent="0.25">
      <c r="A1597" s="18"/>
      <c r="C1597" s="17"/>
      <c r="D1597" s="19"/>
      <c r="E1597" s="17"/>
      <c r="F1597" s="18"/>
      <c r="G1597" s="17"/>
      <c r="H1597" s="17"/>
    </row>
    <row r="1598" spans="1:8" s="10" customFormat="1" x14ac:dyDescent="0.25">
      <c r="A1598" s="18"/>
      <c r="C1598" s="17"/>
      <c r="D1598" s="19"/>
      <c r="E1598" s="17"/>
      <c r="F1598" s="18"/>
      <c r="G1598" s="17"/>
      <c r="H1598" s="17"/>
    </row>
    <row r="1599" spans="1:8" s="10" customFormat="1" x14ac:dyDescent="0.25">
      <c r="A1599" s="18"/>
      <c r="C1599" s="17"/>
      <c r="D1599" s="19"/>
      <c r="E1599" s="17"/>
      <c r="F1599" s="18"/>
      <c r="G1599" s="17"/>
      <c r="H1599" s="17"/>
    </row>
    <row r="1600" spans="1:8" s="10" customFormat="1" x14ac:dyDescent="0.25">
      <c r="A1600" s="18"/>
      <c r="C1600" s="17"/>
      <c r="D1600" s="19"/>
      <c r="E1600" s="17"/>
      <c r="F1600" s="18"/>
      <c r="G1600" s="17"/>
      <c r="H1600" s="17"/>
    </row>
    <row r="1601" spans="1:8" s="10" customFormat="1" x14ac:dyDescent="0.25">
      <c r="A1601" s="18"/>
      <c r="C1601" s="17"/>
      <c r="D1601" s="19"/>
      <c r="E1601" s="17"/>
      <c r="F1601" s="18"/>
      <c r="G1601" s="17"/>
      <c r="H1601" s="17"/>
    </row>
    <row r="1602" spans="1:8" s="10" customFormat="1" x14ac:dyDescent="0.25">
      <c r="A1602" s="18"/>
      <c r="C1602" s="17"/>
      <c r="D1602" s="19"/>
      <c r="E1602" s="17"/>
      <c r="F1602" s="18"/>
      <c r="G1602" s="17"/>
      <c r="H1602" s="17"/>
    </row>
    <row r="1603" spans="1:8" s="10" customFormat="1" x14ac:dyDescent="0.25">
      <c r="A1603" s="18"/>
      <c r="C1603" s="17"/>
      <c r="D1603" s="19"/>
      <c r="E1603" s="17"/>
      <c r="F1603" s="18"/>
      <c r="G1603" s="17"/>
      <c r="H1603" s="17"/>
    </row>
    <row r="1604" spans="1:8" s="10" customFormat="1" x14ac:dyDescent="0.25">
      <c r="A1604" s="18"/>
      <c r="C1604" s="17"/>
      <c r="D1604" s="19"/>
      <c r="E1604" s="17"/>
      <c r="F1604" s="18"/>
      <c r="G1604" s="17"/>
      <c r="H1604" s="17"/>
    </row>
    <row r="1605" spans="1:8" s="10" customFormat="1" x14ac:dyDescent="0.25">
      <c r="A1605" s="18"/>
      <c r="C1605" s="17"/>
      <c r="D1605" s="19"/>
      <c r="E1605" s="17"/>
      <c r="F1605" s="18"/>
      <c r="G1605" s="17"/>
      <c r="H1605" s="17"/>
    </row>
    <row r="1606" spans="1:8" s="10" customFormat="1" x14ac:dyDescent="0.25">
      <c r="A1606" s="18"/>
      <c r="C1606" s="17"/>
      <c r="D1606" s="19"/>
      <c r="E1606" s="17"/>
      <c r="F1606" s="18"/>
      <c r="G1606" s="17"/>
      <c r="H1606" s="17"/>
    </row>
    <row r="1607" spans="1:8" s="10" customFormat="1" x14ac:dyDescent="0.25">
      <c r="A1607" s="18"/>
      <c r="C1607" s="17"/>
      <c r="D1607" s="19"/>
      <c r="E1607" s="17"/>
      <c r="F1607" s="18"/>
      <c r="G1607" s="17"/>
      <c r="H1607" s="17"/>
    </row>
    <row r="1608" spans="1:8" s="10" customFormat="1" x14ac:dyDescent="0.25">
      <c r="A1608" s="18"/>
      <c r="C1608" s="17"/>
      <c r="D1608" s="19"/>
      <c r="E1608" s="17"/>
      <c r="F1608" s="18"/>
      <c r="G1608" s="17"/>
      <c r="H1608" s="17"/>
    </row>
    <row r="1609" spans="1:8" s="10" customFormat="1" x14ac:dyDescent="0.25">
      <c r="A1609" s="18"/>
      <c r="C1609" s="17"/>
      <c r="D1609" s="19"/>
      <c r="E1609" s="17"/>
      <c r="F1609" s="18"/>
      <c r="G1609" s="17"/>
      <c r="H1609" s="17"/>
    </row>
    <row r="1610" spans="1:8" s="10" customFormat="1" x14ac:dyDescent="0.25">
      <c r="A1610" s="18"/>
      <c r="C1610" s="17"/>
      <c r="D1610" s="19"/>
      <c r="E1610" s="17"/>
      <c r="F1610" s="18"/>
      <c r="G1610" s="17"/>
      <c r="H1610" s="17"/>
    </row>
    <row r="1611" spans="1:8" s="10" customFormat="1" x14ac:dyDescent="0.25">
      <c r="A1611" s="18"/>
      <c r="C1611" s="17"/>
      <c r="D1611" s="19"/>
      <c r="E1611" s="17"/>
      <c r="F1611" s="18"/>
      <c r="G1611" s="17"/>
      <c r="H1611" s="17"/>
    </row>
    <row r="1612" spans="1:8" s="10" customFormat="1" x14ac:dyDescent="0.25">
      <c r="A1612" s="18"/>
      <c r="C1612" s="17"/>
      <c r="D1612" s="19"/>
      <c r="E1612" s="17"/>
      <c r="F1612" s="18"/>
      <c r="G1612" s="17"/>
      <c r="H1612" s="17"/>
    </row>
    <row r="1613" spans="1:8" s="10" customFormat="1" x14ac:dyDescent="0.25">
      <c r="A1613" s="18"/>
      <c r="C1613" s="17"/>
      <c r="D1613" s="19"/>
      <c r="E1613" s="17"/>
      <c r="F1613" s="18"/>
      <c r="G1613" s="17"/>
      <c r="H1613" s="17"/>
    </row>
    <row r="1614" spans="1:8" s="10" customFormat="1" x14ac:dyDescent="0.25">
      <c r="A1614" s="18"/>
      <c r="C1614" s="17"/>
      <c r="D1614" s="19"/>
      <c r="E1614" s="17"/>
      <c r="F1614" s="18"/>
      <c r="G1614" s="17"/>
      <c r="H1614" s="17"/>
    </row>
    <row r="1615" spans="1:8" s="10" customFormat="1" x14ac:dyDescent="0.25">
      <c r="A1615" s="18"/>
      <c r="C1615" s="17"/>
      <c r="D1615" s="19"/>
      <c r="E1615" s="17"/>
      <c r="F1615" s="18"/>
      <c r="G1615" s="17"/>
      <c r="H1615" s="17"/>
    </row>
    <row r="1616" spans="1:8" s="10" customFormat="1" x14ac:dyDescent="0.25">
      <c r="A1616" s="18"/>
      <c r="C1616" s="17"/>
      <c r="D1616" s="19"/>
      <c r="E1616" s="17"/>
      <c r="F1616" s="18"/>
      <c r="G1616" s="17"/>
      <c r="H1616" s="17"/>
    </row>
    <row r="1617" spans="1:8" s="10" customFormat="1" x14ac:dyDescent="0.25">
      <c r="A1617" s="18"/>
      <c r="C1617" s="17"/>
      <c r="D1617" s="19"/>
      <c r="E1617" s="17"/>
      <c r="F1617" s="18"/>
      <c r="G1617" s="17"/>
      <c r="H1617" s="17"/>
    </row>
    <row r="1618" spans="1:8" s="10" customFormat="1" x14ac:dyDescent="0.25">
      <c r="A1618" s="18"/>
      <c r="C1618" s="17"/>
      <c r="D1618" s="19"/>
      <c r="E1618" s="17"/>
      <c r="F1618" s="18"/>
      <c r="G1618" s="17"/>
      <c r="H1618" s="17"/>
    </row>
    <row r="1619" spans="1:8" s="10" customFormat="1" x14ac:dyDescent="0.25">
      <c r="A1619" s="18"/>
      <c r="C1619" s="17"/>
      <c r="D1619" s="19"/>
      <c r="E1619" s="17"/>
      <c r="F1619" s="18"/>
      <c r="G1619" s="17"/>
      <c r="H1619" s="17"/>
    </row>
    <row r="1620" spans="1:8" s="10" customFormat="1" x14ac:dyDescent="0.25">
      <c r="A1620" s="18"/>
      <c r="C1620" s="17"/>
      <c r="D1620" s="19"/>
      <c r="E1620" s="17"/>
      <c r="F1620" s="18"/>
      <c r="G1620" s="17"/>
      <c r="H1620" s="17"/>
    </row>
    <row r="1621" spans="1:8" s="10" customFormat="1" x14ac:dyDescent="0.25">
      <c r="A1621" s="18"/>
      <c r="C1621" s="17"/>
      <c r="D1621" s="19"/>
      <c r="E1621" s="17"/>
      <c r="F1621" s="18"/>
      <c r="G1621" s="17"/>
      <c r="H1621" s="17"/>
    </row>
    <row r="1622" spans="1:8" s="10" customFormat="1" x14ac:dyDescent="0.25">
      <c r="A1622" s="18"/>
      <c r="C1622" s="17"/>
      <c r="D1622" s="19"/>
      <c r="E1622" s="17"/>
      <c r="F1622" s="18"/>
      <c r="G1622" s="17"/>
      <c r="H1622" s="17"/>
    </row>
    <row r="1623" spans="1:8" s="10" customFormat="1" x14ac:dyDescent="0.25">
      <c r="A1623" s="18"/>
      <c r="C1623" s="17"/>
      <c r="D1623" s="19"/>
      <c r="E1623" s="17"/>
      <c r="F1623" s="18"/>
      <c r="G1623" s="17"/>
      <c r="H1623" s="17"/>
    </row>
    <row r="1624" spans="1:8" s="10" customFormat="1" x14ac:dyDescent="0.25">
      <c r="A1624" s="18"/>
      <c r="C1624" s="17"/>
      <c r="D1624" s="19"/>
      <c r="E1624" s="17"/>
      <c r="F1624" s="18"/>
      <c r="G1624" s="17"/>
      <c r="H1624" s="17"/>
    </row>
    <row r="1625" spans="1:8" s="10" customFormat="1" x14ac:dyDescent="0.25">
      <c r="A1625" s="18"/>
      <c r="C1625" s="17"/>
      <c r="D1625" s="19"/>
      <c r="E1625" s="17"/>
      <c r="F1625" s="18"/>
      <c r="G1625" s="17"/>
      <c r="H1625" s="17"/>
    </row>
    <row r="1626" spans="1:8" s="10" customFormat="1" x14ac:dyDescent="0.25">
      <c r="A1626" s="18"/>
      <c r="C1626" s="17"/>
      <c r="D1626" s="19"/>
      <c r="E1626" s="17"/>
      <c r="F1626" s="18"/>
      <c r="G1626" s="17"/>
      <c r="H1626" s="17"/>
    </row>
    <row r="1627" spans="1:8" s="10" customFormat="1" x14ac:dyDescent="0.25">
      <c r="A1627" s="18"/>
      <c r="C1627" s="17"/>
      <c r="D1627" s="19"/>
      <c r="E1627" s="17"/>
      <c r="F1627" s="18"/>
      <c r="G1627" s="17"/>
      <c r="H1627" s="17"/>
    </row>
    <row r="1628" spans="1:8" s="10" customFormat="1" x14ac:dyDescent="0.25">
      <c r="A1628" s="18"/>
      <c r="C1628" s="17"/>
      <c r="D1628" s="19"/>
      <c r="E1628" s="17"/>
      <c r="F1628" s="18"/>
      <c r="G1628" s="17"/>
      <c r="H1628" s="17"/>
    </row>
    <row r="1629" spans="1:8" s="10" customFormat="1" x14ac:dyDescent="0.25">
      <c r="A1629" s="18"/>
      <c r="C1629" s="17"/>
      <c r="D1629" s="19"/>
      <c r="E1629" s="17"/>
      <c r="F1629" s="18"/>
      <c r="G1629" s="17"/>
      <c r="H1629" s="17"/>
    </row>
    <row r="1630" spans="1:8" s="10" customFormat="1" x14ac:dyDescent="0.25">
      <c r="A1630" s="18"/>
      <c r="C1630" s="17"/>
      <c r="D1630" s="19"/>
      <c r="E1630" s="17"/>
      <c r="F1630" s="18"/>
      <c r="G1630" s="17"/>
      <c r="H1630" s="17"/>
    </row>
    <row r="1631" spans="1:8" s="10" customFormat="1" x14ac:dyDescent="0.25">
      <c r="A1631" s="18"/>
      <c r="C1631" s="17"/>
      <c r="D1631" s="19"/>
      <c r="E1631" s="17"/>
      <c r="F1631" s="18"/>
      <c r="G1631" s="17"/>
      <c r="H1631" s="17"/>
    </row>
    <row r="1632" spans="1:8" s="10" customFormat="1" x14ac:dyDescent="0.25">
      <c r="A1632" s="18"/>
      <c r="C1632" s="17"/>
      <c r="D1632" s="19"/>
      <c r="E1632" s="17"/>
      <c r="F1632" s="18"/>
      <c r="G1632" s="17"/>
      <c r="H1632" s="17"/>
    </row>
    <row r="1633" spans="1:8" s="10" customFormat="1" x14ac:dyDescent="0.25">
      <c r="A1633" s="18"/>
      <c r="C1633" s="17"/>
      <c r="D1633" s="19"/>
      <c r="E1633" s="17"/>
      <c r="F1633" s="18"/>
      <c r="G1633" s="17"/>
      <c r="H1633" s="17"/>
    </row>
    <row r="1634" spans="1:8" s="10" customFormat="1" x14ac:dyDescent="0.25">
      <c r="A1634" s="18"/>
      <c r="C1634" s="17"/>
      <c r="D1634" s="19"/>
      <c r="E1634" s="17"/>
      <c r="F1634" s="18"/>
      <c r="G1634" s="17"/>
      <c r="H1634" s="17"/>
    </row>
    <row r="1635" spans="1:8" s="10" customFormat="1" x14ac:dyDescent="0.25">
      <c r="A1635" s="18"/>
      <c r="C1635" s="17"/>
      <c r="D1635" s="19"/>
      <c r="E1635" s="17"/>
      <c r="F1635" s="18"/>
      <c r="G1635" s="17"/>
      <c r="H1635" s="17"/>
    </row>
    <row r="1636" spans="1:8" s="10" customFormat="1" x14ac:dyDescent="0.25">
      <c r="A1636" s="18"/>
      <c r="C1636" s="17"/>
      <c r="D1636" s="19"/>
      <c r="E1636" s="17"/>
      <c r="F1636" s="18"/>
      <c r="G1636" s="17"/>
      <c r="H1636" s="17"/>
    </row>
    <row r="1637" spans="1:8" s="10" customFormat="1" x14ac:dyDescent="0.25">
      <c r="A1637" s="18"/>
      <c r="C1637" s="17"/>
      <c r="D1637" s="19"/>
      <c r="E1637" s="17"/>
      <c r="F1637" s="18"/>
      <c r="G1637" s="17"/>
      <c r="H1637" s="17"/>
    </row>
    <row r="1638" spans="1:8" s="10" customFormat="1" x14ac:dyDescent="0.25">
      <c r="A1638" s="18"/>
      <c r="C1638" s="17"/>
      <c r="D1638" s="19"/>
      <c r="E1638" s="17"/>
      <c r="F1638" s="18"/>
      <c r="G1638" s="17"/>
      <c r="H1638" s="17"/>
    </row>
    <row r="1639" spans="1:8" s="10" customFormat="1" x14ac:dyDescent="0.25">
      <c r="A1639" s="18"/>
      <c r="C1639" s="17"/>
      <c r="D1639" s="19"/>
      <c r="E1639" s="17"/>
      <c r="F1639" s="18"/>
      <c r="G1639" s="17"/>
      <c r="H1639" s="17"/>
    </row>
    <row r="1640" spans="1:8" s="10" customFormat="1" x14ac:dyDescent="0.25">
      <c r="A1640" s="18"/>
      <c r="C1640" s="17"/>
      <c r="D1640" s="19"/>
      <c r="E1640" s="17"/>
      <c r="F1640" s="18"/>
      <c r="G1640" s="17"/>
      <c r="H1640" s="17"/>
    </row>
    <row r="1641" spans="1:8" s="10" customFormat="1" x14ac:dyDescent="0.25">
      <c r="A1641" s="18"/>
      <c r="C1641" s="17"/>
      <c r="D1641" s="19"/>
      <c r="E1641" s="17"/>
      <c r="F1641" s="18"/>
      <c r="G1641" s="17"/>
      <c r="H1641" s="17"/>
    </row>
    <row r="1642" spans="1:8" s="10" customFormat="1" x14ac:dyDescent="0.25">
      <c r="A1642" s="18"/>
      <c r="C1642" s="17"/>
      <c r="D1642" s="19"/>
      <c r="E1642" s="17"/>
      <c r="F1642" s="18"/>
      <c r="G1642" s="17"/>
      <c r="H1642" s="17"/>
    </row>
    <row r="1643" spans="1:8" s="10" customFormat="1" x14ac:dyDescent="0.25">
      <c r="A1643" s="18"/>
      <c r="C1643" s="17"/>
      <c r="D1643" s="19"/>
      <c r="E1643" s="17"/>
      <c r="F1643" s="18"/>
      <c r="G1643" s="17"/>
      <c r="H1643" s="17"/>
    </row>
    <row r="1644" spans="1:8" s="10" customFormat="1" x14ac:dyDescent="0.25">
      <c r="A1644" s="18"/>
      <c r="C1644" s="17"/>
      <c r="D1644" s="19"/>
      <c r="E1644" s="17"/>
      <c r="F1644" s="18"/>
      <c r="G1644" s="17"/>
      <c r="H1644" s="17"/>
    </row>
    <row r="1645" spans="1:8" s="10" customFormat="1" x14ac:dyDescent="0.25">
      <c r="A1645" s="18"/>
      <c r="C1645" s="17"/>
      <c r="D1645" s="19"/>
      <c r="E1645" s="17"/>
      <c r="F1645" s="18"/>
      <c r="G1645" s="17"/>
      <c r="H1645" s="17"/>
    </row>
    <row r="1646" spans="1:8" s="10" customFormat="1" x14ac:dyDescent="0.25">
      <c r="A1646" s="18"/>
      <c r="C1646" s="17"/>
      <c r="D1646" s="19"/>
      <c r="E1646" s="17"/>
      <c r="F1646" s="18"/>
      <c r="G1646" s="17"/>
      <c r="H1646" s="17"/>
    </row>
    <row r="1647" spans="1:8" s="10" customFormat="1" x14ac:dyDescent="0.25">
      <c r="A1647" s="18"/>
      <c r="C1647" s="17"/>
      <c r="D1647" s="19"/>
      <c r="E1647" s="17"/>
      <c r="F1647" s="18"/>
      <c r="G1647" s="17"/>
      <c r="H1647" s="17"/>
    </row>
    <row r="1648" spans="1:8" s="10" customFormat="1" x14ac:dyDescent="0.25">
      <c r="A1648" s="18"/>
      <c r="C1648" s="17"/>
      <c r="D1648" s="19"/>
      <c r="E1648" s="17"/>
      <c r="F1648" s="18"/>
      <c r="G1648" s="17"/>
      <c r="H1648" s="17"/>
    </row>
    <row r="1649" spans="1:8" s="10" customFormat="1" x14ac:dyDescent="0.25">
      <c r="A1649" s="18"/>
      <c r="C1649" s="17"/>
      <c r="D1649" s="19"/>
      <c r="E1649" s="17"/>
      <c r="F1649" s="18"/>
      <c r="G1649" s="17"/>
      <c r="H1649" s="17"/>
    </row>
    <row r="1650" spans="1:8" s="10" customFormat="1" x14ac:dyDescent="0.25">
      <c r="A1650" s="18"/>
      <c r="C1650" s="17"/>
      <c r="D1650" s="19"/>
      <c r="E1650" s="17"/>
      <c r="F1650" s="18"/>
      <c r="G1650" s="17"/>
      <c r="H1650" s="17"/>
    </row>
    <row r="1651" spans="1:8" s="10" customFormat="1" x14ac:dyDescent="0.25">
      <c r="A1651" s="18"/>
      <c r="C1651" s="17"/>
      <c r="D1651" s="19"/>
      <c r="E1651" s="17"/>
      <c r="F1651" s="18"/>
      <c r="G1651" s="17"/>
      <c r="H1651" s="17"/>
    </row>
    <row r="1652" spans="1:8" s="10" customFormat="1" x14ac:dyDescent="0.25">
      <c r="A1652" s="18"/>
      <c r="C1652" s="17"/>
      <c r="D1652" s="19"/>
      <c r="E1652" s="17"/>
      <c r="F1652" s="18"/>
      <c r="G1652" s="17"/>
      <c r="H1652" s="17"/>
    </row>
    <row r="1653" spans="1:8" s="10" customFormat="1" x14ac:dyDescent="0.25">
      <c r="A1653" s="18"/>
      <c r="C1653" s="17"/>
      <c r="D1653" s="19"/>
      <c r="E1653" s="17"/>
      <c r="F1653" s="18"/>
      <c r="G1653" s="17"/>
      <c r="H1653" s="17"/>
    </row>
    <row r="1654" spans="1:8" s="10" customFormat="1" x14ac:dyDescent="0.25">
      <c r="A1654" s="18"/>
      <c r="C1654" s="17"/>
      <c r="D1654" s="19"/>
      <c r="E1654" s="17"/>
      <c r="F1654" s="18"/>
      <c r="G1654" s="17"/>
      <c r="H1654" s="17"/>
    </row>
    <row r="1655" spans="1:8" s="10" customFormat="1" x14ac:dyDescent="0.25">
      <c r="A1655" s="18"/>
      <c r="C1655" s="17"/>
      <c r="D1655" s="19"/>
      <c r="E1655" s="17"/>
      <c r="F1655" s="18"/>
      <c r="G1655" s="17"/>
      <c r="H1655" s="17"/>
    </row>
    <row r="1656" spans="1:8" s="10" customFormat="1" x14ac:dyDescent="0.25">
      <c r="A1656" s="18"/>
      <c r="C1656" s="17"/>
      <c r="D1656" s="19"/>
      <c r="E1656" s="17"/>
      <c r="F1656" s="18"/>
      <c r="G1656" s="17"/>
      <c r="H1656" s="17"/>
    </row>
    <row r="1657" spans="1:8" s="10" customFormat="1" x14ac:dyDescent="0.25">
      <c r="A1657" s="18"/>
      <c r="C1657" s="17"/>
      <c r="D1657" s="19"/>
      <c r="E1657" s="17"/>
      <c r="F1657" s="18"/>
      <c r="G1657" s="17"/>
      <c r="H1657" s="17"/>
    </row>
    <row r="1658" spans="1:8" s="10" customFormat="1" x14ac:dyDescent="0.25">
      <c r="A1658" s="18"/>
      <c r="C1658" s="17"/>
      <c r="D1658" s="19"/>
      <c r="E1658" s="17"/>
      <c r="F1658" s="18"/>
      <c r="G1658" s="17"/>
      <c r="H1658" s="17"/>
    </row>
    <row r="1659" spans="1:8" s="10" customFormat="1" x14ac:dyDescent="0.25">
      <c r="A1659" s="18"/>
      <c r="C1659" s="17"/>
      <c r="D1659" s="19"/>
      <c r="E1659" s="17"/>
      <c r="F1659" s="18"/>
      <c r="G1659" s="17"/>
      <c r="H1659" s="17"/>
    </row>
    <row r="1660" spans="1:8" s="10" customFormat="1" x14ac:dyDescent="0.25">
      <c r="A1660" s="18"/>
      <c r="C1660" s="17"/>
      <c r="D1660" s="19"/>
      <c r="E1660" s="17"/>
      <c r="F1660" s="18"/>
      <c r="G1660" s="17"/>
      <c r="H1660" s="17"/>
    </row>
    <row r="1661" spans="1:8" s="10" customFormat="1" x14ac:dyDescent="0.25">
      <c r="A1661" s="18"/>
      <c r="C1661" s="17"/>
      <c r="D1661" s="19"/>
      <c r="E1661" s="17"/>
      <c r="F1661" s="18"/>
      <c r="G1661" s="17"/>
      <c r="H1661" s="17"/>
    </row>
    <row r="1662" spans="1:8" s="10" customFormat="1" x14ac:dyDescent="0.25">
      <c r="A1662" s="18"/>
      <c r="C1662" s="17"/>
      <c r="D1662" s="19"/>
      <c r="E1662" s="17"/>
      <c r="F1662" s="18"/>
      <c r="G1662" s="17"/>
      <c r="H1662" s="17"/>
    </row>
    <row r="1663" spans="1:8" s="10" customFormat="1" x14ac:dyDescent="0.25">
      <c r="A1663" s="18"/>
      <c r="C1663" s="17"/>
      <c r="D1663" s="19"/>
      <c r="E1663" s="17"/>
      <c r="F1663" s="18"/>
      <c r="G1663" s="17"/>
      <c r="H1663" s="17"/>
    </row>
    <row r="1664" spans="1:8" s="10" customFormat="1" x14ac:dyDescent="0.25">
      <c r="A1664" s="18"/>
      <c r="C1664" s="17"/>
      <c r="D1664" s="19"/>
      <c r="E1664" s="17"/>
      <c r="F1664" s="18"/>
      <c r="G1664" s="17"/>
      <c r="H1664" s="17"/>
    </row>
    <row r="1665" spans="1:8" s="10" customFormat="1" x14ac:dyDescent="0.25">
      <c r="A1665" s="18"/>
      <c r="C1665" s="17"/>
      <c r="D1665" s="19"/>
      <c r="E1665" s="17"/>
      <c r="F1665" s="18"/>
      <c r="G1665" s="17"/>
      <c r="H1665" s="17"/>
    </row>
    <row r="1666" spans="1:8" s="10" customFormat="1" x14ac:dyDescent="0.25">
      <c r="A1666" s="18"/>
      <c r="C1666" s="17"/>
      <c r="D1666" s="19"/>
      <c r="E1666" s="17"/>
      <c r="F1666" s="18"/>
      <c r="G1666" s="17"/>
      <c r="H1666" s="17"/>
    </row>
    <row r="1667" spans="1:8" s="10" customFormat="1" x14ac:dyDescent="0.25">
      <c r="A1667" s="18"/>
      <c r="C1667" s="17"/>
      <c r="D1667" s="19"/>
      <c r="E1667" s="17"/>
      <c r="F1667" s="18"/>
      <c r="G1667" s="17"/>
      <c r="H1667" s="17"/>
    </row>
    <row r="1668" spans="1:8" s="10" customFormat="1" x14ac:dyDescent="0.25">
      <c r="A1668" s="18"/>
      <c r="C1668" s="17"/>
      <c r="D1668" s="19"/>
      <c r="E1668" s="17"/>
      <c r="F1668" s="18"/>
      <c r="G1668" s="17"/>
      <c r="H1668" s="17"/>
    </row>
    <row r="1669" spans="1:8" s="10" customFormat="1" x14ac:dyDescent="0.25">
      <c r="A1669" s="18"/>
      <c r="C1669" s="17"/>
      <c r="D1669" s="19"/>
      <c r="E1669" s="17"/>
      <c r="F1669" s="18"/>
      <c r="G1669" s="17"/>
      <c r="H1669" s="17"/>
    </row>
    <row r="1670" spans="1:8" s="10" customFormat="1" x14ac:dyDescent="0.25">
      <c r="A1670" s="18"/>
      <c r="C1670" s="17"/>
      <c r="D1670" s="19"/>
      <c r="E1670" s="17"/>
      <c r="F1670" s="18"/>
      <c r="G1670" s="17"/>
      <c r="H1670" s="17"/>
    </row>
    <row r="1671" spans="1:8" s="10" customFormat="1" x14ac:dyDescent="0.25">
      <c r="A1671" s="18"/>
      <c r="C1671" s="17"/>
      <c r="D1671" s="19"/>
      <c r="E1671" s="17"/>
      <c r="F1671" s="18"/>
      <c r="G1671" s="17"/>
      <c r="H1671" s="17"/>
    </row>
    <row r="1672" spans="1:8" s="10" customFormat="1" x14ac:dyDescent="0.25">
      <c r="A1672" s="18"/>
      <c r="C1672" s="17"/>
      <c r="D1672" s="19"/>
      <c r="E1672" s="17"/>
      <c r="F1672" s="18"/>
      <c r="G1672" s="17"/>
      <c r="H1672" s="17"/>
    </row>
    <row r="1673" spans="1:8" s="10" customFormat="1" x14ac:dyDescent="0.25">
      <c r="A1673" s="18"/>
      <c r="C1673" s="17"/>
      <c r="D1673" s="19"/>
      <c r="E1673" s="17"/>
      <c r="F1673" s="18"/>
      <c r="G1673" s="17"/>
      <c r="H1673" s="17"/>
    </row>
    <row r="1674" spans="1:8" s="10" customFormat="1" x14ac:dyDescent="0.25">
      <c r="A1674" s="18"/>
      <c r="C1674" s="17"/>
      <c r="D1674" s="19"/>
      <c r="E1674" s="17"/>
      <c r="F1674" s="18"/>
      <c r="G1674" s="17"/>
      <c r="H1674" s="17"/>
    </row>
    <row r="1675" spans="1:8" s="10" customFormat="1" x14ac:dyDescent="0.25">
      <c r="A1675" s="18"/>
      <c r="C1675" s="17"/>
      <c r="D1675" s="19"/>
      <c r="E1675" s="17"/>
      <c r="F1675" s="18"/>
      <c r="G1675" s="17"/>
      <c r="H1675" s="17"/>
    </row>
    <row r="1676" spans="1:8" s="10" customFormat="1" x14ac:dyDescent="0.25">
      <c r="A1676" s="18"/>
      <c r="C1676" s="17"/>
      <c r="D1676" s="19"/>
      <c r="E1676" s="17"/>
      <c r="F1676" s="18"/>
      <c r="G1676" s="17"/>
      <c r="H1676" s="17"/>
    </row>
    <row r="1677" spans="1:8" s="10" customFormat="1" x14ac:dyDescent="0.25">
      <c r="A1677" s="18"/>
      <c r="C1677" s="17"/>
      <c r="D1677" s="19"/>
      <c r="E1677" s="17"/>
      <c r="F1677" s="18"/>
      <c r="G1677" s="17"/>
      <c r="H1677" s="17"/>
    </row>
    <row r="1678" spans="1:8" s="10" customFormat="1" x14ac:dyDescent="0.25">
      <c r="A1678" s="18"/>
      <c r="C1678" s="17"/>
      <c r="D1678" s="19"/>
      <c r="E1678" s="17"/>
      <c r="F1678" s="18"/>
      <c r="G1678" s="17"/>
      <c r="H1678" s="17"/>
    </row>
    <row r="1679" spans="1:8" s="10" customFormat="1" x14ac:dyDescent="0.25">
      <c r="A1679" s="18"/>
      <c r="C1679" s="17"/>
      <c r="D1679" s="19"/>
      <c r="E1679" s="17"/>
      <c r="F1679" s="18"/>
      <c r="G1679" s="17"/>
      <c r="H1679" s="17"/>
    </row>
    <row r="1680" spans="1:8" s="10" customFormat="1" x14ac:dyDescent="0.25">
      <c r="A1680" s="18"/>
      <c r="C1680" s="17"/>
      <c r="D1680" s="19"/>
      <c r="E1680" s="17"/>
      <c r="F1680" s="18"/>
      <c r="G1680" s="17"/>
      <c r="H1680" s="17"/>
    </row>
    <row r="1681" spans="1:8" s="10" customFormat="1" x14ac:dyDescent="0.25">
      <c r="A1681" s="18"/>
      <c r="C1681" s="17"/>
      <c r="D1681" s="19"/>
      <c r="E1681" s="17"/>
      <c r="F1681" s="18"/>
      <c r="G1681" s="17"/>
      <c r="H1681" s="17"/>
    </row>
    <row r="1682" spans="1:8" s="10" customFormat="1" x14ac:dyDescent="0.25">
      <c r="A1682" s="18"/>
      <c r="C1682" s="17"/>
      <c r="D1682" s="19"/>
      <c r="E1682" s="17"/>
      <c r="F1682" s="18"/>
      <c r="G1682" s="17"/>
      <c r="H1682" s="17"/>
    </row>
    <row r="1683" spans="1:8" s="10" customFormat="1" x14ac:dyDescent="0.25">
      <c r="A1683" s="18"/>
      <c r="C1683" s="17"/>
      <c r="D1683" s="19"/>
      <c r="E1683" s="17"/>
      <c r="F1683" s="18"/>
      <c r="G1683" s="17"/>
      <c r="H1683" s="17"/>
    </row>
    <row r="1684" spans="1:8" s="10" customFormat="1" x14ac:dyDescent="0.25">
      <c r="A1684" s="18"/>
      <c r="C1684" s="17"/>
      <c r="D1684" s="19"/>
      <c r="E1684" s="17"/>
      <c r="F1684" s="18"/>
      <c r="G1684" s="17"/>
      <c r="H1684" s="17"/>
    </row>
    <row r="1685" spans="1:8" s="10" customFormat="1" x14ac:dyDescent="0.25">
      <c r="A1685" s="18"/>
      <c r="C1685" s="17"/>
      <c r="D1685" s="19"/>
      <c r="E1685" s="17"/>
      <c r="F1685" s="18"/>
      <c r="G1685" s="17"/>
      <c r="H1685" s="17"/>
    </row>
    <row r="1686" spans="1:8" s="10" customFormat="1" x14ac:dyDescent="0.25">
      <c r="A1686" s="18"/>
      <c r="C1686" s="17"/>
      <c r="D1686" s="19"/>
      <c r="E1686" s="17"/>
      <c r="F1686" s="18"/>
      <c r="G1686" s="17"/>
      <c r="H1686" s="17"/>
    </row>
    <row r="1687" spans="1:8" s="10" customFormat="1" x14ac:dyDescent="0.25">
      <c r="A1687" s="18"/>
      <c r="C1687" s="17"/>
      <c r="D1687" s="19"/>
      <c r="E1687" s="17"/>
      <c r="F1687" s="18"/>
      <c r="G1687" s="17"/>
      <c r="H1687" s="17"/>
    </row>
    <row r="1688" spans="1:8" s="10" customFormat="1" x14ac:dyDescent="0.25">
      <c r="A1688" s="18"/>
      <c r="C1688" s="17"/>
      <c r="D1688" s="19"/>
      <c r="E1688" s="17"/>
      <c r="F1688" s="18"/>
      <c r="G1688" s="17"/>
      <c r="H1688" s="17"/>
    </row>
    <row r="1689" spans="1:8" s="10" customFormat="1" x14ac:dyDescent="0.25">
      <c r="A1689" s="18"/>
      <c r="C1689" s="17"/>
      <c r="D1689" s="19"/>
      <c r="E1689" s="17"/>
      <c r="F1689" s="18"/>
      <c r="G1689" s="17"/>
      <c r="H1689" s="17"/>
    </row>
    <row r="1690" spans="1:8" s="10" customFormat="1" x14ac:dyDescent="0.25">
      <c r="A1690" s="18"/>
      <c r="C1690" s="17"/>
      <c r="D1690" s="19"/>
      <c r="E1690" s="17"/>
      <c r="F1690" s="18"/>
      <c r="G1690" s="17"/>
      <c r="H1690" s="17"/>
    </row>
    <row r="1691" spans="1:8" s="10" customFormat="1" x14ac:dyDescent="0.25">
      <c r="A1691" s="18"/>
      <c r="C1691" s="17"/>
      <c r="D1691" s="19"/>
      <c r="E1691" s="17"/>
      <c r="F1691" s="18"/>
      <c r="G1691" s="17"/>
      <c r="H1691" s="17"/>
    </row>
    <row r="1692" spans="1:8" s="10" customFormat="1" x14ac:dyDescent="0.25">
      <c r="A1692" s="18"/>
      <c r="C1692" s="17"/>
      <c r="D1692" s="19"/>
      <c r="E1692" s="17"/>
      <c r="F1692" s="18"/>
      <c r="G1692" s="17"/>
      <c r="H1692" s="17"/>
    </row>
    <row r="1693" spans="1:8" s="10" customFormat="1" x14ac:dyDescent="0.25">
      <c r="A1693" s="18"/>
      <c r="C1693" s="17"/>
      <c r="D1693" s="19"/>
      <c r="E1693" s="17"/>
      <c r="F1693" s="18"/>
      <c r="G1693" s="17"/>
      <c r="H1693" s="17"/>
    </row>
    <row r="1694" spans="1:8" s="10" customFormat="1" x14ac:dyDescent="0.25">
      <c r="A1694" s="18"/>
      <c r="C1694" s="17"/>
      <c r="D1694" s="19"/>
      <c r="E1694" s="17"/>
      <c r="F1694" s="18"/>
      <c r="G1694" s="17"/>
      <c r="H1694" s="17"/>
    </row>
    <row r="1695" spans="1:8" s="10" customFormat="1" x14ac:dyDescent="0.25">
      <c r="A1695" s="18"/>
      <c r="C1695" s="17"/>
      <c r="D1695" s="19"/>
      <c r="E1695" s="17"/>
      <c r="F1695" s="18"/>
      <c r="G1695" s="17"/>
      <c r="H1695" s="17"/>
    </row>
    <row r="1696" spans="1:8" s="10" customFormat="1" x14ac:dyDescent="0.25">
      <c r="A1696" s="18"/>
      <c r="C1696" s="17"/>
      <c r="D1696" s="19"/>
      <c r="E1696" s="17"/>
      <c r="F1696" s="18"/>
      <c r="G1696" s="17"/>
      <c r="H1696" s="17"/>
    </row>
    <row r="1697" spans="1:8" s="10" customFormat="1" x14ac:dyDescent="0.25">
      <c r="A1697" s="18"/>
      <c r="C1697" s="17"/>
      <c r="D1697" s="19"/>
      <c r="E1697" s="17"/>
      <c r="F1697" s="18"/>
      <c r="G1697" s="17"/>
      <c r="H1697" s="17"/>
    </row>
    <row r="1698" spans="1:8" s="10" customFormat="1" x14ac:dyDescent="0.25">
      <c r="A1698" s="18"/>
      <c r="C1698" s="17"/>
      <c r="D1698" s="19"/>
      <c r="E1698" s="17"/>
      <c r="F1698" s="18"/>
      <c r="G1698" s="17"/>
      <c r="H1698" s="17"/>
    </row>
    <row r="1699" spans="1:8" s="10" customFormat="1" x14ac:dyDescent="0.25">
      <c r="A1699" s="18"/>
      <c r="C1699" s="17"/>
      <c r="D1699" s="19"/>
      <c r="E1699" s="17"/>
      <c r="F1699" s="18"/>
      <c r="G1699" s="17"/>
      <c r="H1699" s="17"/>
    </row>
    <row r="1700" spans="1:8" s="10" customFormat="1" x14ac:dyDescent="0.25">
      <c r="A1700" s="18"/>
      <c r="C1700" s="17"/>
      <c r="D1700" s="19"/>
      <c r="E1700" s="17"/>
      <c r="F1700" s="18"/>
      <c r="G1700" s="17"/>
      <c r="H1700" s="17"/>
    </row>
    <row r="1701" spans="1:8" s="10" customFormat="1" x14ac:dyDescent="0.25">
      <c r="A1701" s="18"/>
      <c r="C1701" s="17"/>
      <c r="D1701" s="19"/>
      <c r="E1701" s="17"/>
      <c r="F1701" s="18"/>
      <c r="G1701" s="17"/>
      <c r="H1701" s="17"/>
    </row>
    <row r="1702" spans="1:8" s="10" customFormat="1" x14ac:dyDescent="0.25">
      <c r="A1702" s="18"/>
      <c r="C1702" s="17"/>
      <c r="D1702" s="19"/>
      <c r="E1702" s="17"/>
      <c r="F1702" s="18"/>
      <c r="G1702" s="17"/>
      <c r="H1702" s="17"/>
    </row>
    <row r="1703" spans="1:8" s="10" customFormat="1" x14ac:dyDescent="0.25">
      <c r="A1703" s="18"/>
      <c r="C1703" s="17"/>
      <c r="D1703" s="19"/>
      <c r="E1703" s="17"/>
      <c r="F1703" s="18"/>
      <c r="G1703" s="17"/>
      <c r="H1703" s="17"/>
    </row>
    <row r="1704" spans="1:8" s="10" customFormat="1" x14ac:dyDescent="0.25">
      <c r="A1704" s="18"/>
      <c r="C1704" s="17"/>
      <c r="D1704" s="19"/>
      <c r="E1704" s="17"/>
      <c r="F1704" s="18"/>
      <c r="G1704" s="17"/>
      <c r="H1704" s="17"/>
    </row>
    <row r="1705" spans="1:8" s="10" customFormat="1" x14ac:dyDescent="0.25">
      <c r="A1705" s="18"/>
      <c r="C1705" s="17"/>
      <c r="D1705" s="19"/>
      <c r="E1705" s="17"/>
      <c r="F1705" s="18"/>
      <c r="G1705" s="17"/>
      <c r="H1705" s="17"/>
    </row>
    <row r="1706" spans="1:8" s="10" customFormat="1" x14ac:dyDescent="0.25">
      <c r="A1706" s="18"/>
      <c r="C1706" s="17"/>
      <c r="D1706" s="19"/>
      <c r="E1706" s="17"/>
      <c r="F1706" s="18"/>
      <c r="G1706" s="17"/>
      <c r="H1706" s="17"/>
    </row>
    <row r="1707" spans="1:8" s="10" customFormat="1" x14ac:dyDescent="0.25">
      <c r="A1707" s="18"/>
      <c r="C1707" s="17"/>
      <c r="D1707" s="19"/>
      <c r="E1707" s="17"/>
      <c r="F1707" s="18"/>
      <c r="G1707" s="17"/>
      <c r="H1707" s="17"/>
    </row>
    <row r="1708" spans="1:8" s="10" customFormat="1" x14ac:dyDescent="0.25">
      <c r="A1708" s="18"/>
      <c r="C1708" s="17"/>
      <c r="D1708" s="19"/>
      <c r="E1708" s="17"/>
      <c r="F1708" s="18"/>
      <c r="G1708" s="17"/>
      <c r="H1708" s="17"/>
    </row>
    <row r="1709" spans="1:8" s="10" customFormat="1" x14ac:dyDescent="0.25">
      <c r="A1709" s="18"/>
      <c r="C1709" s="17"/>
      <c r="D1709" s="19"/>
      <c r="E1709" s="17"/>
      <c r="F1709" s="18"/>
      <c r="G1709" s="17"/>
      <c r="H1709" s="17"/>
    </row>
    <row r="1710" spans="1:8" s="10" customFormat="1" x14ac:dyDescent="0.25">
      <c r="A1710" s="18"/>
      <c r="C1710" s="17"/>
      <c r="D1710" s="19"/>
      <c r="E1710" s="17"/>
      <c r="F1710" s="18"/>
      <c r="G1710" s="17"/>
      <c r="H1710" s="17"/>
    </row>
    <row r="1711" spans="1:8" s="10" customFormat="1" x14ac:dyDescent="0.25">
      <c r="A1711" s="18"/>
      <c r="C1711" s="17"/>
      <c r="D1711" s="19"/>
      <c r="E1711" s="17"/>
      <c r="F1711" s="18"/>
      <c r="G1711" s="17"/>
      <c r="H1711" s="17"/>
    </row>
    <row r="1712" spans="1:8" s="10" customFormat="1" x14ac:dyDescent="0.25">
      <c r="A1712" s="18"/>
      <c r="C1712" s="17"/>
      <c r="D1712" s="19"/>
      <c r="E1712" s="17"/>
      <c r="F1712" s="18"/>
      <c r="G1712" s="17"/>
      <c r="H1712" s="17"/>
    </row>
    <row r="1713" spans="1:8" s="10" customFormat="1" x14ac:dyDescent="0.25">
      <c r="A1713" s="18"/>
      <c r="C1713" s="17"/>
      <c r="D1713" s="19"/>
      <c r="E1713" s="17"/>
      <c r="F1713" s="18"/>
      <c r="G1713" s="17"/>
      <c r="H1713" s="17"/>
    </row>
    <row r="1714" spans="1:8" s="10" customFormat="1" x14ac:dyDescent="0.25">
      <c r="A1714" s="18"/>
      <c r="C1714" s="17"/>
      <c r="D1714" s="19"/>
      <c r="E1714" s="17"/>
      <c r="F1714" s="18"/>
      <c r="G1714" s="17"/>
      <c r="H1714" s="17"/>
    </row>
    <row r="1715" spans="1:8" s="10" customFormat="1" x14ac:dyDescent="0.25">
      <c r="A1715" s="18"/>
      <c r="C1715" s="17"/>
      <c r="D1715" s="19"/>
      <c r="E1715" s="17"/>
      <c r="F1715" s="18"/>
      <c r="G1715" s="17"/>
      <c r="H1715" s="17"/>
    </row>
    <row r="1716" spans="1:8" s="10" customFormat="1" x14ac:dyDescent="0.25">
      <c r="A1716" s="18"/>
      <c r="C1716" s="17"/>
      <c r="D1716" s="19"/>
      <c r="E1716" s="17"/>
      <c r="F1716" s="18"/>
      <c r="G1716" s="17"/>
      <c r="H1716" s="17"/>
    </row>
    <row r="1717" spans="1:8" s="10" customFormat="1" x14ac:dyDescent="0.25">
      <c r="A1717" s="18"/>
      <c r="C1717" s="17"/>
      <c r="D1717" s="19"/>
      <c r="E1717" s="17"/>
      <c r="F1717" s="18"/>
      <c r="G1717" s="17"/>
      <c r="H1717" s="17"/>
    </row>
    <row r="1718" spans="1:8" s="10" customFormat="1" x14ac:dyDescent="0.25">
      <c r="A1718" s="18"/>
      <c r="C1718" s="17"/>
      <c r="D1718" s="19"/>
      <c r="E1718" s="17"/>
      <c r="F1718" s="18"/>
      <c r="G1718" s="17"/>
      <c r="H1718" s="17"/>
    </row>
    <row r="1719" spans="1:8" s="10" customFormat="1" x14ac:dyDescent="0.25">
      <c r="A1719" s="18"/>
      <c r="C1719" s="17"/>
      <c r="D1719" s="19"/>
      <c r="E1719" s="17"/>
      <c r="F1719" s="18"/>
      <c r="G1719" s="17"/>
      <c r="H1719" s="17"/>
    </row>
    <row r="1720" spans="1:8" s="10" customFormat="1" x14ac:dyDescent="0.25">
      <c r="A1720" s="18"/>
      <c r="C1720" s="17"/>
      <c r="D1720" s="19"/>
      <c r="E1720" s="17"/>
      <c r="F1720" s="18"/>
      <c r="G1720" s="17"/>
      <c r="H1720" s="17"/>
    </row>
    <row r="1721" spans="1:8" s="10" customFormat="1" x14ac:dyDescent="0.25">
      <c r="A1721" s="18"/>
      <c r="C1721" s="17"/>
      <c r="D1721" s="19"/>
      <c r="E1721" s="17"/>
      <c r="F1721" s="18"/>
      <c r="G1721" s="17"/>
      <c r="H1721" s="17"/>
    </row>
    <row r="1722" spans="1:8" s="10" customFormat="1" x14ac:dyDescent="0.25">
      <c r="A1722" s="18"/>
      <c r="C1722" s="17"/>
      <c r="D1722" s="19"/>
      <c r="E1722" s="17"/>
      <c r="F1722" s="18"/>
      <c r="G1722" s="17"/>
      <c r="H1722" s="17"/>
    </row>
    <row r="1723" spans="1:8" s="10" customFormat="1" x14ac:dyDescent="0.25">
      <c r="A1723" s="18"/>
      <c r="C1723" s="17"/>
      <c r="D1723" s="19"/>
      <c r="E1723" s="17"/>
      <c r="F1723" s="18"/>
      <c r="G1723" s="17"/>
      <c r="H1723" s="17"/>
    </row>
    <row r="1724" spans="1:8" s="10" customFormat="1" x14ac:dyDescent="0.25">
      <c r="A1724" s="18"/>
      <c r="C1724" s="17"/>
      <c r="D1724" s="19"/>
      <c r="E1724" s="17"/>
      <c r="F1724" s="18"/>
      <c r="G1724" s="17"/>
      <c r="H1724" s="17"/>
    </row>
    <row r="1725" spans="1:8" s="10" customFormat="1" x14ac:dyDescent="0.25">
      <c r="A1725" s="18"/>
      <c r="C1725" s="17"/>
      <c r="D1725" s="19"/>
      <c r="E1725" s="17"/>
      <c r="F1725" s="18"/>
      <c r="G1725" s="17"/>
      <c r="H1725" s="17"/>
    </row>
    <row r="1726" spans="1:8" s="10" customFormat="1" x14ac:dyDescent="0.25">
      <c r="A1726" s="18"/>
      <c r="C1726" s="17"/>
      <c r="D1726" s="19"/>
      <c r="E1726" s="17"/>
      <c r="F1726" s="18"/>
      <c r="G1726" s="17"/>
      <c r="H1726" s="17"/>
    </row>
    <row r="1727" spans="1:8" s="10" customFormat="1" x14ac:dyDescent="0.25">
      <c r="A1727" s="18"/>
      <c r="C1727" s="17"/>
      <c r="D1727" s="19"/>
      <c r="E1727" s="17"/>
      <c r="F1727" s="18"/>
      <c r="G1727" s="17"/>
      <c r="H1727" s="17"/>
    </row>
    <row r="1728" spans="1:8" s="10" customFormat="1" x14ac:dyDescent="0.25">
      <c r="A1728" s="18"/>
      <c r="C1728" s="17"/>
      <c r="D1728" s="19"/>
      <c r="E1728" s="17"/>
      <c r="F1728" s="18"/>
      <c r="G1728" s="17"/>
      <c r="H1728" s="17"/>
    </row>
    <row r="1729" spans="1:8" s="10" customFormat="1" x14ac:dyDescent="0.25">
      <c r="A1729" s="18"/>
      <c r="C1729" s="17"/>
      <c r="D1729" s="19"/>
      <c r="E1729" s="17"/>
      <c r="F1729" s="18"/>
      <c r="G1729" s="17"/>
      <c r="H1729" s="17"/>
    </row>
    <row r="1730" spans="1:8" s="10" customFormat="1" x14ac:dyDescent="0.25">
      <c r="A1730" s="18"/>
      <c r="C1730" s="17"/>
      <c r="D1730" s="19"/>
      <c r="E1730" s="17"/>
      <c r="F1730" s="18"/>
      <c r="G1730" s="17"/>
      <c r="H1730" s="17"/>
    </row>
    <row r="1731" spans="1:8" s="10" customFormat="1" x14ac:dyDescent="0.25">
      <c r="A1731" s="18"/>
      <c r="C1731" s="17"/>
      <c r="D1731" s="19"/>
      <c r="E1731" s="17"/>
      <c r="F1731" s="18"/>
      <c r="G1731" s="17"/>
      <c r="H1731" s="17"/>
    </row>
    <row r="1732" spans="1:8" s="10" customFormat="1" x14ac:dyDescent="0.25">
      <c r="A1732" s="18"/>
      <c r="C1732" s="17"/>
      <c r="D1732" s="19"/>
      <c r="E1732" s="17"/>
      <c r="F1732" s="18"/>
      <c r="G1732" s="17"/>
      <c r="H1732" s="17"/>
    </row>
    <row r="1733" spans="1:8" s="10" customFormat="1" x14ac:dyDescent="0.25">
      <c r="A1733" s="18"/>
      <c r="C1733" s="17"/>
      <c r="D1733" s="19"/>
      <c r="E1733" s="17"/>
      <c r="F1733" s="18"/>
      <c r="G1733" s="17"/>
      <c r="H1733" s="17"/>
    </row>
    <row r="1734" spans="1:8" s="10" customFormat="1" x14ac:dyDescent="0.25">
      <c r="A1734" s="18"/>
      <c r="C1734" s="17"/>
      <c r="D1734" s="19"/>
      <c r="E1734" s="17"/>
      <c r="F1734" s="18"/>
      <c r="G1734" s="17"/>
      <c r="H1734" s="17"/>
    </row>
    <row r="1735" spans="1:8" s="10" customFormat="1" x14ac:dyDescent="0.25">
      <c r="A1735" s="18"/>
      <c r="C1735" s="17"/>
      <c r="D1735" s="19"/>
      <c r="E1735" s="17"/>
      <c r="F1735" s="18"/>
      <c r="G1735" s="17"/>
      <c r="H1735" s="17"/>
    </row>
    <row r="1736" spans="1:8" s="10" customFormat="1" x14ac:dyDescent="0.25">
      <c r="A1736" s="18"/>
      <c r="C1736" s="17"/>
      <c r="D1736" s="19"/>
      <c r="E1736" s="17"/>
      <c r="F1736" s="18"/>
      <c r="G1736" s="17"/>
      <c r="H1736" s="17"/>
    </row>
    <row r="1737" spans="1:8" s="10" customFormat="1" x14ac:dyDescent="0.25">
      <c r="A1737" s="18"/>
      <c r="C1737" s="17"/>
      <c r="D1737" s="19"/>
      <c r="E1737" s="17"/>
      <c r="F1737" s="18"/>
      <c r="G1737" s="17"/>
      <c r="H1737" s="17"/>
    </row>
    <row r="1738" spans="1:8" s="10" customFormat="1" x14ac:dyDescent="0.25">
      <c r="A1738" s="18"/>
      <c r="C1738" s="17"/>
      <c r="D1738" s="19"/>
      <c r="E1738" s="17"/>
      <c r="F1738" s="18"/>
      <c r="G1738" s="17"/>
      <c r="H1738" s="17"/>
    </row>
    <row r="1739" spans="1:8" s="10" customFormat="1" x14ac:dyDescent="0.25">
      <c r="A1739" s="18"/>
      <c r="C1739" s="17"/>
      <c r="D1739" s="19"/>
      <c r="E1739" s="17"/>
      <c r="F1739" s="18"/>
      <c r="G1739" s="17"/>
      <c r="H1739" s="17"/>
    </row>
    <row r="1740" spans="1:8" s="10" customFormat="1" x14ac:dyDescent="0.25">
      <c r="A1740" s="18"/>
      <c r="C1740" s="17"/>
      <c r="D1740" s="19"/>
      <c r="E1740" s="17"/>
      <c r="F1740" s="18"/>
      <c r="G1740" s="17"/>
      <c r="H1740" s="17"/>
    </row>
    <row r="1741" spans="1:8" s="10" customFormat="1" x14ac:dyDescent="0.25">
      <c r="A1741" s="18"/>
      <c r="C1741" s="17"/>
      <c r="D1741" s="19"/>
      <c r="E1741" s="17"/>
      <c r="F1741" s="18"/>
      <c r="G1741" s="17"/>
      <c r="H1741" s="17"/>
    </row>
    <row r="1742" spans="1:8" s="10" customFormat="1" x14ac:dyDescent="0.25">
      <c r="A1742" s="18"/>
      <c r="C1742" s="17"/>
      <c r="D1742" s="19"/>
      <c r="E1742" s="17"/>
      <c r="F1742" s="18"/>
      <c r="G1742" s="17"/>
      <c r="H1742" s="17"/>
    </row>
    <row r="1743" spans="1:8" s="10" customFormat="1" x14ac:dyDescent="0.25">
      <c r="A1743" s="18"/>
      <c r="C1743" s="17"/>
      <c r="D1743" s="19"/>
      <c r="E1743" s="17"/>
      <c r="F1743" s="18"/>
      <c r="G1743" s="17"/>
      <c r="H1743" s="17"/>
    </row>
    <row r="1744" spans="1:8" s="10" customFormat="1" x14ac:dyDescent="0.25">
      <c r="A1744" s="18"/>
      <c r="C1744" s="17"/>
      <c r="D1744" s="19"/>
      <c r="E1744" s="17"/>
      <c r="F1744" s="18"/>
      <c r="G1744" s="17"/>
      <c r="H1744" s="17"/>
    </row>
    <row r="1745" spans="1:8" s="10" customFormat="1" x14ac:dyDescent="0.25">
      <c r="A1745" s="18"/>
      <c r="C1745" s="17"/>
      <c r="D1745" s="19"/>
      <c r="E1745" s="17"/>
      <c r="F1745" s="18"/>
      <c r="G1745" s="17"/>
      <c r="H1745" s="17"/>
    </row>
    <row r="1746" spans="1:8" s="10" customFormat="1" x14ac:dyDescent="0.25">
      <c r="A1746" s="18"/>
      <c r="C1746" s="17"/>
      <c r="D1746" s="19"/>
      <c r="E1746" s="17"/>
      <c r="F1746" s="18"/>
      <c r="G1746" s="17"/>
      <c r="H1746" s="17"/>
    </row>
    <row r="1747" spans="1:8" s="10" customFormat="1" x14ac:dyDescent="0.25">
      <c r="A1747" s="18"/>
      <c r="C1747" s="17"/>
      <c r="D1747" s="19"/>
      <c r="E1747" s="17"/>
      <c r="F1747" s="18"/>
      <c r="G1747" s="17"/>
      <c r="H1747" s="17"/>
    </row>
    <row r="1748" spans="1:8" s="10" customFormat="1" x14ac:dyDescent="0.25">
      <c r="A1748" s="18"/>
      <c r="C1748" s="17"/>
      <c r="D1748" s="19"/>
      <c r="E1748" s="17"/>
      <c r="F1748" s="18"/>
      <c r="G1748" s="17"/>
      <c r="H1748" s="17"/>
    </row>
    <row r="1749" spans="1:8" s="10" customFormat="1" x14ac:dyDescent="0.25">
      <c r="A1749" s="18"/>
      <c r="C1749" s="17"/>
      <c r="D1749" s="19"/>
      <c r="E1749" s="17"/>
      <c r="F1749" s="18"/>
      <c r="G1749" s="17"/>
      <c r="H1749" s="17"/>
    </row>
    <row r="1750" spans="1:8" s="10" customFormat="1" x14ac:dyDescent="0.25">
      <c r="A1750" s="18"/>
      <c r="C1750" s="17"/>
      <c r="D1750" s="19"/>
      <c r="E1750" s="17"/>
      <c r="F1750" s="18"/>
      <c r="G1750" s="17"/>
      <c r="H1750" s="17"/>
    </row>
    <row r="1751" spans="1:8" s="10" customFormat="1" x14ac:dyDescent="0.25">
      <c r="A1751" s="18"/>
      <c r="C1751" s="17"/>
      <c r="D1751" s="19"/>
      <c r="E1751" s="17"/>
      <c r="F1751" s="18"/>
      <c r="G1751" s="17"/>
      <c r="H1751" s="17"/>
    </row>
    <row r="1752" spans="1:8" s="10" customFormat="1" x14ac:dyDescent="0.25">
      <c r="A1752" s="18"/>
      <c r="C1752" s="17"/>
      <c r="D1752" s="19"/>
      <c r="E1752" s="17"/>
      <c r="F1752" s="18"/>
      <c r="G1752" s="17"/>
      <c r="H1752" s="17"/>
    </row>
    <row r="1753" spans="1:8" s="10" customFormat="1" x14ac:dyDescent="0.25">
      <c r="A1753" s="18"/>
      <c r="C1753" s="17"/>
      <c r="D1753" s="19"/>
      <c r="E1753" s="17"/>
      <c r="F1753" s="18"/>
      <c r="G1753" s="17"/>
      <c r="H1753" s="17"/>
    </row>
    <row r="1754" spans="1:8" s="10" customFormat="1" x14ac:dyDescent="0.25">
      <c r="A1754" s="18"/>
      <c r="C1754" s="17"/>
      <c r="D1754" s="19"/>
      <c r="E1754" s="17"/>
      <c r="F1754" s="18"/>
      <c r="G1754" s="17"/>
      <c r="H1754" s="17"/>
    </row>
    <row r="1755" spans="1:8" s="10" customFormat="1" x14ac:dyDescent="0.25">
      <c r="A1755" s="18"/>
      <c r="C1755" s="17"/>
      <c r="D1755" s="19"/>
      <c r="E1755" s="17"/>
      <c r="F1755" s="18"/>
      <c r="G1755" s="17"/>
      <c r="H1755" s="17"/>
    </row>
    <row r="1756" spans="1:8" s="10" customFormat="1" x14ac:dyDescent="0.25">
      <c r="A1756" s="18"/>
      <c r="C1756" s="17"/>
      <c r="D1756" s="19"/>
      <c r="E1756" s="17"/>
      <c r="F1756" s="18"/>
      <c r="G1756" s="17"/>
      <c r="H1756" s="17"/>
    </row>
    <row r="1757" spans="1:8" s="10" customFormat="1" x14ac:dyDescent="0.25">
      <c r="A1757" s="18"/>
      <c r="C1757" s="17"/>
      <c r="D1757" s="19"/>
      <c r="E1757" s="17"/>
      <c r="F1757" s="18"/>
      <c r="G1757" s="17"/>
      <c r="H1757" s="17"/>
    </row>
    <row r="1758" spans="1:8" s="10" customFormat="1" x14ac:dyDescent="0.25">
      <c r="A1758" s="18"/>
      <c r="C1758" s="17"/>
      <c r="D1758" s="19"/>
      <c r="E1758" s="17"/>
      <c r="F1758" s="18"/>
      <c r="G1758" s="17"/>
      <c r="H1758" s="17"/>
    </row>
    <row r="1759" spans="1:8" s="10" customFormat="1" x14ac:dyDescent="0.25">
      <c r="A1759" s="18"/>
      <c r="C1759" s="17"/>
      <c r="D1759" s="19"/>
      <c r="E1759" s="17"/>
      <c r="F1759" s="18"/>
      <c r="G1759" s="17"/>
      <c r="H1759" s="17"/>
    </row>
    <row r="1760" spans="1:8" s="10" customFormat="1" x14ac:dyDescent="0.25">
      <c r="A1760" s="18"/>
      <c r="C1760" s="17"/>
      <c r="D1760" s="19"/>
      <c r="E1760" s="17"/>
      <c r="F1760" s="18"/>
      <c r="G1760" s="17"/>
      <c r="H1760" s="17"/>
    </row>
    <row r="1761" spans="1:8" s="10" customFormat="1" x14ac:dyDescent="0.25">
      <c r="A1761" s="18"/>
      <c r="C1761" s="17"/>
      <c r="D1761" s="19"/>
      <c r="E1761" s="17"/>
      <c r="F1761" s="18"/>
      <c r="G1761" s="17"/>
      <c r="H1761" s="17"/>
    </row>
    <row r="1762" spans="1:8" s="10" customFormat="1" x14ac:dyDescent="0.25">
      <c r="A1762" s="18"/>
      <c r="C1762" s="17"/>
      <c r="D1762" s="19"/>
      <c r="E1762" s="17"/>
      <c r="F1762" s="18"/>
      <c r="G1762" s="17"/>
      <c r="H1762" s="17"/>
    </row>
    <row r="1763" spans="1:8" s="10" customFormat="1" x14ac:dyDescent="0.25">
      <c r="A1763" s="18"/>
      <c r="C1763" s="17"/>
      <c r="D1763" s="19"/>
      <c r="E1763" s="17"/>
      <c r="F1763" s="18"/>
      <c r="G1763" s="17"/>
      <c r="H1763" s="17"/>
    </row>
    <row r="1764" spans="1:8" s="10" customFormat="1" x14ac:dyDescent="0.25">
      <c r="A1764" s="18"/>
      <c r="C1764" s="17"/>
      <c r="D1764" s="19"/>
      <c r="E1764" s="17"/>
      <c r="F1764" s="18"/>
      <c r="G1764" s="17"/>
      <c r="H1764" s="17"/>
    </row>
    <row r="1765" spans="1:8" s="10" customFormat="1" x14ac:dyDescent="0.25">
      <c r="A1765" s="18"/>
      <c r="C1765" s="17"/>
      <c r="D1765" s="19"/>
      <c r="E1765" s="17"/>
      <c r="F1765" s="18"/>
      <c r="G1765" s="17"/>
      <c r="H1765" s="17"/>
    </row>
    <row r="1766" spans="1:8" s="10" customFormat="1" x14ac:dyDescent="0.25">
      <c r="A1766" s="18"/>
      <c r="C1766" s="17"/>
      <c r="D1766" s="19"/>
      <c r="E1766" s="17"/>
      <c r="F1766" s="18"/>
      <c r="G1766" s="17"/>
      <c r="H1766" s="17"/>
    </row>
    <row r="1767" spans="1:8" s="10" customFormat="1" x14ac:dyDescent="0.25">
      <c r="A1767" s="18"/>
      <c r="C1767" s="17"/>
      <c r="D1767" s="19"/>
      <c r="E1767" s="17"/>
      <c r="F1767" s="18"/>
      <c r="G1767" s="17"/>
      <c r="H1767" s="17"/>
    </row>
    <row r="1768" spans="1:8" s="10" customFormat="1" x14ac:dyDescent="0.25">
      <c r="A1768" s="18"/>
      <c r="C1768" s="17"/>
      <c r="D1768" s="19"/>
      <c r="E1768" s="17"/>
      <c r="F1768" s="18"/>
      <c r="G1768" s="17"/>
      <c r="H1768" s="17"/>
    </row>
    <row r="1769" spans="1:8" s="10" customFormat="1" x14ac:dyDescent="0.25">
      <c r="A1769" s="18"/>
      <c r="C1769" s="17"/>
      <c r="D1769" s="19"/>
      <c r="E1769" s="17"/>
      <c r="F1769" s="18"/>
      <c r="G1769" s="17"/>
      <c r="H1769" s="17"/>
    </row>
    <row r="1770" spans="1:8" s="10" customFormat="1" x14ac:dyDescent="0.25">
      <c r="A1770" s="18"/>
      <c r="C1770" s="17"/>
      <c r="D1770" s="19"/>
      <c r="E1770" s="17"/>
      <c r="F1770" s="18"/>
      <c r="G1770" s="17"/>
      <c r="H1770" s="17"/>
    </row>
    <row r="1771" spans="1:8" s="10" customFormat="1" x14ac:dyDescent="0.25">
      <c r="A1771" s="18"/>
      <c r="C1771" s="17"/>
      <c r="D1771" s="19"/>
      <c r="E1771" s="17"/>
      <c r="F1771" s="18"/>
      <c r="G1771" s="17"/>
      <c r="H1771" s="17"/>
    </row>
    <row r="1772" spans="1:8" s="10" customFormat="1" x14ac:dyDescent="0.25">
      <c r="A1772" s="18"/>
      <c r="C1772" s="17"/>
      <c r="D1772" s="19"/>
      <c r="E1772" s="17"/>
      <c r="F1772" s="18"/>
      <c r="G1772" s="17"/>
      <c r="H1772" s="17"/>
    </row>
    <row r="1773" spans="1:8" s="10" customFormat="1" x14ac:dyDescent="0.25">
      <c r="A1773" s="18"/>
      <c r="C1773" s="17"/>
      <c r="D1773" s="19"/>
      <c r="E1773" s="17"/>
      <c r="F1773" s="18"/>
      <c r="G1773" s="17"/>
      <c r="H1773" s="17"/>
    </row>
    <row r="1774" spans="1:8" s="10" customFormat="1" x14ac:dyDescent="0.25">
      <c r="A1774" s="18"/>
      <c r="C1774" s="17"/>
      <c r="D1774" s="19"/>
      <c r="E1774" s="17"/>
      <c r="F1774" s="18"/>
      <c r="G1774" s="17"/>
      <c r="H1774" s="17"/>
    </row>
    <row r="1775" spans="1:8" s="10" customFormat="1" x14ac:dyDescent="0.25">
      <c r="A1775" s="18"/>
      <c r="C1775" s="17"/>
      <c r="D1775" s="19"/>
      <c r="E1775" s="17"/>
      <c r="F1775" s="18"/>
      <c r="G1775" s="17"/>
      <c r="H1775" s="17"/>
    </row>
    <row r="1776" spans="1:8" s="10" customFormat="1" x14ac:dyDescent="0.25">
      <c r="A1776" s="18"/>
      <c r="C1776" s="17"/>
      <c r="D1776" s="19"/>
      <c r="E1776" s="17"/>
      <c r="F1776" s="18"/>
      <c r="G1776" s="17"/>
      <c r="H1776" s="17"/>
    </row>
    <row r="1777" spans="1:8" s="10" customFormat="1" x14ac:dyDescent="0.25">
      <c r="A1777" s="18"/>
      <c r="C1777" s="17"/>
      <c r="D1777" s="19"/>
      <c r="E1777" s="17"/>
      <c r="F1777" s="18"/>
      <c r="G1777" s="17"/>
      <c r="H1777" s="17"/>
    </row>
    <row r="1778" spans="1:8" s="10" customFormat="1" x14ac:dyDescent="0.25">
      <c r="A1778" s="18"/>
      <c r="C1778" s="17"/>
      <c r="D1778" s="19"/>
      <c r="E1778" s="17"/>
      <c r="F1778" s="18"/>
      <c r="G1778" s="17"/>
      <c r="H1778" s="17"/>
    </row>
    <row r="1779" spans="1:8" s="10" customFormat="1" x14ac:dyDescent="0.25">
      <c r="A1779" s="18"/>
      <c r="C1779" s="17"/>
      <c r="D1779" s="19"/>
      <c r="E1779" s="17"/>
      <c r="F1779" s="18"/>
      <c r="G1779" s="17"/>
      <c r="H1779" s="17"/>
    </row>
    <row r="1780" spans="1:8" s="10" customFormat="1" x14ac:dyDescent="0.25">
      <c r="A1780" s="18"/>
      <c r="C1780" s="17"/>
      <c r="D1780" s="19"/>
      <c r="E1780" s="17"/>
      <c r="F1780" s="18"/>
      <c r="G1780" s="17"/>
      <c r="H1780" s="17"/>
    </row>
    <row r="1781" spans="1:8" s="10" customFormat="1" x14ac:dyDescent="0.25">
      <c r="A1781" s="18"/>
      <c r="C1781" s="17"/>
      <c r="D1781" s="19"/>
      <c r="E1781" s="17"/>
      <c r="F1781" s="18"/>
      <c r="G1781" s="17"/>
      <c r="H1781" s="17"/>
    </row>
    <row r="1782" spans="1:8" s="10" customFormat="1" x14ac:dyDescent="0.25">
      <c r="A1782" s="18"/>
      <c r="C1782" s="17"/>
      <c r="D1782" s="19"/>
      <c r="E1782" s="17"/>
      <c r="F1782" s="18"/>
      <c r="G1782" s="17"/>
      <c r="H1782" s="17"/>
    </row>
    <row r="1783" spans="1:8" s="10" customFormat="1" x14ac:dyDescent="0.25">
      <c r="A1783" s="18"/>
      <c r="C1783" s="17"/>
      <c r="D1783" s="19"/>
      <c r="E1783" s="17"/>
      <c r="F1783" s="18"/>
      <c r="G1783" s="17"/>
      <c r="H1783" s="17"/>
    </row>
    <row r="1784" spans="1:8" s="10" customFormat="1" x14ac:dyDescent="0.25">
      <c r="A1784" s="18"/>
      <c r="C1784" s="17"/>
      <c r="D1784" s="19"/>
      <c r="E1784" s="17"/>
      <c r="F1784" s="18"/>
      <c r="G1784" s="17"/>
      <c r="H1784" s="17"/>
    </row>
    <row r="1785" spans="1:8" s="10" customFormat="1" x14ac:dyDescent="0.25">
      <c r="A1785" s="18"/>
      <c r="C1785" s="17"/>
      <c r="D1785" s="19"/>
      <c r="E1785" s="17"/>
      <c r="F1785" s="18"/>
      <c r="G1785" s="17"/>
      <c r="H1785" s="17"/>
    </row>
    <row r="1786" spans="1:8" s="10" customFormat="1" x14ac:dyDescent="0.25">
      <c r="A1786" s="18"/>
      <c r="C1786" s="17"/>
      <c r="D1786" s="19"/>
      <c r="E1786" s="17"/>
      <c r="F1786" s="18"/>
      <c r="G1786" s="17"/>
      <c r="H1786" s="17"/>
    </row>
    <row r="1787" spans="1:8" s="10" customFormat="1" x14ac:dyDescent="0.25">
      <c r="A1787" s="18"/>
      <c r="C1787" s="17"/>
      <c r="D1787" s="19"/>
      <c r="E1787" s="17"/>
      <c r="F1787" s="18"/>
      <c r="G1787" s="17"/>
      <c r="H1787" s="17"/>
    </row>
    <row r="1788" spans="1:8" s="10" customFormat="1" x14ac:dyDescent="0.25">
      <c r="A1788" s="18"/>
      <c r="C1788" s="17"/>
      <c r="D1788" s="19"/>
      <c r="E1788" s="17"/>
      <c r="F1788" s="18"/>
      <c r="G1788" s="17"/>
      <c r="H1788" s="17"/>
    </row>
    <row r="1789" spans="1:8" s="10" customFormat="1" x14ac:dyDescent="0.25">
      <c r="A1789" s="18"/>
      <c r="C1789" s="17"/>
      <c r="D1789" s="19"/>
      <c r="E1789" s="17"/>
      <c r="F1789" s="18"/>
      <c r="G1789" s="17"/>
      <c r="H1789" s="17"/>
    </row>
    <row r="1790" spans="1:8" s="10" customFormat="1" x14ac:dyDescent="0.25">
      <c r="A1790" s="18"/>
      <c r="C1790" s="17"/>
      <c r="D1790" s="19"/>
      <c r="E1790" s="17"/>
      <c r="F1790" s="18"/>
      <c r="G1790" s="17"/>
      <c r="H1790" s="17"/>
    </row>
    <row r="1791" spans="1:8" s="10" customFormat="1" x14ac:dyDescent="0.25">
      <c r="A1791" s="18"/>
      <c r="C1791" s="17"/>
      <c r="D1791" s="19"/>
      <c r="E1791" s="17"/>
      <c r="F1791" s="18"/>
      <c r="G1791" s="17"/>
      <c r="H1791" s="17"/>
    </row>
    <row r="1792" spans="1:8" s="10" customFormat="1" x14ac:dyDescent="0.25">
      <c r="A1792" s="18"/>
      <c r="C1792" s="17"/>
      <c r="D1792" s="19"/>
      <c r="E1792" s="17"/>
      <c r="F1792" s="18"/>
      <c r="G1792" s="17"/>
      <c r="H1792" s="17"/>
    </row>
    <row r="1793" spans="1:8" s="10" customFormat="1" x14ac:dyDescent="0.25">
      <c r="A1793" s="18"/>
      <c r="C1793" s="17"/>
      <c r="D1793" s="19"/>
      <c r="E1793" s="17"/>
      <c r="F1793" s="18"/>
      <c r="G1793" s="17"/>
      <c r="H1793" s="17"/>
    </row>
    <row r="1794" spans="1:8" s="10" customFormat="1" x14ac:dyDescent="0.25">
      <c r="A1794" s="18"/>
      <c r="C1794" s="17"/>
      <c r="D1794" s="19"/>
      <c r="E1794" s="17"/>
      <c r="F1794" s="18"/>
      <c r="G1794" s="17"/>
      <c r="H1794" s="17"/>
    </row>
    <row r="1795" spans="1:8" s="10" customFormat="1" x14ac:dyDescent="0.25">
      <c r="A1795" s="18"/>
      <c r="C1795" s="17"/>
      <c r="D1795" s="19"/>
      <c r="E1795" s="17"/>
      <c r="F1795" s="18"/>
      <c r="G1795" s="17"/>
      <c r="H1795" s="17"/>
    </row>
    <row r="1796" spans="1:8" s="10" customFormat="1" x14ac:dyDescent="0.25">
      <c r="A1796" s="18"/>
      <c r="C1796" s="17"/>
      <c r="D1796" s="19"/>
      <c r="E1796" s="17"/>
      <c r="F1796" s="18"/>
      <c r="G1796" s="17"/>
      <c r="H1796" s="17"/>
    </row>
    <row r="1797" spans="1:8" s="10" customFormat="1" x14ac:dyDescent="0.25">
      <c r="A1797" s="18"/>
      <c r="C1797" s="17"/>
      <c r="D1797" s="19"/>
      <c r="E1797" s="17"/>
      <c r="F1797" s="18"/>
      <c r="G1797" s="17"/>
      <c r="H1797" s="17"/>
    </row>
    <row r="1798" spans="1:8" s="10" customFormat="1" x14ac:dyDescent="0.25">
      <c r="A1798" s="18"/>
      <c r="C1798" s="17"/>
      <c r="D1798" s="19"/>
      <c r="E1798" s="17"/>
      <c r="F1798" s="18"/>
      <c r="G1798" s="17"/>
      <c r="H1798" s="17"/>
    </row>
    <row r="1799" spans="1:8" s="10" customFormat="1" x14ac:dyDescent="0.25">
      <c r="A1799" s="18"/>
      <c r="C1799" s="17"/>
      <c r="D1799" s="19"/>
      <c r="E1799" s="17"/>
      <c r="F1799" s="18"/>
      <c r="G1799" s="17"/>
      <c r="H1799" s="17"/>
    </row>
    <row r="1800" spans="1:8" s="10" customFormat="1" x14ac:dyDescent="0.25">
      <c r="A1800" s="18"/>
      <c r="C1800" s="17"/>
      <c r="D1800" s="19"/>
      <c r="E1800" s="17"/>
      <c r="F1800" s="18"/>
      <c r="G1800" s="17"/>
      <c r="H1800" s="17"/>
    </row>
    <row r="1801" spans="1:8" s="10" customFormat="1" x14ac:dyDescent="0.25">
      <c r="A1801" s="18"/>
      <c r="C1801" s="17"/>
      <c r="D1801" s="19"/>
      <c r="E1801" s="17"/>
      <c r="F1801" s="18"/>
      <c r="G1801" s="17"/>
      <c r="H1801" s="17"/>
    </row>
    <row r="1802" spans="1:8" s="10" customFormat="1" x14ac:dyDescent="0.25">
      <c r="A1802" s="18"/>
      <c r="C1802" s="17"/>
      <c r="D1802" s="19"/>
      <c r="E1802" s="17"/>
      <c r="F1802" s="18"/>
      <c r="G1802" s="17"/>
      <c r="H1802" s="17"/>
    </row>
    <row r="1803" spans="1:8" s="10" customFormat="1" x14ac:dyDescent="0.25">
      <c r="A1803" s="18"/>
      <c r="C1803" s="17"/>
      <c r="D1803" s="19"/>
      <c r="E1803" s="17"/>
      <c r="F1803" s="18"/>
      <c r="G1803" s="17"/>
      <c r="H1803" s="17"/>
    </row>
    <row r="1804" spans="1:8" s="10" customFormat="1" x14ac:dyDescent="0.25">
      <c r="A1804" s="18"/>
      <c r="C1804" s="17"/>
      <c r="D1804" s="19"/>
      <c r="E1804" s="17"/>
      <c r="F1804" s="18"/>
      <c r="G1804" s="17"/>
      <c r="H1804" s="17"/>
    </row>
    <row r="1805" spans="1:8" s="10" customFormat="1" x14ac:dyDescent="0.25">
      <c r="A1805" s="18"/>
      <c r="C1805" s="17"/>
      <c r="D1805" s="19"/>
      <c r="E1805" s="17"/>
      <c r="F1805" s="18"/>
      <c r="G1805" s="17"/>
      <c r="H1805" s="17"/>
    </row>
    <row r="1806" spans="1:8" s="10" customFormat="1" x14ac:dyDescent="0.25">
      <c r="A1806" s="18"/>
      <c r="C1806" s="17"/>
      <c r="D1806" s="19"/>
      <c r="E1806" s="17"/>
      <c r="F1806" s="18"/>
      <c r="G1806" s="17"/>
      <c r="H1806" s="17"/>
    </row>
    <row r="1807" spans="1:8" s="10" customFormat="1" x14ac:dyDescent="0.25">
      <c r="A1807" s="18"/>
      <c r="C1807" s="17"/>
      <c r="D1807" s="19"/>
      <c r="E1807" s="17"/>
      <c r="F1807" s="18"/>
      <c r="G1807" s="17"/>
      <c r="H1807" s="17"/>
    </row>
    <row r="1808" spans="1:8" s="10" customFormat="1" x14ac:dyDescent="0.25">
      <c r="A1808" s="18"/>
      <c r="C1808" s="17"/>
      <c r="D1808" s="19"/>
      <c r="E1808" s="17"/>
      <c r="F1808" s="18"/>
      <c r="G1808" s="17"/>
      <c r="H1808" s="17"/>
    </row>
    <row r="1809" spans="1:8" s="10" customFormat="1" x14ac:dyDescent="0.25">
      <c r="A1809" s="18"/>
      <c r="C1809" s="17"/>
      <c r="D1809" s="19"/>
      <c r="E1809" s="17"/>
      <c r="F1809" s="18"/>
      <c r="G1809" s="17"/>
      <c r="H1809" s="17"/>
    </row>
    <row r="1810" spans="1:8" s="10" customFormat="1" x14ac:dyDescent="0.25">
      <c r="A1810" s="18"/>
      <c r="C1810" s="17"/>
      <c r="D1810" s="19"/>
      <c r="E1810" s="17"/>
      <c r="F1810" s="18"/>
      <c r="G1810" s="17"/>
      <c r="H1810" s="17"/>
    </row>
    <row r="1811" spans="1:8" s="10" customFormat="1" x14ac:dyDescent="0.25">
      <c r="A1811" s="18"/>
      <c r="C1811" s="17"/>
      <c r="D1811" s="19"/>
      <c r="E1811" s="17"/>
      <c r="F1811" s="18"/>
      <c r="G1811" s="17"/>
      <c r="H1811" s="17"/>
    </row>
    <row r="1812" spans="1:8" s="10" customFormat="1" x14ac:dyDescent="0.25">
      <c r="A1812" s="18"/>
      <c r="C1812" s="17"/>
      <c r="D1812" s="19"/>
      <c r="E1812" s="17"/>
      <c r="F1812" s="18"/>
      <c r="G1812" s="17"/>
      <c r="H1812" s="17"/>
    </row>
    <row r="1813" spans="1:8" s="10" customFormat="1" x14ac:dyDescent="0.25">
      <c r="A1813" s="18"/>
      <c r="C1813" s="17"/>
      <c r="D1813" s="19"/>
      <c r="E1813" s="17"/>
      <c r="F1813" s="18"/>
      <c r="G1813" s="17"/>
      <c r="H1813" s="17"/>
    </row>
    <row r="1814" spans="1:8" s="10" customFormat="1" x14ac:dyDescent="0.25">
      <c r="A1814" s="18"/>
      <c r="C1814" s="17"/>
      <c r="D1814" s="19"/>
      <c r="E1814" s="17"/>
      <c r="F1814" s="18"/>
      <c r="G1814" s="17"/>
      <c r="H1814" s="17"/>
    </row>
    <row r="1815" spans="1:8" s="10" customFormat="1" x14ac:dyDescent="0.25">
      <c r="A1815" s="18"/>
      <c r="C1815" s="17"/>
      <c r="D1815" s="19"/>
      <c r="E1815" s="17"/>
      <c r="F1815" s="18"/>
      <c r="G1815" s="17"/>
      <c r="H1815" s="17"/>
    </row>
    <row r="1816" spans="1:8" s="10" customFormat="1" x14ac:dyDescent="0.25">
      <c r="A1816" s="18"/>
      <c r="C1816" s="17"/>
      <c r="D1816" s="19"/>
      <c r="E1816" s="17"/>
      <c r="F1816" s="18"/>
      <c r="G1816" s="17"/>
      <c r="H1816" s="17"/>
    </row>
    <row r="1817" spans="1:8" s="10" customFormat="1" x14ac:dyDescent="0.25">
      <c r="A1817" s="18"/>
      <c r="C1817" s="17"/>
      <c r="D1817" s="19"/>
      <c r="E1817" s="17"/>
      <c r="F1817" s="18"/>
      <c r="G1817" s="17"/>
      <c r="H1817" s="17"/>
    </row>
    <row r="1818" spans="1:8" s="10" customFormat="1" x14ac:dyDescent="0.25">
      <c r="A1818" s="18"/>
      <c r="C1818" s="17"/>
      <c r="D1818" s="19"/>
      <c r="E1818" s="17"/>
      <c r="F1818" s="18"/>
      <c r="G1818" s="17"/>
      <c r="H1818" s="17"/>
    </row>
    <row r="1819" spans="1:8" s="10" customFormat="1" x14ac:dyDescent="0.25">
      <c r="A1819" s="18"/>
      <c r="C1819" s="17"/>
      <c r="D1819" s="19"/>
      <c r="E1819" s="17"/>
      <c r="F1819" s="18"/>
      <c r="G1819" s="17"/>
      <c r="H1819" s="17"/>
    </row>
    <row r="1820" spans="1:8" s="10" customFormat="1" x14ac:dyDescent="0.25">
      <c r="A1820" s="18"/>
      <c r="C1820" s="17"/>
      <c r="D1820" s="19"/>
      <c r="E1820" s="17"/>
      <c r="F1820" s="18"/>
      <c r="G1820" s="17"/>
      <c r="H1820" s="17"/>
    </row>
    <row r="1821" spans="1:8" s="10" customFormat="1" x14ac:dyDescent="0.25">
      <c r="A1821" s="18"/>
      <c r="C1821" s="17"/>
      <c r="D1821" s="19"/>
      <c r="E1821" s="17"/>
      <c r="F1821" s="18"/>
      <c r="G1821" s="17"/>
      <c r="H1821" s="17"/>
    </row>
    <row r="1822" spans="1:8" s="10" customFormat="1" x14ac:dyDescent="0.25">
      <c r="A1822" s="18"/>
      <c r="C1822" s="17"/>
      <c r="D1822" s="19"/>
      <c r="E1822" s="17"/>
      <c r="F1822" s="18"/>
      <c r="G1822" s="17"/>
      <c r="H1822" s="17"/>
    </row>
    <row r="1823" spans="1:8" s="10" customFormat="1" x14ac:dyDescent="0.25">
      <c r="A1823" s="18"/>
      <c r="C1823" s="17"/>
      <c r="D1823" s="19"/>
      <c r="E1823" s="17"/>
      <c r="F1823" s="18"/>
      <c r="G1823" s="17"/>
      <c r="H1823" s="17"/>
    </row>
    <row r="1824" spans="1:8" s="10" customFormat="1" x14ac:dyDescent="0.25">
      <c r="A1824" s="18"/>
      <c r="C1824" s="17"/>
      <c r="D1824" s="19"/>
      <c r="E1824" s="17"/>
      <c r="F1824" s="18"/>
      <c r="G1824" s="17"/>
      <c r="H1824" s="17"/>
    </row>
    <row r="1825" spans="1:8" s="10" customFormat="1" x14ac:dyDescent="0.25">
      <c r="A1825" s="18"/>
      <c r="C1825" s="17"/>
      <c r="D1825" s="19"/>
      <c r="E1825" s="17"/>
      <c r="F1825" s="18"/>
      <c r="G1825" s="17"/>
      <c r="H1825" s="17"/>
    </row>
    <row r="1826" spans="1:8" s="10" customFormat="1" x14ac:dyDescent="0.25">
      <c r="A1826" s="18"/>
      <c r="C1826" s="17"/>
      <c r="D1826" s="19"/>
      <c r="E1826" s="17"/>
      <c r="F1826" s="18"/>
      <c r="G1826" s="17"/>
      <c r="H1826" s="17"/>
    </row>
    <row r="1827" spans="1:8" s="10" customFormat="1" x14ac:dyDescent="0.25">
      <c r="A1827" s="18"/>
      <c r="C1827" s="17"/>
      <c r="D1827" s="19"/>
      <c r="E1827" s="17"/>
      <c r="F1827" s="18"/>
      <c r="G1827" s="17"/>
      <c r="H1827" s="17"/>
    </row>
    <row r="1828" spans="1:8" s="10" customFormat="1" x14ac:dyDescent="0.25">
      <c r="A1828" s="18"/>
      <c r="C1828" s="17"/>
      <c r="D1828" s="19"/>
      <c r="E1828" s="17"/>
      <c r="F1828" s="18"/>
      <c r="G1828" s="17"/>
      <c r="H1828" s="17"/>
    </row>
    <row r="1829" spans="1:8" s="10" customFormat="1" x14ac:dyDescent="0.25">
      <c r="A1829" s="18"/>
      <c r="C1829" s="17"/>
      <c r="D1829" s="19"/>
      <c r="E1829" s="17"/>
      <c r="F1829" s="18"/>
      <c r="G1829" s="17"/>
      <c r="H1829" s="17"/>
    </row>
    <row r="1830" spans="1:8" s="10" customFormat="1" x14ac:dyDescent="0.25">
      <c r="A1830" s="18"/>
      <c r="C1830" s="17"/>
      <c r="D1830" s="19"/>
      <c r="E1830" s="17"/>
      <c r="F1830" s="18"/>
      <c r="G1830" s="17"/>
      <c r="H1830" s="17"/>
    </row>
    <row r="1831" spans="1:8" s="10" customFormat="1" x14ac:dyDescent="0.25">
      <c r="A1831" s="18"/>
      <c r="C1831" s="17"/>
      <c r="D1831" s="19"/>
      <c r="E1831" s="17"/>
      <c r="F1831" s="18"/>
      <c r="G1831" s="17"/>
      <c r="H1831" s="17"/>
    </row>
    <row r="1832" spans="1:8" s="10" customFormat="1" x14ac:dyDescent="0.25">
      <c r="A1832" s="18"/>
      <c r="C1832" s="17"/>
      <c r="D1832" s="19"/>
      <c r="E1832" s="17"/>
      <c r="F1832" s="18"/>
      <c r="G1832" s="17"/>
      <c r="H1832" s="17"/>
    </row>
    <row r="1833" spans="1:8" s="10" customFormat="1" x14ac:dyDescent="0.25">
      <c r="A1833" s="18"/>
      <c r="C1833" s="17"/>
      <c r="D1833" s="19"/>
      <c r="E1833" s="17"/>
      <c r="F1833" s="18"/>
      <c r="G1833" s="17"/>
      <c r="H1833" s="17"/>
    </row>
    <row r="1834" spans="1:8" s="10" customFormat="1" x14ac:dyDescent="0.25">
      <c r="A1834" s="18"/>
      <c r="C1834" s="17"/>
      <c r="D1834" s="19"/>
      <c r="E1834" s="17"/>
      <c r="F1834" s="18"/>
      <c r="G1834" s="17"/>
      <c r="H1834" s="17"/>
    </row>
    <row r="1835" spans="1:8" s="10" customFormat="1" x14ac:dyDescent="0.25">
      <c r="A1835" s="18"/>
      <c r="C1835" s="17"/>
      <c r="D1835" s="19"/>
      <c r="E1835" s="17"/>
      <c r="F1835" s="18"/>
      <c r="G1835" s="17"/>
      <c r="H1835" s="17"/>
    </row>
    <row r="1836" spans="1:8" s="10" customFormat="1" x14ac:dyDescent="0.25">
      <c r="A1836" s="18"/>
      <c r="C1836" s="17"/>
      <c r="D1836" s="19"/>
      <c r="E1836" s="17"/>
      <c r="F1836" s="18"/>
      <c r="G1836" s="17"/>
      <c r="H1836" s="17"/>
    </row>
    <row r="1837" spans="1:8" s="10" customFormat="1" x14ac:dyDescent="0.25">
      <c r="A1837" s="18"/>
      <c r="C1837" s="17"/>
      <c r="D1837" s="19"/>
      <c r="E1837" s="17"/>
      <c r="F1837" s="18"/>
      <c r="G1837" s="17"/>
      <c r="H1837" s="17"/>
    </row>
    <row r="1838" spans="1:8" s="10" customFormat="1" x14ac:dyDescent="0.25">
      <c r="A1838" s="18"/>
      <c r="C1838" s="17"/>
      <c r="D1838" s="19"/>
      <c r="E1838" s="17"/>
      <c r="F1838" s="18"/>
      <c r="G1838" s="17"/>
      <c r="H1838" s="17"/>
    </row>
    <row r="1839" spans="1:8" s="10" customFormat="1" x14ac:dyDescent="0.25">
      <c r="A1839" s="18"/>
      <c r="C1839" s="17"/>
      <c r="D1839" s="19"/>
      <c r="E1839" s="17"/>
      <c r="F1839" s="18"/>
      <c r="G1839" s="17"/>
      <c r="H1839" s="17"/>
    </row>
    <row r="1840" spans="1:8" s="10" customFormat="1" x14ac:dyDescent="0.25">
      <c r="A1840" s="18"/>
      <c r="C1840" s="17"/>
      <c r="D1840" s="19"/>
      <c r="E1840" s="17"/>
      <c r="F1840" s="18"/>
      <c r="G1840" s="17"/>
      <c r="H1840" s="17"/>
    </row>
    <row r="1841" spans="1:8" s="10" customFormat="1" x14ac:dyDescent="0.25">
      <c r="A1841" s="18"/>
      <c r="C1841" s="17"/>
      <c r="D1841" s="19"/>
      <c r="E1841" s="17"/>
      <c r="F1841" s="18"/>
      <c r="G1841" s="17"/>
      <c r="H1841" s="17"/>
    </row>
    <row r="1842" spans="1:8" s="10" customFormat="1" x14ac:dyDescent="0.25">
      <c r="A1842" s="18"/>
      <c r="C1842" s="17"/>
      <c r="D1842" s="19"/>
      <c r="E1842" s="17"/>
      <c r="F1842" s="18"/>
      <c r="G1842" s="17"/>
      <c r="H1842" s="17"/>
    </row>
    <row r="1843" spans="1:8" s="10" customFormat="1" x14ac:dyDescent="0.25">
      <c r="A1843" s="18"/>
      <c r="C1843" s="17"/>
      <c r="D1843" s="19"/>
      <c r="E1843" s="17"/>
      <c r="F1843" s="18"/>
      <c r="G1843" s="17"/>
      <c r="H1843" s="17"/>
    </row>
    <row r="1844" spans="1:8" s="10" customFormat="1" x14ac:dyDescent="0.25">
      <c r="A1844" s="18"/>
      <c r="C1844" s="17"/>
      <c r="D1844" s="19"/>
      <c r="E1844" s="17"/>
      <c r="F1844" s="18"/>
      <c r="G1844" s="17"/>
      <c r="H1844" s="17"/>
    </row>
    <row r="1845" spans="1:8" s="10" customFormat="1" x14ac:dyDescent="0.25">
      <c r="A1845" s="18"/>
      <c r="C1845" s="17"/>
      <c r="D1845" s="19"/>
      <c r="E1845" s="17"/>
      <c r="F1845" s="18"/>
      <c r="G1845" s="17"/>
      <c r="H1845" s="17"/>
    </row>
    <row r="1846" spans="1:8" s="10" customFormat="1" x14ac:dyDescent="0.25">
      <c r="A1846" s="18"/>
      <c r="C1846" s="17"/>
      <c r="D1846" s="19"/>
      <c r="E1846" s="17"/>
      <c r="F1846" s="18"/>
      <c r="G1846" s="17"/>
      <c r="H1846" s="17"/>
    </row>
    <row r="1847" spans="1:8" s="10" customFormat="1" x14ac:dyDescent="0.25">
      <c r="A1847" s="18"/>
      <c r="C1847" s="17"/>
      <c r="D1847" s="19"/>
      <c r="E1847" s="17"/>
      <c r="F1847" s="18"/>
      <c r="G1847" s="17"/>
      <c r="H1847" s="17"/>
    </row>
    <row r="1848" spans="1:8" s="10" customFormat="1" x14ac:dyDescent="0.25">
      <c r="A1848" s="18"/>
      <c r="C1848" s="17"/>
      <c r="D1848" s="19"/>
      <c r="E1848" s="17"/>
      <c r="F1848" s="18"/>
      <c r="G1848" s="17"/>
      <c r="H1848" s="17"/>
    </row>
    <row r="1849" spans="1:8" s="10" customFormat="1" x14ac:dyDescent="0.25">
      <c r="A1849" s="18"/>
      <c r="C1849" s="17"/>
      <c r="D1849" s="19"/>
      <c r="E1849" s="17"/>
      <c r="F1849" s="18"/>
      <c r="G1849" s="17"/>
      <c r="H1849" s="17"/>
    </row>
    <row r="1850" spans="1:8" s="10" customFormat="1" x14ac:dyDescent="0.25">
      <c r="A1850" s="18"/>
      <c r="C1850" s="17"/>
      <c r="D1850" s="19"/>
      <c r="E1850" s="17"/>
      <c r="F1850" s="18"/>
      <c r="G1850" s="17"/>
      <c r="H1850" s="17"/>
    </row>
    <row r="1851" spans="1:8" s="10" customFormat="1" x14ac:dyDescent="0.25">
      <c r="A1851" s="18"/>
      <c r="C1851" s="17"/>
      <c r="D1851" s="19"/>
      <c r="E1851" s="17"/>
      <c r="F1851" s="18"/>
      <c r="G1851" s="17"/>
      <c r="H1851" s="17"/>
    </row>
    <row r="1852" spans="1:8" s="10" customFormat="1" x14ac:dyDescent="0.25">
      <c r="A1852" s="18"/>
      <c r="C1852" s="17"/>
      <c r="D1852" s="19"/>
      <c r="E1852" s="17"/>
      <c r="F1852" s="18"/>
      <c r="G1852" s="17"/>
      <c r="H1852" s="17"/>
    </row>
    <row r="1853" spans="1:8" s="10" customFormat="1" x14ac:dyDescent="0.25">
      <c r="A1853" s="18"/>
      <c r="C1853" s="17"/>
      <c r="D1853" s="19"/>
      <c r="E1853" s="17"/>
      <c r="F1853" s="18"/>
      <c r="G1853" s="17"/>
      <c r="H1853" s="17"/>
    </row>
    <row r="1854" spans="1:8" s="10" customFormat="1" x14ac:dyDescent="0.25">
      <c r="A1854" s="18"/>
      <c r="C1854" s="17"/>
      <c r="D1854" s="19"/>
      <c r="E1854" s="17"/>
      <c r="F1854" s="18"/>
      <c r="G1854" s="17"/>
      <c r="H1854" s="17"/>
    </row>
    <row r="1855" spans="1:8" s="10" customFormat="1" x14ac:dyDescent="0.25">
      <c r="A1855" s="18"/>
      <c r="C1855" s="17"/>
      <c r="D1855" s="19"/>
      <c r="E1855" s="17"/>
      <c r="F1855" s="18"/>
      <c r="G1855" s="17"/>
      <c r="H1855" s="17"/>
    </row>
    <row r="1856" spans="1:8" s="10" customFormat="1" x14ac:dyDescent="0.25">
      <c r="A1856" s="18"/>
      <c r="C1856" s="17"/>
      <c r="D1856" s="19"/>
      <c r="E1856" s="17"/>
      <c r="F1856" s="18"/>
      <c r="G1856" s="17"/>
      <c r="H1856" s="17"/>
    </row>
    <row r="1857" spans="1:8" s="10" customFormat="1" x14ac:dyDescent="0.25">
      <c r="A1857" s="18"/>
      <c r="C1857" s="17"/>
      <c r="D1857" s="19"/>
      <c r="E1857" s="17"/>
      <c r="F1857" s="18"/>
      <c r="G1857" s="17"/>
      <c r="H1857" s="17"/>
    </row>
    <row r="1858" spans="1:8" s="10" customFormat="1" x14ac:dyDescent="0.25">
      <c r="A1858" s="18"/>
      <c r="C1858" s="17"/>
      <c r="D1858" s="19"/>
      <c r="E1858" s="17"/>
      <c r="F1858" s="18"/>
      <c r="G1858" s="17"/>
      <c r="H1858" s="17"/>
    </row>
    <row r="1859" spans="1:8" s="10" customFormat="1" x14ac:dyDescent="0.25">
      <c r="A1859" s="18"/>
      <c r="C1859" s="17"/>
      <c r="D1859" s="19"/>
      <c r="E1859" s="17"/>
      <c r="F1859" s="18"/>
      <c r="G1859" s="17"/>
      <c r="H1859" s="17"/>
    </row>
    <row r="1860" spans="1:8" s="10" customFormat="1" x14ac:dyDescent="0.25">
      <c r="A1860" s="18"/>
      <c r="C1860" s="17"/>
      <c r="D1860" s="19"/>
      <c r="E1860" s="17"/>
      <c r="F1860" s="18"/>
      <c r="G1860" s="17"/>
      <c r="H1860" s="17"/>
    </row>
    <row r="1861" spans="1:8" s="10" customFormat="1" x14ac:dyDescent="0.25">
      <c r="A1861" s="18"/>
      <c r="C1861" s="17"/>
      <c r="D1861" s="19"/>
      <c r="E1861" s="17"/>
      <c r="F1861" s="18"/>
      <c r="G1861" s="17"/>
      <c r="H1861" s="17"/>
    </row>
    <row r="1862" spans="1:8" s="10" customFormat="1" x14ac:dyDescent="0.25">
      <c r="A1862" s="18"/>
      <c r="C1862" s="17"/>
      <c r="D1862" s="19"/>
      <c r="E1862" s="17"/>
      <c r="F1862" s="18"/>
      <c r="G1862" s="17"/>
      <c r="H1862" s="17"/>
    </row>
    <row r="1863" spans="1:8" s="10" customFormat="1" x14ac:dyDescent="0.25">
      <c r="A1863" s="18"/>
      <c r="C1863" s="17"/>
      <c r="D1863" s="19"/>
      <c r="E1863" s="17"/>
      <c r="F1863" s="18"/>
      <c r="G1863" s="17"/>
      <c r="H1863" s="17"/>
    </row>
    <row r="1864" spans="1:8" s="10" customFormat="1" x14ac:dyDescent="0.25">
      <c r="A1864" s="18"/>
      <c r="C1864" s="17"/>
      <c r="D1864" s="19"/>
      <c r="E1864" s="17"/>
      <c r="F1864" s="18"/>
      <c r="G1864" s="17"/>
      <c r="H1864" s="17"/>
    </row>
    <row r="1865" spans="1:8" s="10" customFormat="1" x14ac:dyDescent="0.25">
      <c r="A1865" s="18"/>
      <c r="C1865" s="17"/>
      <c r="D1865" s="19"/>
      <c r="E1865" s="17"/>
      <c r="F1865" s="18"/>
      <c r="G1865" s="17"/>
      <c r="H1865" s="17"/>
    </row>
    <row r="1866" spans="1:8" s="10" customFormat="1" x14ac:dyDescent="0.25">
      <c r="A1866" s="18"/>
      <c r="C1866" s="17"/>
      <c r="D1866" s="19"/>
      <c r="E1866" s="17"/>
      <c r="F1866" s="18"/>
      <c r="G1866" s="17"/>
      <c r="H1866" s="17"/>
    </row>
    <row r="1867" spans="1:8" s="10" customFormat="1" x14ac:dyDescent="0.25">
      <c r="A1867" s="18"/>
      <c r="C1867" s="17"/>
      <c r="D1867" s="19"/>
      <c r="E1867" s="17"/>
      <c r="F1867" s="18"/>
      <c r="G1867" s="17"/>
      <c r="H1867" s="17"/>
    </row>
    <row r="1868" spans="1:8" s="10" customFormat="1" x14ac:dyDescent="0.25">
      <c r="A1868" s="18"/>
      <c r="C1868" s="17"/>
      <c r="D1868" s="19"/>
      <c r="E1868" s="17"/>
      <c r="F1868" s="18"/>
      <c r="G1868" s="17"/>
      <c r="H1868" s="17"/>
    </row>
    <row r="1869" spans="1:8" s="10" customFormat="1" x14ac:dyDescent="0.25">
      <c r="A1869" s="18"/>
      <c r="C1869" s="17"/>
      <c r="D1869" s="19"/>
      <c r="E1869" s="17"/>
      <c r="F1869" s="18"/>
      <c r="G1869" s="17"/>
      <c r="H1869" s="17"/>
    </row>
    <row r="1870" spans="1:8" s="10" customFormat="1" x14ac:dyDescent="0.25">
      <c r="A1870" s="18"/>
      <c r="C1870" s="17"/>
      <c r="D1870" s="19"/>
      <c r="E1870" s="17"/>
      <c r="F1870" s="18"/>
      <c r="G1870" s="17"/>
      <c r="H1870" s="17"/>
    </row>
    <row r="1871" spans="1:8" s="10" customFormat="1" x14ac:dyDescent="0.25">
      <c r="A1871" s="18"/>
      <c r="C1871" s="17"/>
      <c r="D1871" s="19"/>
      <c r="E1871" s="17"/>
      <c r="F1871" s="18"/>
      <c r="G1871" s="17"/>
      <c r="H1871" s="17"/>
    </row>
    <row r="1872" spans="1:8" s="10" customFormat="1" x14ac:dyDescent="0.25">
      <c r="A1872" s="18"/>
      <c r="C1872" s="17"/>
      <c r="D1872" s="19"/>
      <c r="E1872" s="17"/>
      <c r="F1872" s="18"/>
      <c r="G1872" s="17"/>
      <c r="H1872" s="17"/>
    </row>
    <row r="1873" spans="1:8" s="10" customFormat="1" x14ac:dyDescent="0.25">
      <c r="A1873" s="18"/>
      <c r="C1873" s="17"/>
      <c r="D1873" s="19"/>
      <c r="E1873" s="17"/>
      <c r="F1873" s="18"/>
      <c r="G1873" s="17"/>
      <c r="H1873" s="17"/>
    </row>
    <row r="1874" spans="1:8" s="10" customFormat="1" x14ac:dyDescent="0.25">
      <c r="A1874" s="18"/>
      <c r="C1874" s="17"/>
      <c r="D1874" s="19"/>
      <c r="E1874" s="17"/>
      <c r="F1874" s="18"/>
      <c r="G1874" s="17"/>
      <c r="H1874" s="17"/>
    </row>
    <row r="1875" spans="1:8" s="10" customFormat="1" x14ac:dyDescent="0.25">
      <c r="A1875" s="18"/>
      <c r="C1875" s="17"/>
      <c r="D1875" s="19"/>
      <c r="E1875" s="17"/>
      <c r="F1875" s="18"/>
      <c r="G1875" s="17"/>
      <c r="H1875" s="17"/>
    </row>
    <row r="1876" spans="1:8" s="10" customFormat="1" x14ac:dyDescent="0.25">
      <c r="A1876" s="18"/>
      <c r="C1876" s="17"/>
      <c r="D1876" s="19"/>
      <c r="E1876" s="17"/>
      <c r="F1876" s="18"/>
      <c r="G1876" s="17"/>
      <c r="H1876" s="17"/>
    </row>
    <row r="1877" spans="1:8" s="10" customFormat="1" x14ac:dyDescent="0.25">
      <c r="A1877" s="18"/>
      <c r="C1877" s="17"/>
      <c r="D1877" s="19"/>
      <c r="E1877" s="17"/>
      <c r="F1877" s="18"/>
      <c r="G1877" s="17"/>
      <c r="H1877" s="17"/>
    </row>
    <row r="1878" spans="1:8" s="10" customFormat="1" x14ac:dyDescent="0.25">
      <c r="A1878" s="18"/>
      <c r="C1878" s="17"/>
      <c r="D1878" s="19"/>
      <c r="E1878" s="17"/>
      <c r="F1878" s="18"/>
      <c r="G1878" s="17"/>
      <c r="H1878" s="17"/>
    </row>
    <row r="1879" spans="1:8" s="10" customFormat="1" x14ac:dyDescent="0.25">
      <c r="A1879" s="18"/>
      <c r="C1879" s="17"/>
      <c r="D1879" s="19"/>
      <c r="E1879" s="17"/>
      <c r="F1879" s="18"/>
      <c r="G1879" s="17"/>
      <c r="H1879" s="17"/>
    </row>
    <row r="1880" spans="1:8" s="10" customFormat="1" x14ac:dyDescent="0.25">
      <c r="A1880" s="18"/>
      <c r="C1880" s="17"/>
      <c r="D1880" s="19"/>
      <c r="E1880" s="17"/>
      <c r="F1880" s="18"/>
      <c r="G1880" s="17"/>
      <c r="H1880" s="17"/>
    </row>
    <row r="1881" spans="1:8" s="10" customFormat="1" x14ac:dyDescent="0.25">
      <c r="A1881" s="18"/>
      <c r="C1881" s="17"/>
      <c r="D1881" s="19"/>
      <c r="E1881" s="17"/>
      <c r="F1881" s="18"/>
      <c r="G1881" s="17"/>
      <c r="H1881" s="17"/>
    </row>
    <row r="1882" spans="1:8" s="10" customFormat="1" x14ac:dyDescent="0.25">
      <c r="A1882" s="18"/>
      <c r="C1882" s="17"/>
      <c r="D1882" s="19"/>
      <c r="E1882" s="17"/>
      <c r="F1882" s="18"/>
      <c r="G1882" s="17"/>
      <c r="H1882" s="17"/>
    </row>
    <row r="1883" spans="1:8" s="10" customFormat="1" x14ac:dyDescent="0.25">
      <c r="A1883" s="18"/>
      <c r="C1883" s="17"/>
      <c r="D1883" s="19"/>
      <c r="E1883" s="17"/>
      <c r="F1883" s="18"/>
      <c r="G1883" s="17"/>
      <c r="H1883" s="17"/>
    </row>
    <row r="1884" spans="1:8" s="10" customFormat="1" x14ac:dyDescent="0.25">
      <c r="A1884" s="18"/>
      <c r="C1884" s="17"/>
      <c r="D1884" s="19"/>
      <c r="E1884" s="17"/>
      <c r="F1884" s="18"/>
      <c r="G1884" s="17"/>
      <c r="H1884" s="17"/>
    </row>
    <row r="1885" spans="1:8" s="10" customFormat="1" x14ac:dyDescent="0.25">
      <c r="A1885" s="18"/>
      <c r="C1885" s="17"/>
      <c r="D1885" s="19"/>
      <c r="E1885" s="17"/>
      <c r="F1885" s="18"/>
      <c r="G1885" s="17"/>
      <c r="H1885" s="17"/>
    </row>
    <row r="1886" spans="1:8" s="10" customFormat="1" x14ac:dyDescent="0.25">
      <c r="A1886" s="18"/>
      <c r="C1886" s="17"/>
      <c r="D1886" s="19"/>
      <c r="E1886" s="17"/>
      <c r="F1886" s="18"/>
      <c r="G1886" s="17"/>
      <c r="H1886" s="17"/>
    </row>
    <row r="1887" spans="1:8" s="10" customFormat="1" x14ac:dyDescent="0.25">
      <c r="A1887" s="18"/>
      <c r="C1887" s="17"/>
      <c r="D1887" s="19"/>
      <c r="E1887" s="17"/>
      <c r="F1887" s="18"/>
      <c r="G1887" s="17"/>
      <c r="H1887" s="17"/>
    </row>
    <row r="1888" spans="1:8" s="10" customFormat="1" x14ac:dyDescent="0.25">
      <c r="A1888" s="18"/>
      <c r="C1888" s="17"/>
      <c r="D1888" s="19"/>
      <c r="E1888" s="17"/>
      <c r="F1888" s="18"/>
      <c r="G1888" s="17"/>
      <c r="H1888" s="17"/>
    </row>
    <row r="1889" spans="1:8" s="10" customFormat="1" x14ac:dyDescent="0.25">
      <c r="A1889" s="18"/>
      <c r="C1889" s="17"/>
      <c r="D1889" s="19"/>
      <c r="E1889" s="17"/>
      <c r="F1889" s="18"/>
      <c r="G1889" s="17"/>
      <c r="H1889" s="17"/>
    </row>
    <row r="1890" spans="1:8" s="10" customFormat="1" x14ac:dyDescent="0.25">
      <c r="A1890" s="18"/>
      <c r="C1890" s="17"/>
      <c r="D1890" s="19"/>
      <c r="E1890" s="17"/>
      <c r="F1890" s="18"/>
      <c r="G1890" s="17"/>
      <c r="H1890" s="17"/>
    </row>
    <row r="1891" spans="1:8" s="10" customFormat="1" x14ac:dyDescent="0.25">
      <c r="A1891" s="18"/>
      <c r="C1891" s="17"/>
      <c r="D1891" s="19"/>
      <c r="E1891" s="17"/>
      <c r="F1891" s="18"/>
      <c r="G1891" s="17"/>
      <c r="H1891" s="17"/>
    </row>
    <row r="1892" spans="1:8" s="10" customFormat="1" x14ac:dyDescent="0.25">
      <c r="A1892" s="18"/>
      <c r="C1892" s="17"/>
      <c r="D1892" s="19"/>
      <c r="E1892" s="17"/>
      <c r="F1892" s="18"/>
      <c r="G1892" s="17"/>
      <c r="H1892" s="17"/>
    </row>
    <row r="1893" spans="1:8" s="10" customFormat="1" x14ac:dyDescent="0.25">
      <c r="A1893" s="18"/>
      <c r="C1893" s="17"/>
      <c r="D1893" s="19"/>
      <c r="E1893" s="17"/>
      <c r="F1893" s="18"/>
      <c r="G1893" s="17"/>
      <c r="H1893" s="17"/>
    </row>
    <row r="1894" spans="1:8" s="10" customFormat="1" x14ac:dyDescent="0.25">
      <c r="A1894" s="18"/>
      <c r="C1894" s="17"/>
      <c r="D1894" s="19"/>
      <c r="E1894" s="17"/>
      <c r="F1894" s="18"/>
      <c r="G1894" s="17"/>
      <c r="H1894" s="17"/>
    </row>
    <row r="1895" spans="1:8" s="10" customFormat="1" x14ac:dyDescent="0.25">
      <c r="A1895" s="18"/>
      <c r="C1895" s="17"/>
      <c r="D1895" s="19"/>
      <c r="E1895" s="17"/>
      <c r="F1895" s="18"/>
      <c r="G1895" s="17"/>
      <c r="H1895" s="17"/>
    </row>
    <row r="1896" spans="1:8" s="10" customFormat="1" x14ac:dyDescent="0.25">
      <c r="A1896" s="18"/>
      <c r="C1896" s="17"/>
      <c r="D1896" s="19"/>
      <c r="E1896" s="17"/>
      <c r="F1896" s="18"/>
      <c r="G1896" s="17"/>
      <c r="H1896" s="17"/>
    </row>
    <row r="1897" spans="1:8" s="10" customFormat="1" x14ac:dyDescent="0.25">
      <c r="A1897" s="18"/>
      <c r="C1897" s="17"/>
      <c r="D1897" s="19"/>
      <c r="E1897" s="17"/>
      <c r="F1897" s="18"/>
      <c r="G1897" s="17"/>
      <c r="H1897" s="17"/>
    </row>
    <row r="1898" spans="1:8" s="10" customFormat="1" x14ac:dyDescent="0.25">
      <c r="A1898" s="18"/>
      <c r="C1898" s="17"/>
      <c r="D1898" s="19"/>
      <c r="E1898" s="17"/>
      <c r="F1898" s="18"/>
      <c r="G1898" s="17"/>
      <c r="H1898" s="17"/>
    </row>
    <row r="1899" spans="1:8" s="10" customFormat="1" x14ac:dyDescent="0.25">
      <c r="A1899" s="18"/>
      <c r="C1899" s="17"/>
      <c r="D1899" s="19"/>
      <c r="E1899" s="17"/>
      <c r="F1899" s="18"/>
      <c r="G1899" s="17"/>
      <c r="H1899" s="17"/>
    </row>
    <row r="1900" spans="1:8" s="10" customFormat="1" x14ac:dyDescent="0.25">
      <c r="A1900" s="18"/>
      <c r="C1900" s="17"/>
      <c r="D1900" s="19"/>
      <c r="E1900" s="17"/>
      <c r="F1900" s="18"/>
      <c r="G1900" s="17"/>
      <c r="H1900" s="17"/>
    </row>
    <row r="1901" spans="1:8" s="10" customFormat="1" x14ac:dyDescent="0.25">
      <c r="A1901" s="18"/>
      <c r="C1901" s="17"/>
      <c r="D1901" s="19"/>
      <c r="E1901" s="17"/>
      <c r="F1901" s="18"/>
      <c r="G1901" s="17"/>
      <c r="H1901" s="17"/>
    </row>
    <row r="1902" spans="1:8" s="10" customFormat="1" x14ac:dyDescent="0.25">
      <c r="A1902" s="18"/>
      <c r="C1902" s="17"/>
      <c r="D1902" s="19"/>
      <c r="E1902" s="17"/>
      <c r="F1902" s="18"/>
      <c r="G1902" s="17"/>
      <c r="H1902" s="17"/>
    </row>
    <row r="1903" spans="1:8" s="10" customFormat="1" x14ac:dyDescent="0.25">
      <c r="A1903" s="18"/>
      <c r="C1903" s="17"/>
      <c r="D1903" s="19"/>
      <c r="E1903" s="17"/>
      <c r="F1903" s="18"/>
      <c r="G1903" s="17"/>
      <c r="H1903" s="17"/>
    </row>
    <row r="1904" spans="1:8" s="10" customFormat="1" x14ac:dyDescent="0.25">
      <c r="A1904" s="18"/>
      <c r="C1904" s="17"/>
      <c r="D1904" s="19"/>
      <c r="E1904" s="17"/>
      <c r="F1904" s="18"/>
      <c r="G1904" s="17"/>
      <c r="H1904" s="17"/>
    </row>
    <row r="1905" spans="1:8" s="10" customFormat="1" x14ac:dyDescent="0.25">
      <c r="A1905" s="18"/>
      <c r="C1905" s="17"/>
      <c r="D1905" s="19"/>
      <c r="E1905" s="17"/>
      <c r="F1905" s="18"/>
      <c r="G1905" s="17"/>
      <c r="H1905" s="17"/>
    </row>
    <row r="1906" spans="1:8" s="10" customFormat="1" x14ac:dyDescent="0.25">
      <c r="A1906" s="18"/>
      <c r="C1906" s="17"/>
      <c r="D1906" s="19"/>
      <c r="E1906" s="17"/>
      <c r="F1906" s="18"/>
      <c r="G1906" s="17"/>
      <c r="H1906" s="17"/>
    </row>
    <row r="1907" spans="1:8" s="10" customFormat="1" x14ac:dyDescent="0.25">
      <c r="A1907" s="18"/>
      <c r="C1907" s="17"/>
      <c r="D1907" s="19"/>
      <c r="E1907" s="17"/>
      <c r="F1907" s="18"/>
      <c r="G1907" s="17"/>
      <c r="H1907" s="17"/>
    </row>
    <row r="1908" spans="1:8" s="10" customFormat="1" x14ac:dyDescent="0.25">
      <c r="A1908" s="18"/>
      <c r="C1908" s="17"/>
      <c r="D1908" s="19"/>
      <c r="E1908" s="17"/>
      <c r="F1908" s="18"/>
      <c r="G1908" s="17"/>
      <c r="H1908" s="17"/>
    </row>
    <row r="1909" spans="1:8" s="10" customFormat="1" x14ac:dyDescent="0.25">
      <c r="A1909" s="18"/>
      <c r="C1909" s="17"/>
      <c r="D1909" s="19"/>
      <c r="E1909" s="17"/>
      <c r="F1909" s="18"/>
      <c r="G1909" s="17"/>
      <c r="H1909" s="17"/>
    </row>
    <row r="1910" spans="1:8" s="10" customFormat="1" x14ac:dyDescent="0.25">
      <c r="A1910" s="18"/>
      <c r="C1910" s="17"/>
      <c r="D1910" s="19"/>
      <c r="E1910" s="17"/>
      <c r="F1910" s="18"/>
      <c r="G1910" s="17"/>
      <c r="H1910" s="17"/>
    </row>
    <row r="1911" spans="1:8" s="10" customFormat="1" x14ac:dyDescent="0.25">
      <c r="A1911" s="18"/>
      <c r="C1911" s="17"/>
      <c r="D1911" s="19"/>
      <c r="E1911" s="17"/>
      <c r="F1911" s="18"/>
      <c r="G1911" s="17"/>
      <c r="H1911" s="17"/>
    </row>
    <row r="1912" spans="1:8" s="10" customFormat="1" x14ac:dyDescent="0.25">
      <c r="A1912" s="18"/>
      <c r="C1912" s="17"/>
      <c r="D1912" s="19"/>
      <c r="E1912" s="17"/>
      <c r="F1912" s="18"/>
      <c r="G1912" s="17"/>
      <c r="H1912" s="17"/>
    </row>
    <row r="1913" spans="1:8" s="10" customFormat="1" x14ac:dyDescent="0.25">
      <c r="A1913" s="18"/>
      <c r="C1913" s="17"/>
      <c r="D1913" s="19"/>
      <c r="E1913" s="17"/>
      <c r="F1913" s="18"/>
      <c r="G1913" s="17"/>
      <c r="H1913" s="17"/>
    </row>
    <row r="1914" spans="1:8" s="10" customFormat="1" x14ac:dyDescent="0.25">
      <c r="A1914" s="18"/>
      <c r="C1914" s="17"/>
      <c r="D1914" s="19"/>
      <c r="E1914" s="17"/>
      <c r="F1914" s="18"/>
      <c r="G1914" s="17"/>
      <c r="H1914" s="17"/>
    </row>
    <row r="1915" spans="1:8" s="10" customFormat="1" x14ac:dyDescent="0.25">
      <c r="A1915" s="18"/>
      <c r="C1915" s="17"/>
      <c r="D1915" s="19"/>
      <c r="E1915" s="17"/>
      <c r="F1915" s="18"/>
      <c r="G1915" s="17"/>
      <c r="H1915" s="17"/>
    </row>
    <row r="1916" spans="1:8" s="10" customFormat="1" x14ac:dyDescent="0.25">
      <c r="A1916" s="18"/>
      <c r="C1916" s="17"/>
      <c r="D1916" s="19"/>
      <c r="E1916" s="17"/>
      <c r="F1916" s="18"/>
      <c r="G1916" s="17"/>
      <c r="H1916" s="17"/>
    </row>
    <row r="1917" spans="1:8" s="10" customFormat="1" x14ac:dyDescent="0.25">
      <c r="A1917" s="18"/>
      <c r="C1917" s="17"/>
      <c r="D1917" s="19"/>
      <c r="E1917" s="17"/>
      <c r="F1917" s="18"/>
      <c r="G1917" s="17"/>
      <c r="H1917" s="17"/>
    </row>
    <row r="1918" spans="1:8" s="10" customFormat="1" x14ac:dyDescent="0.25">
      <c r="A1918" s="18"/>
      <c r="C1918" s="17"/>
      <c r="D1918" s="19"/>
      <c r="E1918" s="17"/>
      <c r="F1918" s="18"/>
      <c r="G1918" s="17"/>
      <c r="H1918" s="17"/>
    </row>
    <row r="1919" spans="1:8" s="10" customFormat="1" x14ac:dyDescent="0.25">
      <c r="A1919" s="18"/>
      <c r="C1919" s="17"/>
      <c r="D1919" s="19"/>
      <c r="E1919" s="17"/>
      <c r="F1919" s="18"/>
      <c r="G1919" s="17"/>
      <c r="H1919" s="17"/>
    </row>
    <row r="1920" spans="1:8" s="10" customFormat="1" x14ac:dyDescent="0.25">
      <c r="A1920" s="18"/>
      <c r="C1920" s="17"/>
      <c r="D1920" s="19"/>
      <c r="E1920" s="17"/>
      <c r="F1920" s="18"/>
      <c r="G1920" s="17"/>
      <c r="H1920" s="17"/>
    </row>
    <row r="1921" spans="1:8" s="10" customFormat="1" x14ac:dyDescent="0.25">
      <c r="A1921" s="18"/>
      <c r="C1921" s="17"/>
      <c r="D1921" s="19"/>
      <c r="E1921" s="17"/>
      <c r="F1921" s="18"/>
      <c r="G1921" s="17"/>
      <c r="H1921" s="17"/>
    </row>
    <row r="1922" spans="1:8" s="10" customFormat="1" x14ac:dyDescent="0.25">
      <c r="A1922" s="18"/>
      <c r="C1922" s="17"/>
      <c r="D1922" s="19"/>
      <c r="E1922" s="17"/>
      <c r="F1922" s="18"/>
      <c r="G1922" s="17"/>
      <c r="H1922" s="17"/>
    </row>
    <row r="1923" spans="1:8" s="10" customFormat="1" x14ac:dyDescent="0.25">
      <c r="A1923" s="18"/>
      <c r="C1923" s="17"/>
      <c r="D1923" s="19"/>
      <c r="E1923" s="17"/>
      <c r="F1923" s="18"/>
      <c r="G1923" s="17"/>
      <c r="H1923" s="17"/>
    </row>
    <row r="1924" spans="1:8" s="10" customFormat="1" x14ac:dyDescent="0.25">
      <c r="A1924" s="18"/>
      <c r="C1924" s="17"/>
      <c r="D1924" s="19"/>
      <c r="E1924" s="17"/>
      <c r="F1924" s="18"/>
      <c r="G1924" s="17"/>
      <c r="H1924" s="17"/>
    </row>
    <row r="1925" spans="1:8" s="10" customFormat="1" x14ac:dyDescent="0.25">
      <c r="A1925" s="18"/>
      <c r="C1925" s="17"/>
      <c r="D1925" s="19"/>
      <c r="E1925" s="17"/>
      <c r="F1925" s="18"/>
      <c r="G1925" s="17"/>
      <c r="H1925" s="17"/>
    </row>
    <row r="1926" spans="1:8" s="10" customFormat="1" x14ac:dyDescent="0.25">
      <c r="A1926" s="18"/>
      <c r="C1926" s="17"/>
      <c r="D1926" s="19"/>
      <c r="E1926" s="17"/>
      <c r="F1926" s="18"/>
      <c r="G1926" s="17"/>
      <c r="H1926" s="17"/>
    </row>
    <row r="1927" spans="1:8" s="10" customFormat="1" x14ac:dyDescent="0.25">
      <c r="A1927" s="18"/>
      <c r="C1927" s="17"/>
      <c r="D1927" s="19"/>
      <c r="E1927" s="17"/>
      <c r="F1927" s="18"/>
      <c r="G1927" s="17"/>
      <c r="H1927" s="17"/>
    </row>
    <row r="1928" spans="1:8" s="10" customFormat="1" x14ac:dyDescent="0.25">
      <c r="A1928" s="18"/>
      <c r="C1928" s="17"/>
      <c r="D1928" s="19"/>
      <c r="E1928" s="17"/>
      <c r="F1928" s="18"/>
      <c r="G1928" s="17"/>
      <c r="H1928" s="17"/>
    </row>
    <row r="1929" spans="1:8" s="10" customFormat="1" x14ac:dyDescent="0.25">
      <c r="A1929" s="18"/>
      <c r="C1929" s="17"/>
      <c r="D1929" s="19"/>
      <c r="E1929" s="17"/>
      <c r="F1929" s="18"/>
      <c r="G1929" s="17"/>
      <c r="H1929" s="17"/>
    </row>
    <row r="1930" spans="1:8" s="10" customFormat="1" x14ac:dyDescent="0.25">
      <c r="A1930" s="18"/>
      <c r="C1930" s="17"/>
      <c r="D1930" s="19"/>
      <c r="E1930" s="17"/>
      <c r="F1930" s="18"/>
      <c r="G1930" s="17"/>
      <c r="H1930" s="17"/>
    </row>
    <row r="1931" spans="1:8" s="10" customFormat="1" x14ac:dyDescent="0.25">
      <c r="A1931" s="18"/>
      <c r="C1931" s="17"/>
      <c r="D1931" s="19"/>
      <c r="E1931" s="17"/>
      <c r="F1931" s="18"/>
      <c r="G1931" s="17"/>
      <c r="H1931" s="17"/>
    </row>
    <row r="1932" spans="1:8" s="10" customFormat="1" x14ac:dyDescent="0.25">
      <c r="A1932" s="18"/>
      <c r="C1932" s="17"/>
      <c r="D1932" s="19"/>
      <c r="E1932" s="17"/>
      <c r="F1932" s="18"/>
      <c r="G1932" s="17"/>
      <c r="H1932" s="17"/>
    </row>
    <row r="1933" spans="1:8" s="10" customFormat="1" x14ac:dyDescent="0.25">
      <c r="A1933" s="18"/>
      <c r="C1933" s="17"/>
      <c r="D1933" s="19"/>
      <c r="E1933" s="17"/>
      <c r="F1933" s="18"/>
      <c r="G1933" s="17"/>
      <c r="H1933" s="17"/>
    </row>
    <row r="1934" spans="1:8" s="10" customFormat="1" x14ac:dyDescent="0.25">
      <c r="A1934" s="18"/>
      <c r="C1934" s="17"/>
      <c r="D1934" s="19"/>
      <c r="E1934" s="17"/>
      <c r="F1934" s="18"/>
      <c r="G1934" s="17"/>
      <c r="H1934" s="17"/>
    </row>
    <row r="1935" spans="1:8" s="10" customFormat="1" x14ac:dyDescent="0.25">
      <c r="A1935" s="18"/>
      <c r="C1935" s="17"/>
      <c r="D1935" s="19"/>
      <c r="E1935" s="17"/>
      <c r="F1935" s="18"/>
      <c r="G1935" s="17"/>
      <c r="H1935" s="17"/>
    </row>
    <row r="1936" spans="1:8" s="10" customFormat="1" x14ac:dyDescent="0.25">
      <c r="A1936" s="18"/>
      <c r="C1936" s="17"/>
      <c r="D1936" s="19"/>
      <c r="E1936" s="17"/>
      <c r="F1936" s="18"/>
      <c r="G1936" s="17"/>
      <c r="H1936" s="17"/>
    </row>
    <row r="1937" spans="1:8" s="10" customFormat="1" x14ac:dyDescent="0.25">
      <c r="A1937" s="18"/>
      <c r="C1937" s="17"/>
      <c r="D1937" s="19"/>
      <c r="E1937" s="17"/>
      <c r="F1937" s="18"/>
      <c r="G1937" s="17"/>
      <c r="H1937" s="17"/>
    </row>
    <row r="1938" spans="1:8" s="10" customFormat="1" x14ac:dyDescent="0.25">
      <c r="A1938" s="18"/>
      <c r="C1938" s="17"/>
      <c r="D1938" s="19"/>
      <c r="E1938" s="17"/>
      <c r="F1938" s="18"/>
      <c r="G1938" s="17"/>
      <c r="H1938" s="17"/>
    </row>
    <row r="1939" spans="1:8" s="10" customFormat="1" x14ac:dyDescent="0.25">
      <c r="A1939" s="18"/>
      <c r="C1939" s="17"/>
      <c r="D1939" s="19"/>
      <c r="E1939" s="17"/>
      <c r="F1939" s="18"/>
      <c r="G1939" s="17"/>
      <c r="H1939" s="17"/>
    </row>
    <row r="1940" spans="1:8" s="10" customFormat="1" x14ac:dyDescent="0.25">
      <c r="A1940" s="18"/>
      <c r="C1940" s="17"/>
      <c r="D1940" s="19"/>
      <c r="E1940" s="17"/>
      <c r="F1940" s="18"/>
      <c r="G1940" s="17"/>
      <c r="H1940" s="17"/>
    </row>
    <row r="1941" spans="1:8" s="10" customFormat="1" x14ac:dyDescent="0.25">
      <c r="A1941" s="18"/>
      <c r="C1941" s="17"/>
      <c r="D1941" s="19"/>
      <c r="E1941" s="17"/>
      <c r="F1941" s="18"/>
      <c r="G1941" s="17"/>
      <c r="H1941" s="17"/>
    </row>
    <row r="1942" spans="1:8" s="10" customFormat="1" x14ac:dyDescent="0.25">
      <c r="A1942" s="18"/>
      <c r="C1942" s="17"/>
      <c r="D1942" s="19"/>
      <c r="E1942" s="17"/>
      <c r="F1942" s="18"/>
      <c r="G1942" s="17"/>
      <c r="H1942" s="17"/>
    </row>
    <row r="1943" spans="1:8" s="10" customFormat="1" x14ac:dyDescent="0.25">
      <c r="A1943" s="18"/>
      <c r="C1943" s="17"/>
      <c r="D1943" s="19"/>
      <c r="E1943" s="17"/>
      <c r="F1943" s="18"/>
      <c r="G1943" s="17"/>
      <c r="H1943" s="17"/>
    </row>
    <row r="1944" spans="1:8" s="10" customFormat="1" x14ac:dyDescent="0.25">
      <c r="A1944" s="18"/>
      <c r="C1944" s="17"/>
      <c r="D1944" s="19"/>
      <c r="E1944" s="17"/>
      <c r="F1944" s="18"/>
      <c r="G1944" s="17"/>
      <c r="H1944" s="17"/>
    </row>
    <row r="1945" spans="1:8" s="10" customFormat="1" x14ac:dyDescent="0.25">
      <c r="A1945" s="18"/>
      <c r="C1945" s="17"/>
      <c r="D1945" s="19"/>
      <c r="E1945" s="17"/>
      <c r="F1945" s="18"/>
      <c r="G1945" s="17"/>
      <c r="H1945" s="17"/>
    </row>
    <row r="1946" spans="1:8" s="10" customFormat="1" x14ac:dyDescent="0.25">
      <c r="A1946" s="18"/>
      <c r="C1946" s="17"/>
      <c r="D1946" s="19"/>
      <c r="E1946" s="17"/>
      <c r="F1946" s="18"/>
      <c r="G1946" s="17"/>
      <c r="H1946" s="17"/>
    </row>
    <row r="1947" spans="1:8" s="10" customFormat="1" x14ac:dyDescent="0.25">
      <c r="A1947" s="18"/>
      <c r="C1947" s="17"/>
      <c r="D1947" s="19"/>
      <c r="E1947" s="17"/>
      <c r="F1947" s="18"/>
      <c r="G1947" s="17"/>
      <c r="H1947" s="17"/>
    </row>
    <row r="1948" spans="1:8" s="10" customFormat="1" x14ac:dyDescent="0.25">
      <c r="A1948" s="18"/>
      <c r="C1948" s="17"/>
      <c r="D1948" s="19"/>
      <c r="E1948" s="17"/>
      <c r="F1948" s="18"/>
      <c r="G1948" s="17"/>
      <c r="H1948" s="17"/>
    </row>
    <row r="1949" spans="1:8" s="10" customFormat="1" x14ac:dyDescent="0.25">
      <c r="A1949" s="18"/>
      <c r="C1949" s="17"/>
      <c r="D1949" s="19"/>
      <c r="E1949" s="17"/>
      <c r="F1949" s="18"/>
      <c r="G1949" s="17"/>
      <c r="H1949" s="17"/>
    </row>
    <row r="1950" spans="1:8" s="10" customFormat="1" x14ac:dyDescent="0.25">
      <c r="A1950" s="18"/>
      <c r="C1950" s="17"/>
      <c r="D1950" s="19"/>
      <c r="E1950" s="17"/>
      <c r="F1950" s="18"/>
      <c r="G1950" s="17"/>
      <c r="H1950" s="17"/>
    </row>
    <row r="1951" spans="1:8" s="10" customFormat="1" x14ac:dyDescent="0.25">
      <c r="A1951" s="18"/>
      <c r="C1951" s="17"/>
      <c r="D1951" s="19"/>
      <c r="E1951" s="17"/>
      <c r="F1951" s="18"/>
      <c r="G1951" s="17"/>
      <c r="H1951" s="17"/>
    </row>
    <row r="1952" spans="1:8" s="10" customFormat="1" x14ac:dyDescent="0.25">
      <c r="A1952" s="18"/>
      <c r="C1952" s="17"/>
      <c r="D1952" s="19"/>
      <c r="E1952" s="17"/>
      <c r="F1952" s="18"/>
      <c r="G1952" s="17"/>
      <c r="H1952" s="17"/>
    </row>
    <row r="1953" spans="1:8" s="10" customFormat="1" x14ac:dyDescent="0.25">
      <c r="A1953" s="18"/>
      <c r="C1953" s="17"/>
      <c r="D1953" s="19"/>
      <c r="E1953" s="17"/>
      <c r="F1953" s="18"/>
      <c r="G1953" s="17"/>
      <c r="H1953" s="17"/>
    </row>
    <row r="1954" spans="1:8" s="10" customFormat="1" x14ac:dyDescent="0.25">
      <c r="A1954" s="18"/>
      <c r="C1954" s="17"/>
      <c r="D1954" s="19"/>
      <c r="E1954" s="17"/>
      <c r="F1954" s="18"/>
      <c r="G1954" s="17"/>
      <c r="H1954" s="17"/>
    </row>
    <row r="1955" spans="1:8" s="10" customFormat="1" x14ac:dyDescent="0.25">
      <c r="A1955" s="18"/>
      <c r="C1955" s="17"/>
      <c r="D1955" s="19"/>
      <c r="E1955" s="17"/>
      <c r="F1955" s="18"/>
      <c r="G1955" s="17"/>
      <c r="H1955" s="17"/>
    </row>
    <row r="1956" spans="1:8" s="10" customFormat="1" x14ac:dyDescent="0.25">
      <c r="A1956" s="18"/>
      <c r="C1956" s="17"/>
      <c r="D1956" s="19"/>
      <c r="E1956" s="17"/>
      <c r="F1956" s="18"/>
      <c r="G1956" s="17"/>
      <c r="H1956" s="17"/>
    </row>
    <row r="1957" spans="1:8" s="10" customFormat="1" x14ac:dyDescent="0.25">
      <c r="A1957" s="18"/>
      <c r="C1957" s="17"/>
      <c r="D1957" s="19"/>
      <c r="E1957" s="17"/>
      <c r="F1957" s="18"/>
      <c r="G1957" s="17"/>
      <c r="H1957" s="17"/>
    </row>
    <row r="1958" spans="1:8" s="10" customFormat="1" x14ac:dyDescent="0.25">
      <c r="A1958" s="18"/>
      <c r="C1958" s="17"/>
      <c r="D1958" s="19"/>
      <c r="E1958" s="17"/>
      <c r="F1958" s="18"/>
      <c r="G1958" s="17"/>
      <c r="H1958" s="17"/>
    </row>
    <row r="1959" spans="1:8" s="10" customFormat="1" x14ac:dyDescent="0.25">
      <c r="A1959" s="18"/>
      <c r="C1959" s="17"/>
      <c r="D1959" s="19"/>
      <c r="E1959" s="17"/>
      <c r="F1959" s="18"/>
      <c r="G1959" s="17"/>
      <c r="H1959" s="17"/>
    </row>
    <row r="1960" spans="1:8" s="10" customFormat="1" x14ac:dyDescent="0.25">
      <c r="A1960" s="18"/>
      <c r="C1960" s="17"/>
      <c r="D1960" s="19"/>
      <c r="E1960" s="17"/>
      <c r="F1960" s="18"/>
      <c r="G1960" s="17"/>
      <c r="H1960" s="17"/>
    </row>
    <row r="1961" spans="1:8" s="10" customFormat="1" x14ac:dyDescent="0.25">
      <c r="A1961" s="18"/>
      <c r="C1961" s="17"/>
      <c r="D1961" s="19"/>
      <c r="E1961" s="17"/>
      <c r="F1961" s="18"/>
      <c r="G1961" s="17"/>
      <c r="H1961" s="17"/>
    </row>
    <row r="1962" spans="1:8" s="10" customFormat="1" x14ac:dyDescent="0.25">
      <c r="A1962" s="18"/>
      <c r="C1962" s="17"/>
      <c r="D1962" s="19"/>
      <c r="E1962" s="17"/>
      <c r="F1962" s="18"/>
      <c r="G1962" s="17"/>
      <c r="H1962" s="17"/>
    </row>
    <row r="1963" spans="1:8" s="10" customFormat="1" x14ac:dyDescent="0.25">
      <c r="A1963" s="18"/>
      <c r="C1963" s="17"/>
      <c r="D1963" s="19"/>
      <c r="E1963" s="17"/>
      <c r="F1963" s="18"/>
      <c r="G1963" s="17"/>
      <c r="H1963" s="17"/>
    </row>
    <row r="1964" spans="1:8" s="10" customFormat="1" x14ac:dyDescent="0.25">
      <c r="A1964" s="18"/>
      <c r="C1964" s="17"/>
      <c r="D1964" s="19"/>
      <c r="E1964" s="17"/>
      <c r="F1964" s="18"/>
      <c r="G1964" s="17"/>
      <c r="H1964" s="17"/>
    </row>
    <row r="1965" spans="1:8" s="10" customFormat="1" x14ac:dyDescent="0.25">
      <c r="A1965" s="18"/>
      <c r="C1965" s="17"/>
      <c r="D1965" s="19"/>
      <c r="E1965" s="17"/>
      <c r="F1965" s="18"/>
      <c r="G1965" s="17"/>
      <c r="H1965" s="17"/>
    </row>
    <row r="1966" spans="1:8" s="10" customFormat="1" x14ac:dyDescent="0.25">
      <c r="A1966" s="18"/>
      <c r="C1966" s="17"/>
      <c r="D1966" s="19"/>
      <c r="E1966" s="17"/>
      <c r="F1966" s="18"/>
      <c r="G1966" s="17"/>
      <c r="H1966" s="17"/>
    </row>
    <row r="1967" spans="1:8" s="10" customFormat="1" x14ac:dyDescent="0.25">
      <c r="A1967" s="18"/>
      <c r="C1967" s="17"/>
      <c r="D1967" s="19"/>
      <c r="E1967" s="17"/>
      <c r="F1967" s="18"/>
      <c r="G1967" s="17"/>
      <c r="H1967" s="17"/>
    </row>
    <row r="1968" spans="1:8" s="10" customFormat="1" x14ac:dyDescent="0.25">
      <c r="A1968" s="18"/>
      <c r="C1968" s="17"/>
      <c r="D1968" s="19"/>
      <c r="E1968" s="17"/>
      <c r="F1968" s="18"/>
      <c r="G1968" s="17"/>
      <c r="H1968" s="17"/>
    </row>
    <row r="1969" spans="1:8" s="10" customFormat="1" x14ac:dyDescent="0.25">
      <c r="A1969" s="18"/>
      <c r="C1969" s="17"/>
      <c r="D1969" s="19"/>
      <c r="E1969" s="17"/>
      <c r="F1969" s="18"/>
      <c r="G1969" s="17"/>
      <c r="H1969" s="17"/>
    </row>
    <row r="1970" spans="1:8" s="10" customFormat="1" x14ac:dyDescent="0.25">
      <c r="A1970" s="18"/>
      <c r="C1970" s="17"/>
      <c r="D1970" s="19"/>
      <c r="E1970" s="17"/>
      <c r="F1970" s="18"/>
      <c r="G1970" s="17"/>
      <c r="H1970" s="17"/>
    </row>
    <row r="1971" spans="1:8" s="10" customFormat="1" x14ac:dyDescent="0.25">
      <c r="A1971" s="18"/>
      <c r="C1971" s="17"/>
      <c r="D1971" s="19"/>
      <c r="E1971" s="17"/>
      <c r="F1971" s="18"/>
      <c r="G1971" s="17"/>
      <c r="H1971" s="17"/>
    </row>
    <row r="1972" spans="1:8" s="10" customFormat="1" x14ac:dyDescent="0.25">
      <c r="A1972" s="18"/>
      <c r="C1972" s="17"/>
      <c r="D1972" s="19"/>
      <c r="E1972" s="17"/>
      <c r="F1972" s="18"/>
      <c r="G1972" s="17"/>
      <c r="H1972" s="17"/>
    </row>
    <row r="1973" spans="1:8" s="10" customFormat="1" x14ac:dyDescent="0.25">
      <c r="A1973" s="18"/>
      <c r="C1973" s="17"/>
      <c r="D1973" s="19"/>
      <c r="E1973" s="17"/>
      <c r="F1973" s="18"/>
      <c r="G1973" s="17"/>
      <c r="H1973" s="17"/>
    </row>
    <row r="1974" spans="1:8" s="10" customFormat="1" x14ac:dyDescent="0.25">
      <c r="A1974" s="18"/>
      <c r="C1974" s="17"/>
      <c r="D1974" s="19"/>
      <c r="E1974" s="17"/>
      <c r="F1974" s="18"/>
      <c r="G1974" s="17"/>
      <c r="H1974" s="17"/>
    </row>
    <row r="1975" spans="1:8" s="10" customFormat="1" x14ac:dyDescent="0.25">
      <c r="A1975" s="18"/>
      <c r="C1975" s="17"/>
      <c r="D1975" s="19"/>
      <c r="E1975" s="17"/>
      <c r="F1975" s="18"/>
      <c r="G1975" s="17"/>
      <c r="H1975" s="17"/>
    </row>
    <row r="1976" spans="1:8" s="10" customFormat="1" x14ac:dyDescent="0.25">
      <c r="A1976" s="18"/>
      <c r="C1976" s="17"/>
      <c r="D1976" s="19"/>
      <c r="E1976" s="17"/>
      <c r="F1976" s="18"/>
      <c r="G1976" s="17"/>
      <c r="H1976" s="17"/>
    </row>
    <row r="1977" spans="1:8" s="10" customFormat="1" x14ac:dyDescent="0.25">
      <c r="A1977" s="18"/>
      <c r="C1977" s="17"/>
      <c r="D1977" s="19"/>
      <c r="E1977" s="17"/>
      <c r="F1977" s="18"/>
      <c r="G1977" s="17"/>
      <c r="H1977" s="17"/>
    </row>
    <row r="1978" spans="1:8" s="10" customFormat="1" x14ac:dyDescent="0.25">
      <c r="A1978" s="18"/>
      <c r="C1978" s="17"/>
      <c r="D1978" s="19"/>
      <c r="E1978" s="17"/>
      <c r="F1978" s="18"/>
      <c r="G1978" s="17"/>
      <c r="H1978" s="17"/>
    </row>
    <row r="1979" spans="1:8" s="10" customFormat="1" x14ac:dyDescent="0.25">
      <c r="A1979" s="18"/>
      <c r="C1979" s="17"/>
      <c r="D1979" s="19"/>
      <c r="E1979" s="17"/>
      <c r="F1979" s="18"/>
      <c r="G1979" s="17"/>
      <c r="H1979" s="17"/>
    </row>
    <row r="1980" spans="1:8" s="10" customFormat="1" x14ac:dyDescent="0.25">
      <c r="A1980" s="18"/>
      <c r="C1980" s="17"/>
      <c r="D1980" s="19"/>
      <c r="E1980" s="17"/>
      <c r="F1980" s="18"/>
      <c r="G1980" s="17"/>
      <c r="H1980" s="17"/>
    </row>
    <row r="1981" spans="1:8" s="10" customFormat="1" x14ac:dyDescent="0.25">
      <c r="A1981" s="18"/>
      <c r="C1981" s="17"/>
      <c r="D1981" s="19"/>
      <c r="E1981" s="17"/>
      <c r="F1981" s="18"/>
      <c r="G1981" s="17"/>
      <c r="H1981" s="17"/>
    </row>
    <row r="1982" spans="1:8" s="10" customFormat="1" x14ac:dyDescent="0.25">
      <c r="A1982" s="18"/>
      <c r="C1982" s="17"/>
      <c r="D1982" s="19"/>
      <c r="E1982" s="17"/>
      <c r="F1982" s="18"/>
      <c r="G1982" s="17"/>
      <c r="H1982" s="17"/>
    </row>
    <row r="1983" spans="1:8" s="10" customFormat="1" x14ac:dyDescent="0.25">
      <c r="A1983" s="18"/>
      <c r="C1983" s="17"/>
      <c r="D1983" s="19"/>
      <c r="E1983" s="17"/>
      <c r="F1983" s="18"/>
      <c r="G1983" s="17"/>
      <c r="H1983" s="17"/>
    </row>
    <row r="1984" spans="1:8" s="10" customFormat="1" x14ac:dyDescent="0.25">
      <c r="A1984" s="18"/>
      <c r="C1984" s="17"/>
      <c r="D1984" s="19"/>
      <c r="E1984" s="17"/>
      <c r="F1984" s="18"/>
      <c r="G1984" s="17"/>
      <c r="H1984" s="17"/>
    </row>
    <row r="1985" spans="1:8" s="10" customFormat="1" x14ac:dyDescent="0.25">
      <c r="A1985" s="18"/>
      <c r="C1985" s="17"/>
      <c r="D1985" s="19"/>
      <c r="E1985" s="17"/>
      <c r="F1985" s="18"/>
      <c r="G1985" s="17"/>
      <c r="H1985" s="17"/>
    </row>
    <row r="1986" spans="1:8" s="10" customFormat="1" x14ac:dyDescent="0.25">
      <c r="A1986" s="18"/>
      <c r="C1986" s="17"/>
      <c r="D1986" s="19"/>
      <c r="E1986" s="17"/>
      <c r="F1986" s="18"/>
      <c r="G1986" s="17"/>
      <c r="H1986" s="17"/>
    </row>
    <row r="1987" spans="1:8" s="10" customFormat="1" x14ac:dyDescent="0.25">
      <c r="A1987" s="18"/>
      <c r="C1987" s="17"/>
      <c r="D1987" s="19"/>
      <c r="E1987" s="17"/>
      <c r="F1987" s="18"/>
      <c r="G1987" s="17"/>
      <c r="H1987" s="17"/>
    </row>
    <row r="1988" spans="1:8" s="10" customFormat="1" x14ac:dyDescent="0.25">
      <c r="A1988" s="18"/>
      <c r="C1988" s="17"/>
      <c r="D1988" s="19"/>
      <c r="E1988" s="17"/>
      <c r="F1988" s="18"/>
      <c r="G1988" s="17"/>
      <c r="H1988" s="17"/>
    </row>
    <row r="1989" spans="1:8" s="10" customFormat="1" x14ac:dyDescent="0.25">
      <c r="A1989" s="18"/>
      <c r="C1989" s="17"/>
      <c r="D1989" s="19"/>
      <c r="E1989" s="17"/>
      <c r="F1989" s="18"/>
      <c r="G1989" s="17"/>
      <c r="H1989" s="17"/>
    </row>
    <row r="1990" spans="1:8" s="10" customFormat="1" x14ac:dyDescent="0.25">
      <c r="A1990" s="18"/>
      <c r="C1990" s="17"/>
      <c r="D1990" s="19"/>
      <c r="E1990" s="17"/>
      <c r="F1990" s="18"/>
      <c r="G1990" s="17"/>
      <c r="H1990" s="17"/>
    </row>
    <row r="1991" spans="1:8" s="10" customFormat="1" x14ac:dyDescent="0.25">
      <c r="A1991" s="18"/>
      <c r="C1991" s="17"/>
      <c r="D1991" s="19"/>
      <c r="E1991" s="17"/>
      <c r="F1991" s="18"/>
      <c r="G1991" s="17"/>
      <c r="H1991" s="17"/>
    </row>
    <row r="1992" spans="1:8" s="10" customFormat="1" x14ac:dyDescent="0.25">
      <c r="A1992" s="18"/>
      <c r="C1992" s="17"/>
      <c r="D1992" s="19"/>
      <c r="E1992" s="17"/>
      <c r="F1992" s="18"/>
      <c r="G1992" s="17"/>
      <c r="H1992" s="17"/>
    </row>
    <row r="1993" spans="1:8" s="10" customFormat="1" x14ac:dyDescent="0.25">
      <c r="A1993" s="18"/>
      <c r="C1993" s="17"/>
      <c r="D1993" s="19"/>
      <c r="E1993" s="17"/>
      <c r="F1993" s="18"/>
      <c r="G1993" s="17"/>
      <c r="H1993" s="17"/>
    </row>
    <row r="1994" spans="1:8" s="10" customFormat="1" x14ac:dyDescent="0.25">
      <c r="A1994" s="18"/>
      <c r="C1994" s="17"/>
      <c r="D1994" s="19"/>
      <c r="E1994" s="17"/>
      <c r="F1994" s="18"/>
      <c r="G1994" s="17"/>
      <c r="H1994" s="17"/>
    </row>
    <row r="1995" spans="1:8" s="10" customFormat="1" x14ac:dyDescent="0.25">
      <c r="A1995" s="18"/>
      <c r="C1995" s="17"/>
      <c r="D1995" s="19"/>
      <c r="E1995" s="17"/>
      <c r="F1995" s="18"/>
      <c r="G1995" s="17"/>
      <c r="H1995" s="17"/>
    </row>
    <row r="1996" spans="1:8" s="10" customFormat="1" x14ac:dyDescent="0.25">
      <c r="A1996" s="18"/>
      <c r="C1996" s="17"/>
      <c r="D1996" s="19"/>
      <c r="E1996" s="17"/>
      <c r="F1996" s="18"/>
      <c r="G1996" s="17"/>
      <c r="H1996" s="17"/>
    </row>
    <row r="1997" spans="1:8" s="10" customFormat="1" x14ac:dyDescent="0.25">
      <c r="A1997" s="18"/>
      <c r="C1997" s="17"/>
      <c r="D1997" s="19"/>
      <c r="E1997" s="17"/>
      <c r="F1997" s="18"/>
      <c r="G1997" s="17"/>
      <c r="H1997" s="17"/>
    </row>
    <row r="1998" spans="1:8" s="10" customFormat="1" x14ac:dyDescent="0.25">
      <c r="A1998" s="18"/>
      <c r="C1998" s="17"/>
      <c r="D1998" s="19"/>
      <c r="E1998" s="17"/>
      <c r="F1998" s="18"/>
      <c r="G1998" s="17"/>
      <c r="H1998" s="17"/>
    </row>
    <row r="1999" spans="1:8" s="10" customFormat="1" x14ac:dyDescent="0.25">
      <c r="A1999" s="18"/>
      <c r="C1999" s="17"/>
      <c r="D1999" s="19"/>
      <c r="E1999" s="17"/>
      <c r="F1999" s="18"/>
      <c r="G1999" s="17"/>
      <c r="H1999" s="17"/>
    </row>
    <row r="2000" spans="1:8" s="10" customFormat="1" x14ac:dyDescent="0.25">
      <c r="A2000" s="18"/>
      <c r="C2000" s="17"/>
      <c r="D2000" s="19"/>
      <c r="E2000" s="17"/>
      <c r="F2000" s="18"/>
      <c r="G2000" s="17"/>
      <c r="H2000" s="17"/>
    </row>
    <row r="2001" spans="1:8" s="10" customFormat="1" x14ac:dyDescent="0.25">
      <c r="A2001" s="18"/>
      <c r="C2001" s="17"/>
      <c r="D2001" s="19"/>
      <c r="E2001" s="17"/>
      <c r="F2001" s="18"/>
      <c r="G2001" s="17"/>
      <c r="H2001" s="17"/>
    </row>
    <row r="2002" spans="1:8" s="10" customFormat="1" x14ac:dyDescent="0.25">
      <c r="A2002" s="18"/>
      <c r="C2002" s="17"/>
      <c r="D2002" s="19"/>
      <c r="E2002" s="17"/>
      <c r="F2002" s="18"/>
      <c r="G2002" s="17"/>
      <c r="H2002" s="17"/>
    </row>
    <row r="2003" spans="1:8" s="10" customFormat="1" x14ac:dyDescent="0.25">
      <c r="A2003" s="18"/>
      <c r="C2003" s="17"/>
      <c r="D2003" s="19"/>
      <c r="E2003" s="17"/>
      <c r="F2003" s="18"/>
      <c r="G2003" s="17"/>
      <c r="H2003" s="17"/>
    </row>
    <row r="2004" spans="1:8" s="10" customFormat="1" x14ac:dyDescent="0.25">
      <c r="A2004" s="18"/>
      <c r="C2004" s="17"/>
      <c r="D2004" s="19"/>
      <c r="E2004" s="17"/>
      <c r="F2004" s="18"/>
      <c r="G2004" s="17"/>
      <c r="H2004" s="17"/>
    </row>
    <row r="2005" spans="1:8" s="10" customFormat="1" x14ac:dyDescent="0.25">
      <c r="A2005" s="18"/>
      <c r="C2005" s="17"/>
      <c r="D2005" s="19"/>
      <c r="E2005" s="17"/>
      <c r="F2005" s="18"/>
      <c r="G2005" s="17"/>
      <c r="H2005" s="17"/>
    </row>
    <row r="2006" spans="1:8" s="10" customFormat="1" x14ac:dyDescent="0.25">
      <c r="A2006" s="18"/>
      <c r="C2006" s="17"/>
      <c r="D2006" s="19"/>
      <c r="E2006" s="17"/>
      <c r="F2006" s="18"/>
      <c r="G2006" s="17"/>
      <c r="H2006" s="17"/>
    </row>
    <row r="2007" spans="1:8" s="10" customFormat="1" x14ac:dyDescent="0.25">
      <c r="A2007" s="18"/>
      <c r="C2007" s="17"/>
      <c r="D2007" s="19"/>
      <c r="E2007" s="17"/>
      <c r="F2007" s="18"/>
      <c r="G2007" s="17"/>
      <c r="H2007" s="17"/>
    </row>
    <row r="2008" spans="1:8" s="10" customFormat="1" x14ac:dyDescent="0.25">
      <c r="A2008" s="18"/>
      <c r="C2008" s="17"/>
      <c r="D2008" s="19"/>
      <c r="E2008" s="17"/>
      <c r="F2008" s="18"/>
      <c r="G2008" s="17"/>
      <c r="H2008" s="17"/>
    </row>
    <row r="2009" spans="1:8" s="10" customFormat="1" x14ac:dyDescent="0.25">
      <c r="A2009" s="18"/>
      <c r="C2009" s="17"/>
      <c r="D2009" s="19"/>
      <c r="E2009" s="17"/>
      <c r="F2009" s="18"/>
      <c r="G2009" s="17"/>
      <c r="H2009" s="17"/>
    </row>
    <row r="2010" spans="1:8" s="10" customFormat="1" x14ac:dyDescent="0.25">
      <c r="A2010" s="18"/>
      <c r="C2010" s="17"/>
      <c r="D2010" s="19"/>
      <c r="E2010" s="17"/>
      <c r="F2010" s="18"/>
      <c r="G2010" s="17"/>
      <c r="H2010" s="17"/>
    </row>
    <row r="2011" spans="1:8" s="10" customFormat="1" x14ac:dyDescent="0.25">
      <c r="A2011" s="18"/>
      <c r="C2011" s="17"/>
      <c r="D2011" s="19"/>
      <c r="E2011" s="17"/>
      <c r="F2011" s="18"/>
      <c r="G2011" s="17"/>
      <c r="H2011" s="17"/>
    </row>
    <row r="2012" spans="1:8" s="10" customFormat="1" x14ac:dyDescent="0.25">
      <c r="A2012" s="18"/>
      <c r="C2012" s="17"/>
      <c r="D2012" s="19"/>
      <c r="E2012" s="17"/>
      <c r="F2012" s="18"/>
      <c r="G2012" s="17"/>
      <c r="H2012" s="17"/>
    </row>
    <row r="2013" spans="1:8" s="10" customFormat="1" x14ac:dyDescent="0.25">
      <c r="A2013" s="18"/>
      <c r="C2013" s="17"/>
      <c r="D2013" s="19"/>
      <c r="E2013" s="17"/>
      <c r="F2013" s="18"/>
      <c r="G2013" s="17"/>
      <c r="H2013" s="17"/>
    </row>
    <row r="2014" spans="1:8" s="10" customFormat="1" x14ac:dyDescent="0.25">
      <c r="A2014" s="18"/>
      <c r="C2014" s="17"/>
      <c r="D2014" s="19"/>
      <c r="E2014" s="17"/>
      <c r="F2014" s="18"/>
      <c r="G2014" s="17"/>
      <c r="H2014" s="17"/>
    </row>
    <row r="2015" spans="1:8" s="10" customFormat="1" x14ac:dyDescent="0.25">
      <c r="A2015" s="18"/>
      <c r="C2015" s="17"/>
      <c r="D2015" s="19"/>
      <c r="E2015" s="17"/>
      <c r="F2015" s="18"/>
      <c r="G2015" s="17"/>
      <c r="H2015" s="17"/>
    </row>
    <row r="2016" spans="1:8" s="10" customFormat="1" x14ac:dyDescent="0.25">
      <c r="A2016" s="18"/>
      <c r="C2016" s="17"/>
      <c r="D2016" s="19"/>
      <c r="E2016" s="17"/>
      <c r="F2016" s="18"/>
      <c r="G2016" s="17"/>
      <c r="H2016" s="17"/>
    </row>
    <row r="2017" spans="1:8" s="10" customFormat="1" x14ac:dyDescent="0.25">
      <c r="A2017" s="18"/>
      <c r="C2017" s="17"/>
      <c r="D2017" s="19"/>
      <c r="E2017" s="17"/>
      <c r="F2017" s="18"/>
      <c r="G2017" s="17"/>
      <c r="H2017" s="17"/>
    </row>
    <row r="2018" spans="1:8" s="10" customFormat="1" x14ac:dyDescent="0.25">
      <c r="A2018" s="18"/>
      <c r="C2018" s="17"/>
      <c r="D2018" s="19"/>
      <c r="E2018" s="17"/>
      <c r="F2018" s="18"/>
      <c r="G2018" s="17"/>
      <c r="H2018" s="17"/>
    </row>
    <row r="2019" spans="1:8" s="10" customFormat="1" x14ac:dyDescent="0.25">
      <c r="A2019" s="18"/>
      <c r="C2019" s="17"/>
      <c r="D2019" s="19"/>
      <c r="E2019" s="17"/>
      <c r="F2019" s="18"/>
      <c r="G2019" s="17"/>
      <c r="H2019" s="17"/>
    </row>
    <row r="2020" spans="1:8" s="10" customFormat="1" x14ac:dyDescent="0.25">
      <c r="A2020" s="18"/>
      <c r="C2020" s="17"/>
      <c r="D2020" s="19"/>
      <c r="E2020" s="17"/>
      <c r="F2020" s="18"/>
      <c r="G2020" s="17"/>
      <c r="H2020" s="17"/>
    </row>
    <row r="2021" spans="1:8" s="10" customFormat="1" x14ac:dyDescent="0.25">
      <c r="A2021" s="18"/>
      <c r="C2021" s="17"/>
      <c r="D2021" s="19"/>
      <c r="E2021" s="17"/>
      <c r="F2021" s="18"/>
      <c r="G2021" s="17"/>
      <c r="H2021" s="17"/>
    </row>
    <row r="2022" spans="1:8" s="10" customFormat="1" x14ac:dyDescent="0.25">
      <c r="A2022" s="18"/>
      <c r="C2022" s="17"/>
      <c r="D2022" s="19"/>
      <c r="E2022" s="17"/>
      <c r="F2022" s="18"/>
      <c r="G2022" s="17"/>
      <c r="H2022" s="17"/>
    </row>
    <row r="2023" spans="1:8" s="10" customFormat="1" x14ac:dyDescent="0.25">
      <c r="A2023" s="18"/>
      <c r="C2023" s="17"/>
      <c r="D2023" s="19"/>
      <c r="E2023" s="17"/>
      <c r="F2023" s="18"/>
      <c r="G2023" s="17"/>
      <c r="H2023" s="17"/>
    </row>
    <row r="2024" spans="1:8" s="10" customFormat="1" x14ac:dyDescent="0.25">
      <c r="A2024" s="18"/>
      <c r="C2024" s="17"/>
      <c r="D2024" s="19"/>
      <c r="E2024" s="17"/>
      <c r="F2024" s="18"/>
      <c r="G2024" s="17"/>
      <c r="H2024" s="17"/>
    </row>
    <row r="2025" spans="1:8" s="10" customFormat="1" x14ac:dyDescent="0.25">
      <c r="A2025" s="18"/>
      <c r="C2025" s="17"/>
      <c r="D2025" s="19"/>
      <c r="E2025" s="17"/>
      <c r="F2025" s="18"/>
      <c r="G2025" s="17"/>
      <c r="H2025" s="17"/>
    </row>
    <row r="2026" spans="1:8" s="10" customFormat="1" x14ac:dyDescent="0.25">
      <c r="A2026" s="18"/>
      <c r="C2026" s="17"/>
      <c r="D2026" s="19"/>
      <c r="E2026" s="17"/>
      <c r="F2026" s="18"/>
      <c r="G2026" s="17"/>
      <c r="H2026" s="17"/>
    </row>
    <row r="2027" spans="1:8" s="10" customFormat="1" x14ac:dyDescent="0.25">
      <c r="A2027" s="18"/>
      <c r="C2027" s="17"/>
      <c r="D2027" s="19"/>
      <c r="E2027" s="17"/>
      <c r="F2027" s="18"/>
      <c r="G2027" s="17"/>
      <c r="H2027" s="17"/>
    </row>
    <row r="2028" spans="1:8" s="10" customFormat="1" x14ac:dyDescent="0.25">
      <c r="A2028" s="18"/>
      <c r="C2028" s="17"/>
      <c r="D2028" s="19"/>
      <c r="E2028" s="17"/>
      <c r="F2028" s="18"/>
      <c r="G2028" s="17"/>
      <c r="H2028" s="17"/>
    </row>
    <row r="2029" spans="1:8" s="10" customFormat="1" x14ac:dyDescent="0.25">
      <c r="A2029" s="18"/>
      <c r="C2029" s="17"/>
      <c r="D2029" s="19"/>
      <c r="E2029" s="17"/>
      <c r="F2029" s="18"/>
      <c r="G2029" s="17"/>
      <c r="H2029" s="17"/>
    </row>
    <row r="2030" spans="1:8" s="10" customFormat="1" x14ac:dyDescent="0.25">
      <c r="A2030" s="18"/>
      <c r="C2030" s="17"/>
      <c r="D2030" s="19"/>
      <c r="E2030" s="17"/>
      <c r="F2030" s="18"/>
      <c r="G2030" s="17"/>
      <c r="H2030" s="17"/>
    </row>
    <row r="2031" spans="1:8" s="10" customFormat="1" x14ac:dyDescent="0.25">
      <c r="A2031" s="18"/>
      <c r="C2031" s="17"/>
      <c r="D2031" s="19"/>
      <c r="E2031" s="17"/>
      <c r="F2031" s="18"/>
      <c r="G2031" s="17"/>
      <c r="H2031" s="17"/>
    </row>
    <row r="2032" spans="1:8" s="10" customFormat="1" x14ac:dyDescent="0.25">
      <c r="A2032" s="18"/>
      <c r="C2032" s="17"/>
      <c r="D2032" s="19"/>
      <c r="E2032" s="17"/>
      <c r="F2032" s="18"/>
      <c r="G2032" s="17"/>
      <c r="H2032" s="17"/>
    </row>
    <row r="2033" spans="1:8" s="10" customFormat="1" x14ac:dyDescent="0.25">
      <c r="A2033" s="18"/>
      <c r="C2033" s="17"/>
      <c r="D2033" s="19"/>
      <c r="E2033" s="17"/>
      <c r="F2033" s="18"/>
      <c r="G2033" s="17"/>
      <c r="H2033" s="17"/>
    </row>
    <row r="2034" spans="1:8" s="10" customFormat="1" x14ac:dyDescent="0.25">
      <c r="A2034" s="18"/>
      <c r="C2034" s="17"/>
      <c r="D2034" s="19"/>
      <c r="E2034" s="17"/>
      <c r="F2034" s="18"/>
      <c r="G2034" s="17"/>
      <c r="H2034" s="17"/>
    </row>
    <row r="2035" spans="1:8" s="10" customFormat="1" x14ac:dyDescent="0.25">
      <c r="A2035" s="18"/>
      <c r="C2035" s="17"/>
      <c r="D2035" s="19"/>
      <c r="E2035" s="17"/>
      <c r="F2035" s="18"/>
      <c r="G2035" s="17"/>
      <c r="H2035" s="17"/>
    </row>
    <row r="2036" spans="1:8" s="10" customFormat="1" x14ac:dyDescent="0.25">
      <c r="A2036" s="18"/>
      <c r="C2036" s="17"/>
      <c r="D2036" s="19"/>
      <c r="E2036" s="17"/>
      <c r="F2036" s="18"/>
      <c r="G2036" s="17"/>
      <c r="H2036" s="17"/>
    </row>
    <row r="2037" spans="1:8" s="10" customFormat="1" x14ac:dyDescent="0.25">
      <c r="A2037" s="18"/>
      <c r="C2037" s="17"/>
      <c r="D2037" s="19"/>
      <c r="E2037" s="17"/>
      <c r="F2037" s="18"/>
      <c r="G2037" s="17"/>
      <c r="H2037" s="17"/>
    </row>
    <row r="2038" spans="1:8" s="10" customFormat="1" x14ac:dyDescent="0.25">
      <c r="A2038" s="18"/>
      <c r="C2038" s="17"/>
      <c r="D2038" s="19"/>
      <c r="E2038" s="17"/>
      <c r="F2038" s="18"/>
      <c r="G2038" s="17"/>
      <c r="H2038" s="17"/>
    </row>
    <row r="2039" spans="1:8" s="10" customFormat="1" x14ac:dyDescent="0.25">
      <c r="A2039" s="18"/>
      <c r="C2039" s="17"/>
      <c r="D2039" s="19"/>
      <c r="E2039" s="17"/>
      <c r="F2039" s="18"/>
      <c r="G2039" s="17"/>
      <c r="H2039" s="17"/>
    </row>
    <row r="2040" spans="1:8" s="10" customFormat="1" x14ac:dyDescent="0.25">
      <c r="A2040" s="18"/>
      <c r="C2040" s="17"/>
      <c r="D2040" s="19"/>
      <c r="E2040" s="17"/>
      <c r="F2040" s="18"/>
      <c r="G2040" s="17"/>
      <c r="H2040" s="17"/>
    </row>
    <row r="2041" spans="1:8" s="10" customFormat="1" x14ac:dyDescent="0.25">
      <c r="A2041" s="18"/>
      <c r="C2041" s="17"/>
      <c r="D2041" s="19"/>
      <c r="E2041" s="17"/>
      <c r="F2041" s="18"/>
      <c r="G2041" s="17"/>
      <c r="H2041" s="17"/>
    </row>
    <row r="2042" spans="1:8" s="10" customFormat="1" x14ac:dyDescent="0.25">
      <c r="A2042" s="18"/>
      <c r="C2042" s="17"/>
      <c r="D2042" s="19"/>
      <c r="E2042" s="17"/>
      <c r="F2042" s="18"/>
      <c r="G2042" s="17"/>
      <c r="H2042" s="17"/>
    </row>
    <row r="2043" spans="1:8" s="10" customFormat="1" x14ac:dyDescent="0.25">
      <c r="A2043" s="18"/>
      <c r="C2043" s="17"/>
      <c r="D2043" s="19"/>
      <c r="E2043" s="17"/>
      <c r="F2043" s="18"/>
      <c r="G2043" s="17"/>
      <c r="H2043" s="17"/>
    </row>
    <row r="2044" spans="1:8" s="10" customFormat="1" x14ac:dyDescent="0.25">
      <c r="A2044" s="18"/>
      <c r="C2044" s="17"/>
      <c r="D2044" s="19"/>
      <c r="E2044" s="17"/>
      <c r="F2044" s="18"/>
      <c r="G2044" s="17"/>
      <c r="H2044" s="17"/>
    </row>
    <row r="2045" spans="1:8" s="10" customFormat="1" x14ac:dyDescent="0.25">
      <c r="A2045" s="18"/>
      <c r="C2045" s="17"/>
      <c r="D2045" s="19"/>
      <c r="E2045" s="17"/>
      <c r="F2045" s="18"/>
      <c r="G2045" s="17"/>
      <c r="H2045" s="17"/>
    </row>
    <row r="2046" spans="1:8" s="10" customFormat="1" x14ac:dyDescent="0.25">
      <c r="A2046" s="18"/>
      <c r="C2046" s="17"/>
      <c r="D2046" s="19"/>
      <c r="E2046" s="17"/>
      <c r="F2046" s="18"/>
      <c r="G2046" s="17"/>
      <c r="H2046" s="17"/>
    </row>
    <row r="2047" spans="1:8" s="10" customFormat="1" x14ac:dyDescent="0.25">
      <c r="A2047" s="18"/>
      <c r="C2047" s="17"/>
      <c r="D2047" s="19"/>
      <c r="E2047" s="17"/>
      <c r="F2047" s="18"/>
      <c r="G2047" s="17"/>
      <c r="H2047" s="17"/>
    </row>
    <row r="2048" spans="1:8" s="10" customFormat="1" x14ac:dyDescent="0.25">
      <c r="A2048" s="18"/>
      <c r="C2048" s="17"/>
      <c r="D2048" s="19"/>
      <c r="E2048" s="17"/>
      <c r="F2048" s="18"/>
      <c r="G2048" s="17"/>
      <c r="H2048" s="17"/>
    </row>
    <row r="2049" spans="1:8" s="10" customFormat="1" x14ac:dyDescent="0.25">
      <c r="A2049" s="18"/>
      <c r="C2049" s="17"/>
      <c r="D2049" s="19"/>
      <c r="E2049" s="17"/>
      <c r="F2049" s="18"/>
      <c r="G2049" s="17"/>
      <c r="H2049" s="17"/>
    </row>
    <row r="2050" spans="1:8" s="10" customFormat="1" x14ac:dyDescent="0.25">
      <c r="A2050" s="18"/>
      <c r="C2050" s="17"/>
      <c r="D2050" s="19"/>
      <c r="E2050" s="17"/>
      <c r="F2050" s="18"/>
      <c r="G2050" s="17"/>
      <c r="H2050" s="17"/>
    </row>
    <row r="2051" spans="1:8" s="10" customFormat="1" x14ac:dyDescent="0.25">
      <c r="A2051" s="18"/>
      <c r="C2051" s="17"/>
      <c r="D2051" s="19"/>
      <c r="E2051" s="17"/>
      <c r="F2051" s="18"/>
      <c r="G2051" s="17"/>
      <c r="H2051" s="17"/>
    </row>
    <row r="2052" spans="1:8" s="10" customFormat="1" x14ac:dyDescent="0.25">
      <c r="A2052" s="18"/>
      <c r="C2052" s="17"/>
      <c r="D2052" s="19"/>
      <c r="E2052" s="17"/>
      <c r="F2052" s="18"/>
      <c r="G2052" s="17"/>
      <c r="H2052" s="17"/>
    </row>
    <row r="2053" spans="1:8" s="10" customFormat="1" x14ac:dyDescent="0.25">
      <c r="A2053" s="18"/>
      <c r="C2053" s="17"/>
      <c r="D2053" s="19"/>
      <c r="E2053" s="17"/>
      <c r="F2053" s="18"/>
      <c r="G2053" s="17"/>
      <c r="H2053" s="17"/>
    </row>
    <row r="2054" spans="1:8" s="10" customFormat="1" x14ac:dyDescent="0.25">
      <c r="A2054" s="18"/>
      <c r="C2054" s="17"/>
      <c r="D2054" s="19"/>
      <c r="E2054" s="17"/>
      <c r="F2054" s="18"/>
      <c r="G2054" s="17"/>
      <c r="H2054" s="17"/>
    </row>
    <row r="2055" spans="1:8" s="10" customFormat="1" x14ac:dyDescent="0.25">
      <c r="A2055" s="18"/>
      <c r="C2055" s="17"/>
      <c r="D2055" s="19"/>
      <c r="E2055" s="17"/>
      <c r="F2055" s="18"/>
      <c r="G2055" s="17"/>
      <c r="H2055" s="17"/>
    </row>
    <row r="2056" spans="1:8" s="10" customFormat="1" x14ac:dyDescent="0.25">
      <c r="A2056" s="18"/>
      <c r="C2056" s="17"/>
      <c r="D2056" s="19"/>
      <c r="E2056" s="17"/>
      <c r="F2056" s="18"/>
      <c r="G2056" s="17"/>
      <c r="H2056" s="17"/>
    </row>
    <row r="2057" spans="1:8" s="10" customFormat="1" x14ac:dyDescent="0.25">
      <c r="A2057" s="18"/>
      <c r="C2057" s="17"/>
      <c r="D2057" s="19"/>
      <c r="E2057" s="17"/>
      <c r="F2057" s="18"/>
      <c r="G2057" s="17"/>
      <c r="H2057" s="17"/>
    </row>
    <row r="2058" spans="1:8" s="10" customFormat="1" x14ac:dyDescent="0.25">
      <c r="A2058" s="18"/>
      <c r="C2058" s="17"/>
      <c r="D2058" s="19"/>
      <c r="E2058" s="17"/>
      <c r="F2058" s="18"/>
      <c r="G2058" s="17"/>
      <c r="H2058" s="17"/>
    </row>
    <row r="2059" spans="1:8" s="10" customFormat="1" x14ac:dyDescent="0.25">
      <c r="A2059" s="18"/>
      <c r="C2059" s="17"/>
      <c r="D2059" s="19"/>
      <c r="E2059" s="17"/>
      <c r="F2059" s="18"/>
      <c r="G2059" s="17"/>
      <c r="H2059" s="17"/>
    </row>
    <row r="2060" spans="1:8" s="10" customFormat="1" x14ac:dyDescent="0.25">
      <c r="A2060" s="18"/>
      <c r="C2060" s="17"/>
      <c r="D2060" s="19"/>
      <c r="E2060" s="17"/>
      <c r="F2060" s="18"/>
      <c r="G2060" s="17"/>
      <c r="H2060" s="17"/>
    </row>
    <row r="2061" spans="1:8" s="10" customFormat="1" x14ac:dyDescent="0.25">
      <c r="A2061" s="18"/>
      <c r="C2061" s="17"/>
      <c r="D2061" s="19"/>
      <c r="E2061" s="17"/>
      <c r="F2061" s="18"/>
      <c r="G2061" s="17"/>
      <c r="H2061" s="17"/>
    </row>
    <row r="2062" spans="1:8" s="10" customFormat="1" x14ac:dyDescent="0.25">
      <c r="A2062" s="18"/>
      <c r="C2062" s="17"/>
      <c r="D2062" s="19"/>
      <c r="E2062" s="17"/>
      <c r="F2062" s="18"/>
      <c r="G2062" s="17"/>
      <c r="H2062" s="17"/>
    </row>
    <row r="2063" spans="1:8" s="10" customFormat="1" x14ac:dyDescent="0.25">
      <c r="A2063" s="18"/>
      <c r="C2063" s="17"/>
      <c r="D2063" s="19"/>
      <c r="E2063" s="17"/>
      <c r="F2063" s="18"/>
      <c r="G2063" s="17"/>
      <c r="H2063" s="17"/>
    </row>
    <row r="2064" spans="1:8" s="10" customFormat="1" x14ac:dyDescent="0.25">
      <c r="A2064" s="18"/>
      <c r="C2064" s="17"/>
      <c r="D2064" s="19"/>
      <c r="E2064" s="17"/>
      <c r="F2064" s="18"/>
      <c r="G2064" s="17"/>
      <c r="H2064" s="17"/>
    </row>
    <row r="2065" spans="1:8" s="10" customFormat="1" x14ac:dyDescent="0.25">
      <c r="A2065" s="18"/>
      <c r="C2065" s="17"/>
      <c r="D2065" s="19"/>
      <c r="E2065" s="17"/>
      <c r="F2065" s="18"/>
      <c r="G2065" s="17"/>
      <c r="H2065" s="17"/>
    </row>
    <row r="2066" spans="1:8" s="10" customFormat="1" x14ac:dyDescent="0.25">
      <c r="A2066" s="18"/>
      <c r="C2066" s="17"/>
      <c r="D2066" s="19"/>
      <c r="E2066" s="17"/>
      <c r="F2066" s="18"/>
      <c r="G2066" s="17"/>
      <c r="H2066" s="17"/>
    </row>
    <row r="2067" spans="1:8" s="10" customFormat="1" x14ac:dyDescent="0.25">
      <c r="A2067" s="18"/>
      <c r="C2067" s="17"/>
      <c r="D2067" s="19"/>
      <c r="E2067" s="17"/>
      <c r="F2067" s="18"/>
      <c r="G2067" s="17"/>
      <c r="H2067" s="17"/>
    </row>
    <row r="2068" spans="1:8" s="10" customFormat="1" x14ac:dyDescent="0.25">
      <c r="A2068" s="18"/>
      <c r="C2068" s="17"/>
      <c r="D2068" s="19"/>
      <c r="E2068" s="17"/>
      <c r="F2068" s="18"/>
      <c r="G2068" s="17"/>
      <c r="H2068" s="17"/>
    </row>
    <row r="2069" spans="1:8" s="10" customFormat="1" x14ac:dyDescent="0.25">
      <c r="A2069" s="18"/>
      <c r="C2069" s="17"/>
      <c r="D2069" s="19"/>
      <c r="E2069" s="17"/>
      <c r="F2069" s="18"/>
      <c r="G2069" s="17"/>
      <c r="H2069" s="17"/>
    </row>
    <row r="2070" spans="1:8" s="10" customFormat="1" x14ac:dyDescent="0.25">
      <c r="A2070" s="18"/>
      <c r="C2070" s="17"/>
      <c r="D2070" s="19"/>
      <c r="E2070" s="17"/>
      <c r="F2070" s="18"/>
      <c r="G2070" s="17"/>
      <c r="H2070" s="17"/>
    </row>
    <row r="2071" spans="1:8" s="10" customFormat="1" x14ac:dyDescent="0.25">
      <c r="A2071" s="18"/>
      <c r="C2071" s="17"/>
      <c r="D2071" s="19"/>
      <c r="E2071" s="17"/>
      <c r="F2071" s="18"/>
      <c r="G2071" s="17"/>
      <c r="H2071" s="17"/>
    </row>
    <row r="2072" spans="1:8" s="10" customFormat="1" x14ac:dyDescent="0.25">
      <c r="A2072" s="18"/>
      <c r="C2072" s="17"/>
      <c r="D2072" s="19"/>
      <c r="E2072" s="17"/>
      <c r="F2072" s="18"/>
      <c r="G2072" s="17"/>
      <c r="H2072" s="17"/>
    </row>
    <row r="2073" spans="1:8" s="10" customFormat="1" x14ac:dyDescent="0.25">
      <c r="A2073" s="18"/>
      <c r="C2073" s="17"/>
      <c r="D2073" s="19"/>
      <c r="E2073" s="17"/>
      <c r="F2073" s="18"/>
      <c r="G2073" s="17"/>
      <c r="H2073" s="17"/>
    </row>
    <row r="2074" spans="1:8" s="10" customFormat="1" x14ac:dyDescent="0.25">
      <c r="A2074" s="18"/>
      <c r="C2074" s="17"/>
      <c r="D2074" s="19"/>
      <c r="E2074" s="17"/>
      <c r="F2074" s="18"/>
      <c r="G2074" s="17"/>
      <c r="H2074" s="17"/>
    </row>
    <row r="2075" spans="1:8" s="10" customFormat="1" x14ac:dyDescent="0.25">
      <c r="A2075" s="18"/>
      <c r="C2075" s="17"/>
      <c r="D2075" s="19"/>
      <c r="E2075" s="17"/>
      <c r="F2075" s="18"/>
      <c r="G2075" s="17"/>
      <c r="H2075" s="17"/>
    </row>
    <row r="2076" spans="1:8" s="10" customFormat="1" x14ac:dyDescent="0.25">
      <c r="A2076" s="18"/>
      <c r="C2076" s="17"/>
      <c r="D2076" s="19"/>
      <c r="E2076" s="17"/>
      <c r="F2076" s="18"/>
      <c r="G2076" s="17"/>
      <c r="H2076" s="17"/>
    </row>
    <row r="2077" spans="1:8" s="10" customFormat="1" x14ac:dyDescent="0.25">
      <c r="A2077" s="18"/>
      <c r="C2077" s="17"/>
      <c r="D2077" s="19"/>
      <c r="E2077" s="17"/>
      <c r="F2077" s="18"/>
      <c r="G2077" s="17"/>
      <c r="H2077" s="17"/>
    </row>
    <row r="2078" spans="1:8" s="10" customFormat="1" x14ac:dyDescent="0.25">
      <c r="A2078" s="18"/>
      <c r="C2078" s="17"/>
      <c r="D2078" s="19"/>
      <c r="E2078" s="17"/>
      <c r="F2078" s="18"/>
      <c r="G2078" s="17"/>
      <c r="H2078" s="17"/>
    </row>
    <row r="2079" spans="1:8" s="10" customFormat="1" x14ac:dyDescent="0.25">
      <c r="A2079" s="18"/>
      <c r="C2079" s="17"/>
      <c r="D2079" s="19"/>
      <c r="E2079" s="17"/>
      <c r="F2079" s="18"/>
      <c r="G2079" s="17"/>
      <c r="H2079" s="17"/>
    </row>
    <row r="2080" spans="1:8" s="10" customFormat="1" x14ac:dyDescent="0.25">
      <c r="A2080" s="18"/>
      <c r="C2080" s="17"/>
      <c r="D2080" s="19"/>
      <c r="E2080" s="17"/>
      <c r="F2080" s="18"/>
      <c r="G2080" s="17"/>
      <c r="H2080" s="17"/>
    </row>
    <row r="2081" spans="1:8" s="10" customFormat="1" x14ac:dyDescent="0.25">
      <c r="A2081" s="18"/>
      <c r="C2081" s="17"/>
      <c r="D2081" s="19"/>
      <c r="E2081" s="17"/>
      <c r="F2081" s="18"/>
      <c r="G2081" s="17"/>
      <c r="H2081" s="17"/>
    </row>
    <row r="2082" spans="1:8" s="10" customFormat="1" x14ac:dyDescent="0.25">
      <c r="A2082" s="18"/>
      <c r="C2082" s="17"/>
      <c r="D2082" s="19"/>
      <c r="E2082" s="17"/>
      <c r="F2082" s="18"/>
      <c r="G2082" s="17"/>
      <c r="H2082" s="17"/>
    </row>
    <row r="2083" spans="1:8" s="10" customFormat="1" x14ac:dyDescent="0.25">
      <c r="A2083" s="18"/>
      <c r="C2083" s="17"/>
      <c r="D2083" s="19"/>
      <c r="E2083" s="17"/>
      <c r="F2083" s="18"/>
      <c r="G2083" s="17"/>
      <c r="H2083" s="17"/>
    </row>
    <row r="2084" spans="1:8" s="10" customFormat="1" x14ac:dyDescent="0.25">
      <c r="A2084" s="18"/>
      <c r="C2084" s="17"/>
      <c r="D2084" s="19"/>
      <c r="E2084" s="17"/>
      <c r="F2084" s="18"/>
      <c r="G2084" s="17"/>
      <c r="H2084" s="17"/>
    </row>
    <row r="2085" spans="1:8" s="10" customFormat="1" x14ac:dyDescent="0.25">
      <c r="A2085" s="18"/>
      <c r="C2085" s="17"/>
      <c r="D2085" s="19"/>
      <c r="E2085" s="17"/>
      <c r="F2085" s="18"/>
      <c r="G2085" s="17"/>
      <c r="H2085" s="17"/>
    </row>
    <row r="2086" spans="1:8" s="10" customFormat="1" x14ac:dyDescent="0.25">
      <c r="A2086" s="18"/>
      <c r="C2086" s="17"/>
      <c r="D2086" s="19"/>
      <c r="E2086" s="17"/>
      <c r="F2086" s="18"/>
      <c r="G2086" s="17"/>
      <c r="H2086" s="17"/>
    </row>
    <row r="2087" spans="1:8" s="10" customFormat="1" x14ac:dyDescent="0.25">
      <c r="A2087" s="18"/>
      <c r="C2087" s="17"/>
      <c r="D2087" s="19"/>
      <c r="E2087" s="17"/>
      <c r="F2087" s="18"/>
      <c r="G2087" s="17"/>
      <c r="H2087" s="17"/>
    </row>
    <row r="2088" spans="1:8" s="10" customFormat="1" x14ac:dyDescent="0.25">
      <c r="A2088" s="18"/>
      <c r="C2088" s="17"/>
      <c r="D2088" s="19"/>
      <c r="E2088" s="17"/>
      <c r="F2088" s="18"/>
      <c r="G2088" s="17"/>
      <c r="H2088" s="17"/>
    </row>
    <row r="2089" spans="1:8" s="10" customFormat="1" x14ac:dyDescent="0.25">
      <c r="A2089" s="18"/>
      <c r="C2089" s="17"/>
      <c r="D2089" s="19"/>
      <c r="E2089" s="17"/>
      <c r="F2089" s="18"/>
      <c r="G2089" s="17"/>
      <c r="H2089" s="17"/>
    </row>
    <row r="2090" spans="1:8" s="10" customFormat="1" x14ac:dyDescent="0.25">
      <c r="A2090" s="18"/>
      <c r="C2090" s="17"/>
      <c r="D2090" s="19"/>
      <c r="E2090" s="17"/>
      <c r="F2090" s="18"/>
      <c r="G2090" s="17"/>
      <c r="H2090" s="17"/>
    </row>
    <row r="2091" spans="1:8" s="10" customFormat="1" x14ac:dyDescent="0.25">
      <c r="A2091" s="18"/>
      <c r="C2091" s="17"/>
      <c r="D2091" s="19"/>
      <c r="E2091" s="17"/>
      <c r="F2091" s="18"/>
      <c r="G2091" s="17"/>
      <c r="H2091" s="17"/>
    </row>
    <row r="2092" spans="1:8" s="10" customFormat="1" x14ac:dyDescent="0.25">
      <c r="A2092" s="18"/>
      <c r="C2092" s="17"/>
      <c r="D2092" s="19"/>
      <c r="E2092" s="17"/>
      <c r="F2092" s="18"/>
      <c r="G2092" s="17"/>
      <c r="H2092" s="17"/>
    </row>
    <row r="2093" spans="1:8" s="10" customFormat="1" x14ac:dyDescent="0.25">
      <c r="A2093" s="18"/>
      <c r="C2093" s="17"/>
      <c r="D2093" s="19"/>
      <c r="E2093" s="17"/>
      <c r="F2093" s="18"/>
      <c r="G2093" s="17"/>
      <c r="H2093" s="17"/>
    </row>
    <row r="2094" spans="1:8" s="10" customFormat="1" x14ac:dyDescent="0.25">
      <c r="A2094" s="18"/>
      <c r="C2094" s="17"/>
      <c r="D2094" s="19"/>
      <c r="E2094" s="17"/>
      <c r="F2094" s="18"/>
      <c r="G2094" s="17"/>
      <c r="H2094" s="17"/>
    </row>
    <row r="2095" spans="1:8" s="10" customFormat="1" x14ac:dyDescent="0.25">
      <c r="A2095" s="18"/>
      <c r="C2095" s="17"/>
      <c r="D2095" s="19"/>
      <c r="E2095" s="17"/>
      <c r="F2095" s="18"/>
      <c r="G2095" s="17"/>
      <c r="H2095" s="17"/>
    </row>
    <row r="2096" spans="1:8" s="10" customFormat="1" x14ac:dyDescent="0.25">
      <c r="A2096" s="18"/>
      <c r="C2096" s="17"/>
      <c r="D2096" s="19"/>
      <c r="E2096" s="17"/>
      <c r="F2096" s="18"/>
      <c r="G2096" s="17"/>
      <c r="H2096" s="17"/>
    </row>
    <row r="2097" spans="1:8" s="10" customFormat="1" x14ac:dyDescent="0.25">
      <c r="A2097" s="18"/>
      <c r="C2097" s="17"/>
      <c r="D2097" s="19"/>
      <c r="E2097" s="17"/>
      <c r="F2097" s="18"/>
      <c r="G2097" s="17"/>
      <c r="H2097" s="17"/>
    </row>
    <row r="2098" spans="1:8" s="10" customFormat="1" x14ac:dyDescent="0.25">
      <c r="A2098" s="18"/>
      <c r="C2098" s="17"/>
      <c r="D2098" s="19"/>
      <c r="E2098" s="17"/>
      <c r="F2098" s="18"/>
      <c r="G2098" s="17"/>
      <c r="H2098" s="17"/>
    </row>
    <row r="2099" spans="1:8" s="10" customFormat="1" x14ac:dyDescent="0.25">
      <c r="A2099" s="18"/>
      <c r="C2099" s="17"/>
      <c r="D2099" s="19"/>
      <c r="E2099" s="17"/>
      <c r="F2099" s="18"/>
      <c r="G2099" s="17"/>
      <c r="H2099" s="17"/>
    </row>
    <row r="2100" spans="1:8" s="10" customFormat="1" x14ac:dyDescent="0.25">
      <c r="A2100" s="18"/>
      <c r="C2100" s="17"/>
      <c r="D2100" s="19"/>
      <c r="E2100" s="17"/>
      <c r="F2100" s="18"/>
      <c r="G2100" s="17"/>
      <c r="H2100" s="17"/>
    </row>
    <row r="2101" spans="1:8" s="10" customFormat="1" x14ac:dyDescent="0.25">
      <c r="A2101" s="18"/>
      <c r="C2101" s="17"/>
      <c r="D2101" s="19"/>
      <c r="E2101" s="17"/>
      <c r="F2101" s="18"/>
      <c r="G2101" s="17"/>
      <c r="H2101" s="17"/>
    </row>
    <row r="2102" spans="1:8" s="10" customFormat="1" x14ac:dyDescent="0.25">
      <c r="A2102" s="18"/>
      <c r="C2102" s="17"/>
      <c r="D2102" s="19"/>
      <c r="E2102" s="17"/>
      <c r="F2102" s="18"/>
      <c r="G2102" s="17"/>
      <c r="H2102" s="17"/>
    </row>
    <row r="2103" spans="1:8" s="10" customFormat="1" x14ac:dyDescent="0.25">
      <c r="A2103" s="18"/>
      <c r="C2103" s="17"/>
      <c r="D2103" s="19"/>
      <c r="E2103" s="17"/>
      <c r="F2103" s="18"/>
      <c r="G2103" s="17"/>
      <c r="H2103" s="17"/>
    </row>
    <row r="2104" spans="1:8" s="10" customFormat="1" x14ac:dyDescent="0.25">
      <c r="A2104" s="18"/>
      <c r="C2104" s="17"/>
      <c r="D2104" s="19"/>
      <c r="E2104" s="17"/>
      <c r="F2104" s="18"/>
      <c r="G2104" s="17"/>
      <c r="H2104" s="17"/>
    </row>
    <row r="2105" spans="1:8" s="10" customFormat="1" x14ac:dyDescent="0.25">
      <c r="A2105" s="18"/>
      <c r="C2105" s="17"/>
      <c r="D2105" s="19"/>
      <c r="E2105" s="17"/>
      <c r="F2105" s="18"/>
      <c r="G2105" s="17"/>
      <c r="H2105" s="17"/>
    </row>
    <row r="2106" spans="1:8" s="10" customFormat="1" x14ac:dyDescent="0.25">
      <c r="A2106" s="18"/>
      <c r="C2106" s="17"/>
      <c r="D2106" s="19"/>
      <c r="E2106" s="17"/>
      <c r="F2106" s="18"/>
      <c r="G2106" s="17"/>
      <c r="H2106" s="17"/>
    </row>
    <row r="2107" spans="1:8" s="10" customFormat="1" x14ac:dyDescent="0.25">
      <c r="A2107" s="18"/>
      <c r="C2107" s="17"/>
      <c r="D2107" s="19"/>
      <c r="E2107" s="17"/>
      <c r="F2107" s="18"/>
      <c r="G2107" s="17"/>
      <c r="H2107" s="17"/>
    </row>
    <row r="2108" spans="1:8" s="10" customFormat="1" x14ac:dyDescent="0.25">
      <c r="A2108" s="18"/>
      <c r="C2108" s="17"/>
      <c r="D2108" s="19"/>
      <c r="E2108" s="17"/>
      <c r="F2108" s="18"/>
      <c r="G2108" s="17"/>
      <c r="H2108" s="17"/>
    </row>
    <row r="2109" spans="1:8" s="10" customFormat="1" x14ac:dyDescent="0.25">
      <c r="A2109" s="18"/>
      <c r="C2109" s="17"/>
      <c r="D2109" s="19"/>
      <c r="E2109" s="17"/>
      <c r="F2109" s="18"/>
      <c r="G2109" s="17"/>
      <c r="H2109" s="17"/>
    </row>
    <row r="2110" spans="1:8" s="10" customFormat="1" x14ac:dyDescent="0.25">
      <c r="A2110" s="18"/>
      <c r="C2110" s="17"/>
      <c r="D2110" s="19"/>
      <c r="E2110" s="17"/>
      <c r="F2110" s="18"/>
      <c r="G2110" s="17"/>
      <c r="H2110" s="17"/>
    </row>
    <row r="2111" spans="1:8" s="10" customFormat="1" x14ac:dyDescent="0.25">
      <c r="A2111" s="18"/>
      <c r="C2111" s="17"/>
      <c r="D2111" s="19"/>
      <c r="E2111" s="17"/>
      <c r="F2111" s="18"/>
      <c r="G2111" s="17"/>
      <c r="H2111" s="17"/>
    </row>
    <row r="2112" spans="1:8" s="10" customFormat="1" x14ac:dyDescent="0.25">
      <c r="A2112" s="18"/>
      <c r="C2112" s="17"/>
      <c r="D2112" s="19"/>
      <c r="E2112" s="17"/>
      <c r="F2112" s="18"/>
      <c r="G2112" s="17"/>
      <c r="H2112" s="17"/>
    </row>
    <row r="2113" spans="1:8" s="10" customFormat="1" x14ac:dyDescent="0.25">
      <c r="A2113" s="18"/>
      <c r="C2113" s="17"/>
      <c r="D2113" s="19"/>
      <c r="E2113" s="17"/>
      <c r="F2113" s="18"/>
      <c r="G2113" s="17"/>
      <c r="H2113" s="17"/>
    </row>
    <row r="2114" spans="1:8" s="10" customFormat="1" x14ac:dyDescent="0.25">
      <c r="A2114" s="18"/>
      <c r="C2114" s="17"/>
      <c r="D2114" s="19"/>
      <c r="E2114" s="17"/>
      <c r="F2114" s="18"/>
      <c r="G2114" s="17"/>
      <c r="H2114" s="17"/>
    </row>
    <row r="2115" spans="1:8" s="10" customFormat="1" x14ac:dyDescent="0.25">
      <c r="A2115" s="18"/>
      <c r="C2115" s="17"/>
      <c r="D2115" s="19"/>
      <c r="E2115" s="17"/>
      <c r="F2115" s="18"/>
      <c r="G2115" s="17"/>
      <c r="H2115" s="17"/>
    </row>
    <row r="2116" spans="1:8" s="10" customFormat="1" x14ac:dyDescent="0.25">
      <c r="A2116" s="18"/>
      <c r="C2116" s="17"/>
      <c r="D2116" s="19"/>
      <c r="E2116" s="17"/>
      <c r="F2116" s="18"/>
      <c r="G2116" s="17"/>
      <c r="H2116" s="17"/>
    </row>
    <row r="2117" spans="1:8" s="10" customFormat="1" x14ac:dyDescent="0.25">
      <c r="A2117" s="18"/>
      <c r="C2117" s="17"/>
      <c r="D2117" s="19"/>
      <c r="E2117" s="17"/>
      <c r="F2117" s="18"/>
      <c r="G2117" s="17"/>
      <c r="H2117" s="17"/>
    </row>
    <row r="2118" spans="1:8" s="10" customFormat="1" x14ac:dyDescent="0.25">
      <c r="A2118" s="18"/>
      <c r="C2118" s="17"/>
      <c r="D2118" s="19"/>
      <c r="E2118" s="17"/>
      <c r="F2118" s="18"/>
      <c r="G2118" s="17"/>
      <c r="H2118" s="17"/>
    </row>
    <row r="2119" spans="1:8" s="10" customFormat="1" x14ac:dyDescent="0.25">
      <c r="A2119" s="18"/>
      <c r="C2119" s="17"/>
      <c r="D2119" s="19"/>
      <c r="E2119" s="17"/>
      <c r="F2119" s="18"/>
      <c r="G2119" s="17"/>
      <c r="H2119" s="17"/>
    </row>
    <row r="2120" spans="1:8" s="10" customFormat="1" x14ac:dyDescent="0.25">
      <c r="A2120" s="18"/>
      <c r="C2120" s="17"/>
      <c r="D2120" s="19"/>
      <c r="E2120" s="17"/>
      <c r="F2120" s="18"/>
      <c r="G2120" s="17"/>
      <c r="H2120" s="17"/>
    </row>
    <row r="2121" spans="1:8" s="10" customFormat="1" x14ac:dyDescent="0.25">
      <c r="A2121" s="18"/>
      <c r="C2121" s="17"/>
      <c r="D2121" s="19"/>
      <c r="E2121" s="17"/>
      <c r="F2121" s="18"/>
      <c r="G2121" s="17"/>
      <c r="H2121" s="17"/>
    </row>
    <row r="2122" spans="1:8" s="10" customFormat="1" x14ac:dyDescent="0.25">
      <c r="A2122" s="18"/>
      <c r="C2122" s="17"/>
      <c r="D2122" s="19"/>
      <c r="E2122" s="17"/>
      <c r="F2122" s="18"/>
      <c r="G2122" s="17"/>
      <c r="H2122" s="17"/>
    </row>
    <row r="2123" spans="1:8" s="10" customFormat="1" x14ac:dyDescent="0.25">
      <c r="A2123" s="18"/>
      <c r="C2123" s="17"/>
      <c r="D2123" s="19"/>
      <c r="E2123" s="17"/>
      <c r="F2123" s="18"/>
      <c r="G2123" s="17"/>
      <c r="H2123" s="17"/>
    </row>
    <row r="2124" spans="1:8" s="10" customFormat="1" x14ac:dyDescent="0.25">
      <c r="A2124" s="18"/>
      <c r="C2124" s="17"/>
      <c r="D2124" s="19"/>
      <c r="E2124" s="17"/>
      <c r="F2124" s="18"/>
      <c r="G2124" s="17"/>
      <c r="H2124" s="17"/>
    </row>
    <row r="2125" spans="1:8" s="10" customFormat="1" x14ac:dyDescent="0.25">
      <c r="A2125" s="18"/>
      <c r="C2125" s="17"/>
      <c r="D2125" s="19"/>
      <c r="E2125" s="17"/>
      <c r="F2125" s="18"/>
      <c r="G2125" s="17"/>
      <c r="H2125" s="17"/>
    </row>
    <row r="2126" spans="1:8" s="10" customFormat="1" x14ac:dyDescent="0.25">
      <c r="A2126" s="18"/>
      <c r="C2126" s="17"/>
      <c r="D2126" s="19"/>
      <c r="E2126" s="17"/>
      <c r="F2126" s="18"/>
      <c r="G2126" s="17"/>
      <c r="H2126" s="17"/>
    </row>
    <row r="2127" spans="1:8" s="10" customFormat="1" x14ac:dyDescent="0.25">
      <c r="A2127" s="18"/>
      <c r="C2127" s="17"/>
      <c r="D2127" s="19"/>
      <c r="E2127" s="17"/>
      <c r="F2127" s="18"/>
      <c r="G2127" s="17"/>
      <c r="H2127" s="17"/>
    </row>
    <row r="2128" spans="1:8" s="10" customFormat="1" x14ac:dyDescent="0.25">
      <c r="A2128" s="18"/>
      <c r="C2128" s="17"/>
      <c r="D2128" s="19"/>
      <c r="E2128" s="17"/>
      <c r="F2128" s="18"/>
      <c r="G2128" s="17"/>
      <c r="H2128" s="17"/>
    </row>
    <row r="2129" spans="1:8" s="10" customFormat="1" x14ac:dyDescent="0.25">
      <c r="A2129" s="18"/>
      <c r="C2129" s="17"/>
      <c r="D2129" s="19"/>
      <c r="E2129" s="17"/>
      <c r="F2129" s="18"/>
      <c r="G2129" s="17"/>
      <c r="H2129" s="17"/>
    </row>
    <row r="2130" spans="1:8" s="10" customFormat="1" x14ac:dyDescent="0.25">
      <c r="A2130" s="18"/>
      <c r="C2130" s="17"/>
      <c r="D2130" s="19"/>
      <c r="E2130" s="17"/>
      <c r="F2130" s="18"/>
      <c r="G2130" s="17"/>
      <c r="H2130" s="17"/>
    </row>
    <row r="2131" spans="1:8" s="10" customFormat="1" x14ac:dyDescent="0.25">
      <c r="A2131" s="18"/>
      <c r="C2131" s="17"/>
      <c r="D2131" s="19"/>
      <c r="E2131" s="17"/>
      <c r="F2131" s="18"/>
      <c r="G2131" s="17"/>
      <c r="H2131" s="17"/>
    </row>
    <row r="2132" spans="1:8" s="10" customFormat="1" x14ac:dyDescent="0.25">
      <c r="A2132" s="18"/>
      <c r="C2132" s="17"/>
      <c r="D2132" s="19"/>
      <c r="E2132" s="17"/>
      <c r="F2132" s="18"/>
      <c r="G2132" s="17"/>
      <c r="H2132" s="17"/>
    </row>
    <row r="2133" spans="1:8" s="10" customFormat="1" x14ac:dyDescent="0.25">
      <c r="A2133" s="18"/>
      <c r="C2133" s="17"/>
      <c r="D2133" s="19"/>
      <c r="E2133" s="17"/>
      <c r="F2133" s="18"/>
      <c r="G2133" s="17"/>
      <c r="H2133" s="17"/>
    </row>
    <row r="2134" spans="1:8" s="10" customFormat="1" x14ac:dyDescent="0.25">
      <c r="A2134" s="18"/>
      <c r="C2134" s="17"/>
      <c r="D2134" s="19"/>
      <c r="E2134" s="17"/>
      <c r="F2134" s="18"/>
      <c r="G2134" s="17"/>
      <c r="H2134" s="17"/>
    </row>
    <row r="2135" spans="1:8" s="10" customFormat="1" x14ac:dyDescent="0.25">
      <c r="A2135" s="18"/>
      <c r="C2135" s="17"/>
      <c r="D2135" s="19"/>
      <c r="E2135" s="17"/>
      <c r="F2135" s="18"/>
      <c r="G2135" s="17"/>
      <c r="H2135" s="17"/>
    </row>
    <row r="2136" spans="1:8" s="10" customFormat="1" x14ac:dyDescent="0.25">
      <c r="A2136" s="18"/>
      <c r="C2136" s="17"/>
      <c r="D2136" s="19"/>
      <c r="E2136" s="17"/>
      <c r="F2136" s="18"/>
      <c r="G2136" s="17"/>
      <c r="H2136" s="17"/>
    </row>
    <row r="2137" spans="1:8" s="10" customFormat="1" x14ac:dyDescent="0.25">
      <c r="A2137" s="18"/>
      <c r="C2137" s="17"/>
      <c r="D2137" s="19"/>
      <c r="E2137" s="17"/>
      <c r="F2137" s="18"/>
      <c r="G2137" s="17"/>
      <c r="H2137" s="17"/>
    </row>
    <row r="2138" spans="1:8" s="10" customFormat="1" x14ac:dyDescent="0.25">
      <c r="A2138" s="18"/>
      <c r="C2138" s="17"/>
      <c r="D2138" s="19"/>
      <c r="E2138" s="17"/>
      <c r="F2138" s="18"/>
      <c r="G2138" s="17"/>
      <c r="H2138" s="17"/>
    </row>
    <row r="2139" spans="1:8" s="10" customFormat="1" x14ac:dyDescent="0.25">
      <c r="A2139" s="18"/>
      <c r="C2139" s="17"/>
      <c r="D2139" s="19"/>
      <c r="E2139" s="17"/>
      <c r="F2139" s="18"/>
      <c r="G2139" s="17"/>
      <c r="H2139" s="17"/>
    </row>
    <row r="2140" spans="1:8" s="10" customFormat="1" x14ac:dyDescent="0.25">
      <c r="A2140" s="18"/>
      <c r="C2140" s="17"/>
      <c r="D2140" s="19"/>
      <c r="E2140" s="17"/>
      <c r="F2140" s="18"/>
      <c r="G2140" s="17"/>
      <c r="H2140" s="17"/>
    </row>
    <row r="2141" spans="1:8" s="10" customFormat="1" x14ac:dyDescent="0.25">
      <c r="A2141" s="18"/>
      <c r="C2141" s="17"/>
      <c r="D2141" s="19"/>
      <c r="E2141" s="17"/>
      <c r="F2141" s="18"/>
      <c r="G2141" s="17"/>
      <c r="H2141" s="17"/>
    </row>
    <row r="2142" spans="1:8" s="10" customFormat="1" x14ac:dyDescent="0.25">
      <c r="A2142" s="18"/>
      <c r="C2142" s="17"/>
      <c r="D2142" s="19"/>
      <c r="E2142" s="17"/>
      <c r="F2142" s="18"/>
      <c r="G2142" s="17"/>
      <c r="H2142" s="17"/>
    </row>
    <row r="2143" spans="1:8" s="10" customFormat="1" x14ac:dyDescent="0.25">
      <c r="A2143" s="18"/>
      <c r="C2143" s="17"/>
      <c r="D2143" s="19"/>
      <c r="E2143" s="17"/>
      <c r="F2143" s="18"/>
      <c r="G2143" s="17"/>
      <c r="H2143" s="17"/>
    </row>
    <row r="2144" spans="1:8" s="10" customFormat="1" x14ac:dyDescent="0.25">
      <c r="A2144" s="18"/>
      <c r="C2144" s="17"/>
      <c r="D2144" s="19"/>
      <c r="E2144" s="17"/>
      <c r="F2144" s="18"/>
      <c r="G2144" s="17"/>
      <c r="H2144" s="17"/>
    </row>
    <row r="2145" spans="1:8" s="10" customFormat="1" x14ac:dyDescent="0.25">
      <c r="A2145" s="18"/>
      <c r="C2145" s="17"/>
      <c r="D2145" s="19"/>
      <c r="E2145" s="17"/>
      <c r="F2145" s="18"/>
      <c r="G2145" s="17"/>
      <c r="H2145" s="17"/>
    </row>
    <row r="2146" spans="1:8" s="10" customFormat="1" x14ac:dyDescent="0.25">
      <c r="A2146" s="18"/>
      <c r="C2146" s="17"/>
      <c r="D2146" s="19"/>
      <c r="E2146" s="17"/>
      <c r="F2146" s="18"/>
      <c r="G2146" s="17"/>
      <c r="H2146" s="17"/>
    </row>
    <row r="2147" spans="1:8" s="10" customFormat="1" x14ac:dyDescent="0.25">
      <c r="A2147" s="18"/>
      <c r="C2147" s="17"/>
      <c r="D2147" s="19"/>
      <c r="E2147" s="17"/>
      <c r="F2147" s="18"/>
      <c r="G2147" s="17"/>
      <c r="H2147" s="17"/>
    </row>
    <row r="2148" spans="1:8" s="10" customFormat="1" x14ac:dyDescent="0.25">
      <c r="A2148" s="18"/>
      <c r="C2148" s="17"/>
      <c r="D2148" s="19"/>
      <c r="E2148" s="17"/>
      <c r="F2148" s="18"/>
      <c r="G2148" s="17"/>
      <c r="H2148" s="17"/>
    </row>
    <row r="2149" spans="1:8" s="10" customFormat="1" x14ac:dyDescent="0.25">
      <c r="A2149" s="18"/>
      <c r="C2149" s="17"/>
      <c r="D2149" s="19"/>
      <c r="E2149" s="17"/>
      <c r="F2149" s="18"/>
      <c r="G2149" s="17"/>
      <c r="H2149" s="17"/>
    </row>
    <row r="2150" spans="1:8" s="10" customFormat="1" x14ac:dyDescent="0.25">
      <c r="A2150" s="18"/>
      <c r="C2150" s="17"/>
      <c r="D2150" s="19"/>
      <c r="E2150" s="17"/>
      <c r="F2150" s="18"/>
      <c r="G2150" s="17"/>
      <c r="H2150" s="17"/>
    </row>
    <row r="2151" spans="1:8" s="10" customFormat="1" x14ac:dyDescent="0.25">
      <c r="A2151" s="18"/>
      <c r="C2151" s="17"/>
      <c r="D2151" s="19"/>
      <c r="E2151" s="17"/>
      <c r="F2151" s="18"/>
      <c r="G2151" s="17"/>
      <c r="H2151" s="17"/>
    </row>
    <row r="2152" spans="1:8" s="10" customFormat="1" x14ac:dyDescent="0.25">
      <c r="A2152" s="18"/>
      <c r="C2152" s="17"/>
      <c r="D2152" s="19"/>
      <c r="E2152" s="17"/>
      <c r="F2152" s="18"/>
      <c r="G2152" s="17"/>
      <c r="H2152" s="17"/>
    </row>
    <row r="2153" spans="1:8" s="10" customFormat="1" x14ac:dyDescent="0.25">
      <c r="A2153" s="18"/>
      <c r="C2153" s="17"/>
      <c r="D2153" s="19"/>
      <c r="E2153" s="17"/>
      <c r="F2153" s="18"/>
      <c r="G2153" s="17"/>
      <c r="H2153" s="17"/>
    </row>
    <row r="2154" spans="1:8" s="10" customFormat="1" x14ac:dyDescent="0.25">
      <c r="A2154" s="18"/>
      <c r="C2154" s="17"/>
      <c r="D2154" s="19"/>
      <c r="E2154" s="17"/>
      <c r="F2154" s="18"/>
      <c r="G2154" s="17"/>
      <c r="H2154" s="17"/>
    </row>
    <row r="2155" spans="1:8" s="10" customFormat="1" x14ac:dyDescent="0.25">
      <c r="A2155" s="18"/>
      <c r="C2155" s="17"/>
      <c r="D2155" s="19"/>
      <c r="E2155" s="17"/>
      <c r="F2155" s="18"/>
      <c r="G2155" s="17"/>
      <c r="H2155" s="17"/>
    </row>
    <row r="2156" spans="1:8" s="10" customFormat="1" x14ac:dyDescent="0.25">
      <c r="A2156" s="18"/>
      <c r="C2156" s="17"/>
      <c r="D2156" s="19"/>
      <c r="E2156" s="17"/>
      <c r="F2156" s="18"/>
      <c r="G2156" s="17"/>
      <c r="H2156" s="17"/>
    </row>
    <row r="2157" spans="1:8" s="10" customFormat="1" x14ac:dyDescent="0.25">
      <c r="A2157" s="18"/>
      <c r="C2157" s="17"/>
      <c r="D2157" s="19"/>
      <c r="E2157" s="17"/>
      <c r="F2157" s="18"/>
      <c r="G2157" s="17"/>
      <c r="H2157" s="17"/>
    </row>
    <row r="2158" spans="1:8" s="10" customFormat="1" x14ac:dyDescent="0.25">
      <c r="A2158" s="18"/>
      <c r="C2158" s="17"/>
      <c r="D2158" s="19"/>
      <c r="E2158" s="17"/>
      <c r="F2158" s="18"/>
      <c r="G2158" s="17"/>
      <c r="H2158" s="17"/>
    </row>
    <row r="2159" spans="1:8" s="10" customFormat="1" x14ac:dyDescent="0.25">
      <c r="A2159" s="18"/>
      <c r="C2159" s="17"/>
      <c r="D2159" s="19"/>
      <c r="E2159" s="17"/>
      <c r="F2159" s="18"/>
      <c r="G2159" s="17"/>
      <c r="H2159" s="17"/>
    </row>
    <row r="2160" spans="1:8" s="10" customFormat="1" x14ac:dyDescent="0.25">
      <c r="A2160" s="18"/>
      <c r="C2160" s="17"/>
      <c r="D2160" s="19"/>
      <c r="E2160" s="17"/>
      <c r="F2160" s="18"/>
      <c r="G2160" s="17"/>
      <c r="H2160" s="17"/>
    </row>
    <row r="2161" spans="1:8" s="10" customFormat="1" x14ac:dyDescent="0.25">
      <c r="A2161" s="18"/>
      <c r="C2161" s="17"/>
      <c r="D2161" s="19"/>
      <c r="E2161" s="17"/>
      <c r="F2161" s="18"/>
      <c r="G2161" s="17"/>
      <c r="H2161" s="17"/>
    </row>
    <row r="2162" spans="1:8" s="10" customFormat="1" x14ac:dyDescent="0.25">
      <c r="A2162" s="18"/>
      <c r="C2162" s="17"/>
      <c r="D2162" s="19"/>
      <c r="E2162" s="17"/>
      <c r="F2162" s="18"/>
      <c r="G2162" s="17"/>
      <c r="H2162" s="17"/>
    </row>
    <row r="2163" spans="1:8" s="10" customFormat="1" x14ac:dyDescent="0.25">
      <c r="A2163" s="18"/>
      <c r="C2163" s="17"/>
      <c r="D2163" s="19"/>
      <c r="E2163" s="17"/>
      <c r="F2163" s="18"/>
      <c r="G2163" s="17"/>
      <c r="H2163" s="17"/>
    </row>
    <row r="2164" spans="1:8" s="10" customFormat="1" x14ac:dyDescent="0.25">
      <c r="A2164" s="18"/>
      <c r="C2164" s="17"/>
      <c r="D2164" s="19"/>
      <c r="E2164" s="17"/>
      <c r="F2164" s="18"/>
      <c r="G2164" s="17"/>
      <c r="H2164" s="17"/>
    </row>
    <row r="2165" spans="1:8" s="10" customFormat="1" x14ac:dyDescent="0.25">
      <c r="A2165" s="18"/>
      <c r="C2165" s="17"/>
      <c r="D2165" s="19"/>
      <c r="E2165" s="17"/>
      <c r="F2165" s="18"/>
      <c r="G2165" s="17"/>
      <c r="H2165" s="17"/>
    </row>
    <row r="2166" spans="1:8" s="10" customFormat="1" x14ac:dyDescent="0.25">
      <c r="A2166" s="18"/>
      <c r="C2166" s="17"/>
      <c r="D2166" s="19"/>
      <c r="E2166" s="17"/>
      <c r="F2166" s="18"/>
      <c r="G2166" s="17"/>
      <c r="H2166" s="17"/>
    </row>
    <row r="2167" spans="1:8" s="10" customFormat="1" x14ac:dyDescent="0.25">
      <c r="A2167" s="18"/>
      <c r="C2167" s="17"/>
      <c r="D2167" s="19"/>
      <c r="E2167" s="17"/>
      <c r="F2167" s="18"/>
      <c r="G2167" s="17"/>
      <c r="H2167" s="17"/>
    </row>
    <row r="2168" spans="1:8" s="10" customFormat="1" x14ac:dyDescent="0.25">
      <c r="A2168" s="18"/>
      <c r="C2168" s="17"/>
      <c r="D2168" s="19"/>
      <c r="E2168" s="17"/>
      <c r="F2168" s="18"/>
      <c r="G2168" s="17"/>
      <c r="H2168" s="17"/>
    </row>
    <row r="2169" spans="1:8" s="10" customFormat="1" x14ac:dyDescent="0.25">
      <c r="A2169" s="18"/>
      <c r="C2169" s="17"/>
      <c r="D2169" s="19"/>
      <c r="E2169" s="17"/>
      <c r="F2169" s="18"/>
      <c r="G2169" s="17"/>
      <c r="H2169" s="17"/>
    </row>
    <row r="2170" spans="1:8" s="10" customFormat="1" x14ac:dyDescent="0.25">
      <c r="A2170" s="18"/>
      <c r="C2170" s="17"/>
      <c r="D2170" s="19"/>
      <c r="E2170" s="17"/>
      <c r="F2170" s="18"/>
      <c r="G2170" s="17"/>
      <c r="H2170" s="17"/>
    </row>
    <row r="2171" spans="1:8" s="10" customFormat="1" x14ac:dyDescent="0.25">
      <c r="A2171" s="18"/>
      <c r="C2171" s="17"/>
      <c r="D2171" s="19"/>
      <c r="E2171" s="17"/>
      <c r="F2171" s="18"/>
      <c r="G2171" s="17"/>
      <c r="H2171" s="17"/>
    </row>
    <row r="2172" spans="1:8" s="10" customFormat="1" x14ac:dyDescent="0.25">
      <c r="A2172" s="18"/>
      <c r="C2172" s="17"/>
      <c r="D2172" s="19"/>
      <c r="E2172" s="17"/>
      <c r="F2172" s="18"/>
      <c r="G2172" s="17"/>
      <c r="H2172" s="17"/>
    </row>
    <row r="2173" spans="1:8" s="10" customFormat="1" x14ac:dyDescent="0.25">
      <c r="A2173" s="18"/>
      <c r="C2173" s="17"/>
      <c r="D2173" s="19"/>
      <c r="E2173" s="17"/>
      <c r="F2173" s="18"/>
      <c r="G2173" s="17"/>
      <c r="H2173" s="17"/>
    </row>
    <row r="2174" spans="1:8" s="10" customFormat="1" x14ac:dyDescent="0.25">
      <c r="A2174" s="18"/>
      <c r="C2174" s="17"/>
      <c r="D2174" s="19"/>
      <c r="E2174" s="17"/>
      <c r="F2174" s="18"/>
      <c r="G2174" s="17"/>
      <c r="H2174" s="17"/>
    </row>
    <row r="2175" spans="1:8" s="10" customFormat="1" x14ac:dyDescent="0.25">
      <c r="A2175" s="18"/>
      <c r="C2175" s="17"/>
      <c r="D2175" s="19"/>
      <c r="E2175" s="17"/>
      <c r="F2175" s="18"/>
      <c r="G2175" s="17"/>
      <c r="H2175" s="17"/>
    </row>
    <row r="2176" spans="1:8" s="10" customFormat="1" x14ac:dyDescent="0.25">
      <c r="A2176" s="18"/>
      <c r="C2176" s="17"/>
      <c r="D2176" s="19"/>
      <c r="E2176" s="17"/>
      <c r="F2176" s="18"/>
      <c r="G2176" s="17"/>
      <c r="H2176" s="17"/>
    </row>
    <row r="2177" spans="1:8" s="10" customFormat="1" x14ac:dyDescent="0.25">
      <c r="A2177" s="18"/>
      <c r="C2177" s="17"/>
      <c r="D2177" s="19"/>
      <c r="E2177" s="17"/>
      <c r="F2177" s="18"/>
      <c r="G2177" s="17"/>
      <c r="H2177" s="17"/>
    </row>
    <row r="2178" spans="1:8" s="10" customFormat="1" x14ac:dyDescent="0.25">
      <c r="A2178" s="18"/>
      <c r="C2178" s="17"/>
      <c r="D2178" s="19"/>
      <c r="E2178" s="17"/>
      <c r="F2178" s="18"/>
      <c r="G2178" s="17"/>
      <c r="H2178" s="17"/>
    </row>
    <row r="2179" spans="1:8" s="10" customFormat="1" x14ac:dyDescent="0.25">
      <c r="A2179" s="18"/>
      <c r="C2179" s="17"/>
      <c r="D2179" s="19"/>
      <c r="E2179" s="17"/>
      <c r="F2179" s="18"/>
      <c r="G2179" s="17"/>
      <c r="H2179" s="17"/>
    </row>
    <row r="2180" spans="1:8" s="10" customFormat="1" x14ac:dyDescent="0.25">
      <c r="A2180" s="18"/>
      <c r="C2180" s="17"/>
      <c r="D2180" s="19"/>
      <c r="E2180" s="17"/>
      <c r="F2180" s="18"/>
      <c r="G2180" s="17"/>
      <c r="H2180" s="17"/>
    </row>
    <row r="2181" spans="1:8" s="10" customFormat="1" x14ac:dyDescent="0.25">
      <c r="A2181" s="18"/>
      <c r="C2181" s="17"/>
      <c r="D2181" s="19"/>
      <c r="E2181" s="17"/>
      <c r="F2181" s="18"/>
      <c r="G2181" s="17"/>
      <c r="H2181" s="17"/>
    </row>
    <row r="2182" spans="1:8" s="10" customFormat="1" x14ac:dyDescent="0.25">
      <c r="A2182" s="18"/>
      <c r="C2182" s="17"/>
      <c r="D2182" s="19"/>
      <c r="E2182" s="17"/>
      <c r="F2182" s="18"/>
      <c r="G2182" s="17"/>
      <c r="H2182" s="17"/>
    </row>
    <row r="2183" spans="1:8" s="10" customFormat="1" x14ac:dyDescent="0.25">
      <c r="A2183" s="18"/>
      <c r="C2183" s="17"/>
      <c r="D2183" s="19"/>
      <c r="E2183" s="17"/>
      <c r="F2183" s="18"/>
      <c r="G2183" s="17"/>
      <c r="H2183" s="17"/>
    </row>
    <row r="2184" spans="1:8" s="10" customFormat="1" x14ac:dyDescent="0.25">
      <c r="A2184" s="18"/>
      <c r="C2184" s="17"/>
      <c r="D2184" s="19"/>
      <c r="E2184" s="17"/>
      <c r="F2184" s="18"/>
      <c r="G2184" s="17"/>
      <c r="H2184" s="17"/>
    </row>
    <row r="2185" spans="1:8" s="10" customFormat="1" x14ac:dyDescent="0.25">
      <c r="A2185" s="18"/>
      <c r="C2185" s="17"/>
      <c r="D2185" s="19"/>
      <c r="E2185" s="17"/>
      <c r="F2185" s="18"/>
      <c r="G2185" s="17"/>
      <c r="H2185" s="17"/>
    </row>
    <row r="2186" spans="1:8" s="10" customFormat="1" x14ac:dyDescent="0.25">
      <c r="A2186" s="18"/>
      <c r="C2186" s="17"/>
      <c r="D2186" s="19"/>
      <c r="E2186" s="17"/>
      <c r="F2186" s="18"/>
      <c r="G2186" s="17"/>
      <c r="H2186" s="17"/>
    </row>
    <row r="2187" spans="1:8" s="10" customFormat="1" x14ac:dyDescent="0.25">
      <c r="A2187" s="18"/>
      <c r="C2187" s="17"/>
      <c r="D2187" s="19"/>
      <c r="E2187" s="17"/>
      <c r="F2187" s="18"/>
      <c r="G2187" s="17"/>
      <c r="H2187" s="17"/>
    </row>
    <row r="2188" spans="1:8" s="10" customFormat="1" x14ac:dyDescent="0.25">
      <c r="A2188" s="18"/>
      <c r="C2188" s="17"/>
      <c r="D2188" s="19"/>
      <c r="E2188" s="17"/>
      <c r="F2188" s="18"/>
      <c r="G2188" s="17"/>
      <c r="H2188" s="17"/>
    </row>
    <row r="2189" spans="1:8" s="10" customFormat="1" x14ac:dyDescent="0.25">
      <c r="A2189" s="18"/>
      <c r="C2189" s="17"/>
      <c r="D2189" s="19"/>
      <c r="E2189" s="17"/>
      <c r="F2189" s="18"/>
      <c r="G2189" s="17"/>
      <c r="H2189" s="17"/>
    </row>
    <row r="2190" spans="1:8" s="10" customFormat="1" x14ac:dyDescent="0.25">
      <c r="A2190" s="18"/>
      <c r="C2190" s="17"/>
      <c r="D2190" s="19"/>
      <c r="E2190" s="17"/>
      <c r="F2190" s="18"/>
      <c r="G2190" s="17"/>
      <c r="H2190" s="17"/>
    </row>
    <row r="2191" spans="1:8" s="10" customFormat="1" x14ac:dyDescent="0.25">
      <c r="A2191" s="18"/>
      <c r="C2191" s="17"/>
      <c r="D2191" s="19"/>
      <c r="E2191" s="17"/>
      <c r="F2191" s="18"/>
      <c r="G2191" s="17"/>
      <c r="H2191" s="17"/>
    </row>
    <row r="2192" spans="1:8" s="10" customFormat="1" x14ac:dyDescent="0.25">
      <c r="A2192" s="18"/>
      <c r="C2192" s="17"/>
      <c r="D2192" s="19"/>
      <c r="E2192" s="17"/>
      <c r="F2192" s="18"/>
      <c r="G2192" s="17"/>
      <c r="H2192" s="17"/>
    </row>
    <row r="2193" spans="1:8" s="10" customFormat="1" x14ac:dyDescent="0.25">
      <c r="A2193" s="18"/>
      <c r="C2193" s="17"/>
      <c r="D2193" s="19"/>
      <c r="E2193" s="17"/>
      <c r="F2193" s="18"/>
      <c r="G2193" s="17"/>
      <c r="H2193" s="17"/>
    </row>
    <row r="2194" spans="1:8" s="10" customFormat="1" x14ac:dyDescent="0.25">
      <c r="A2194" s="18"/>
      <c r="C2194" s="17"/>
      <c r="D2194" s="19"/>
      <c r="E2194" s="17"/>
      <c r="F2194" s="18"/>
      <c r="G2194" s="17"/>
      <c r="H2194" s="17"/>
    </row>
    <row r="2195" spans="1:8" s="10" customFormat="1" x14ac:dyDescent="0.25">
      <c r="A2195" s="18"/>
      <c r="C2195" s="17"/>
      <c r="D2195" s="19"/>
      <c r="E2195" s="17"/>
      <c r="F2195" s="18"/>
      <c r="G2195" s="17"/>
      <c r="H2195" s="17"/>
    </row>
    <row r="2196" spans="1:8" s="10" customFormat="1" x14ac:dyDescent="0.25">
      <c r="A2196" s="18"/>
      <c r="C2196" s="17"/>
      <c r="D2196" s="19"/>
      <c r="E2196" s="17"/>
      <c r="F2196" s="18"/>
      <c r="G2196" s="17"/>
      <c r="H2196" s="17"/>
    </row>
    <row r="2197" spans="1:8" s="10" customFormat="1" x14ac:dyDescent="0.25">
      <c r="A2197" s="18"/>
      <c r="C2197" s="17"/>
      <c r="D2197" s="19"/>
      <c r="E2197" s="17"/>
      <c r="F2197" s="18"/>
      <c r="G2197" s="17"/>
      <c r="H2197" s="17"/>
    </row>
    <row r="2198" spans="1:8" s="10" customFormat="1" x14ac:dyDescent="0.25">
      <c r="A2198" s="18"/>
      <c r="C2198" s="17"/>
      <c r="D2198" s="19"/>
      <c r="E2198" s="17"/>
      <c r="F2198" s="18"/>
      <c r="G2198" s="17"/>
      <c r="H2198" s="17"/>
    </row>
    <row r="2199" spans="1:8" s="10" customFormat="1" x14ac:dyDescent="0.25">
      <c r="A2199" s="18"/>
      <c r="C2199" s="17"/>
      <c r="D2199" s="19"/>
      <c r="E2199" s="17"/>
      <c r="F2199" s="18"/>
      <c r="G2199" s="17"/>
      <c r="H2199" s="17"/>
    </row>
    <row r="2200" spans="1:8" s="10" customFormat="1" x14ac:dyDescent="0.25">
      <c r="A2200" s="18"/>
      <c r="C2200" s="17"/>
      <c r="D2200" s="19"/>
      <c r="E2200" s="17"/>
      <c r="F2200" s="18"/>
      <c r="G2200" s="17"/>
      <c r="H2200" s="17"/>
    </row>
    <row r="2201" spans="1:8" s="10" customFormat="1" x14ac:dyDescent="0.25">
      <c r="A2201" s="18"/>
      <c r="C2201" s="17"/>
      <c r="D2201" s="19"/>
      <c r="E2201" s="17"/>
      <c r="F2201" s="18"/>
      <c r="G2201" s="17"/>
      <c r="H2201" s="17"/>
    </row>
    <row r="2202" spans="1:8" s="10" customFormat="1" x14ac:dyDescent="0.25">
      <c r="A2202" s="18"/>
      <c r="C2202" s="17"/>
      <c r="D2202" s="19"/>
      <c r="E2202" s="17"/>
      <c r="F2202" s="18"/>
      <c r="G2202" s="17"/>
      <c r="H2202" s="17"/>
    </row>
    <row r="2203" spans="1:8" s="10" customFormat="1" x14ac:dyDescent="0.25">
      <c r="A2203" s="18"/>
      <c r="C2203" s="17"/>
      <c r="D2203" s="19"/>
      <c r="E2203" s="17"/>
      <c r="F2203" s="18"/>
      <c r="G2203" s="17"/>
      <c r="H2203" s="17"/>
    </row>
    <row r="2204" spans="1:8" s="10" customFormat="1" x14ac:dyDescent="0.25">
      <c r="A2204" s="18"/>
      <c r="C2204" s="17"/>
      <c r="D2204" s="19"/>
      <c r="E2204" s="17"/>
      <c r="F2204" s="18"/>
      <c r="G2204" s="17"/>
      <c r="H2204" s="17"/>
    </row>
    <row r="2205" spans="1:8" s="10" customFormat="1" x14ac:dyDescent="0.25">
      <c r="A2205" s="18"/>
      <c r="C2205" s="17"/>
      <c r="D2205" s="19"/>
      <c r="E2205" s="17"/>
      <c r="F2205" s="18"/>
      <c r="G2205" s="17"/>
      <c r="H2205" s="17"/>
    </row>
    <row r="2206" spans="1:8" s="10" customFormat="1" x14ac:dyDescent="0.25">
      <c r="A2206" s="18"/>
      <c r="C2206" s="17"/>
      <c r="D2206" s="19"/>
      <c r="E2206" s="17"/>
      <c r="F2206" s="18"/>
      <c r="G2206" s="17"/>
      <c r="H2206" s="17"/>
    </row>
    <row r="2207" spans="1:8" s="10" customFormat="1" x14ac:dyDescent="0.25">
      <c r="A2207" s="18"/>
      <c r="C2207" s="17"/>
      <c r="D2207" s="19"/>
      <c r="E2207" s="17"/>
      <c r="F2207" s="18"/>
      <c r="G2207" s="17"/>
      <c r="H2207" s="17"/>
    </row>
    <row r="2208" spans="1:8" s="10" customFormat="1" x14ac:dyDescent="0.25">
      <c r="A2208" s="18"/>
      <c r="C2208" s="17"/>
      <c r="D2208" s="19"/>
      <c r="E2208" s="17"/>
      <c r="F2208" s="18"/>
      <c r="G2208" s="17"/>
      <c r="H2208" s="17"/>
    </row>
    <row r="2209" spans="1:8" s="10" customFormat="1" x14ac:dyDescent="0.25">
      <c r="A2209" s="18"/>
      <c r="C2209" s="17"/>
      <c r="D2209" s="19"/>
      <c r="E2209" s="17"/>
      <c r="F2209" s="18"/>
      <c r="G2209" s="17"/>
      <c r="H2209" s="17"/>
    </row>
    <row r="2210" spans="1:8" s="10" customFormat="1" x14ac:dyDescent="0.25">
      <c r="A2210" s="18"/>
      <c r="C2210" s="17"/>
      <c r="D2210" s="19"/>
      <c r="E2210" s="17"/>
      <c r="F2210" s="18"/>
      <c r="G2210" s="17"/>
      <c r="H2210" s="17"/>
    </row>
    <row r="2211" spans="1:8" s="10" customFormat="1" x14ac:dyDescent="0.25">
      <c r="A2211" s="18"/>
      <c r="C2211" s="17"/>
      <c r="D2211" s="19"/>
      <c r="E2211" s="17"/>
      <c r="F2211" s="18"/>
      <c r="G2211" s="17"/>
      <c r="H2211" s="17"/>
    </row>
    <row r="2212" spans="1:8" s="10" customFormat="1" x14ac:dyDescent="0.25">
      <c r="A2212" s="18"/>
      <c r="C2212" s="17"/>
      <c r="D2212" s="19"/>
      <c r="E2212" s="17"/>
      <c r="F2212" s="18"/>
      <c r="G2212" s="17"/>
      <c r="H2212" s="17"/>
    </row>
    <row r="2213" spans="1:8" s="10" customFormat="1" x14ac:dyDescent="0.25">
      <c r="A2213" s="18"/>
      <c r="C2213" s="17"/>
      <c r="D2213" s="19"/>
      <c r="E2213" s="17"/>
      <c r="F2213" s="18"/>
      <c r="G2213" s="17"/>
      <c r="H2213" s="17"/>
    </row>
    <row r="2214" spans="1:8" s="10" customFormat="1" x14ac:dyDescent="0.25">
      <c r="A2214" s="18"/>
      <c r="C2214" s="17"/>
      <c r="D2214" s="19"/>
      <c r="E2214" s="17"/>
      <c r="F2214" s="18"/>
      <c r="G2214" s="17"/>
      <c r="H2214" s="17"/>
    </row>
    <row r="2215" spans="1:8" s="10" customFormat="1" x14ac:dyDescent="0.25">
      <c r="A2215" s="18"/>
      <c r="C2215" s="17"/>
      <c r="D2215" s="19"/>
      <c r="E2215" s="17"/>
      <c r="F2215" s="18"/>
      <c r="G2215" s="17"/>
      <c r="H2215" s="17"/>
    </row>
    <row r="2216" spans="1:8" s="10" customFormat="1" x14ac:dyDescent="0.25">
      <c r="A2216" s="18"/>
      <c r="C2216" s="17"/>
      <c r="D2216" s="19"/>
      <c r="E2216" s="17"/>
      <c r="F2216" s="18"/>
      <c r="G2216" s="17"/>
      <c r="H2216" s="17"/>
    </row>
    <row r="2217" spans="1:8" s="10" customFormat="1" x14ac:dyDescent="0.25">
      <c r="A2217" s="18"/>
      <c r="C2217" s="17"/>
      <c r="D2217" s="19"/>
      <c r="E2217" s="17"/>
      <c r="F2217" s="18"/>
      <c r="G2217" s="17"/>
      <c r="H2217" s="17"/>
    </row>
    <row r="2218" spans="1:8" s="10" customFormat="1" x14ac:dyDescent="0.25">
      <c r="A2218" s="18"/>
      <c r="C2218" s="17"/>
      <c r="D2218" s="19"/>
      <c r="E2218" s="17"/>
      <c r="F2218" s="18"/>
      <c r="G2218" s="17"/>
      <c r="H2218" s="17"/>
    </row>
    <row r="2219" spans="1:8" s="10" customFormat="1" x14ac:dyDescent="0.25">
      <c r="A2219" s="18"/>
      <c r="C2219" s="17"/>
      <c r="D2219" s="19"/>
      <c r="E2219" s="17"/>
      <c r="F2219" s="18"/>
      <c r="G2219" s="17"/>
      <c r="H2219" s="17"/>
    </row>
    <row r="2220" spans="1:8" s="10" customFormat="1" x14ac:dyDescent="0.25">
      <c r="A2220" s="18"/>
      <c r="C2220" s="17"/>
      <c r="D2220" s="19"/>
      <c r="E2220" s="17"/>
      <c r="F2220" s="18"/>
      <c r="G2220" s="17"/>
      <c r="H2220" s="17"/>
    </row>
    <row r="2221" spans="1:8" s="10" customFormat="1" x14ac:dyDescent="0.25">
      <c r="A2221" s="18"/>
      <c r="C2221" s="17"/>
      <c r="D2221" s="19"/>
      <c r="E2221" s="17"/>
      <c r="F2221" s="18"/>
      <c r="G2221" s="17"/>
      <c r="H2221" s="17"/>
    </row>
    <row r="2222" spans="1:8" s="10" customFormat="1" x14ac:dyDescent="0.25">
      <c r="A2222" s="18"/>
      <c r="C2222" s="17"/>
      <c r="D2222" s="19"/>
      <c r="E2222" s="17"/>
      <c r="F2222" s="18"/>
      <c r="G2222" s="17"/>
      <c r="H2222" s="17"/>
    </row>
    <row r="2223" spans="1:8" s="10" customFormat="1" x14ac:dyDescent="0.25">
      <c r="A2223" s="18"/>
      <c r="C2223" s="17"/>
      <c r="D2223" s="19"/>
      <c r="E2223" s="17"/>
      <c r="F2223" s="18"/>
      <c r="G2223" s="17"/>
      <c r="H2223" s="17"/>
    </row>
    <row r="2224" spans="1:8" s="10" customFormat="1" x14ac:dyDescent="0.25">
      <c r="A2224" s="18"/>
      <c r="C2224" s="17"/>
      <c r="D2224" s="19"/>
      <c r="E2224" s="17"/>
      <c r="F2224" s="18"/>
      <c r="G2224" s="17"/>
      <c r="H2224" s="17"/>
    </row>
    <row r="2225" spans="1:8" s="10" customFormat="1" x14ac:dyDescent="0.25">
      <c r="A2225" s="18"/>
      <c r="C2225" s="17"/>
      <c r="D2225" s="19"/>
      <c r="E2225" s="17"/>
      <c r="F2225" s="18"/>
      <c r="G2225" s="17"/>
      <c r="H2225" s="17"/>
    </row>
    <row r="2226" spans="1:8" s="10" customFormat="1" x14ac:dyDescent="0.25">
      <c r="A2226" s="18"/>
      <c r="C2226" s="17"/>
      <c r="D2226" s="19"/>
      <c r="E2226" s="17"/>
      <c r="F2226" s="18"/>
      <c r="G2226" s="17"/>
      <c r="H2226" s="17"/>
    </row>
    <row r="2227" spans="1:8" s="10" customFormat="1" x14ac:dyDescent="0.25">
      <c r="A2227" s="18"/>
      <c r="C2227" s="17"/>
      <c r="D2227" s="19"/>
      <c r="E2227" s="17"/>
      <c r="F2227" s="18"/>
      <c r="G2227" s="17"/>
      <c r="H2227" s="17"/>
    </row>
    <row r="2228" spans="1:8" s="10" customFormat="1" x14ac:dyDescent="0.25">
      <c r="A2228" s="18"/>
      <c r="C2228" s="17"/>
      <c r="D2228" s="19"/>
      <c r="E2228" s="17"/>
      <c r="F2228" s="18"/>
      <c r="G2228" s="17"/>
      <c r="H2228" s="17"/>
    </row>
    <row r="2229" spans="1:8" s="10" customFormat="1" x14ac:dyDescent="0.25">
      <c r="A2229" s="18"/>
      <c r="C2229" s="17"/>
      <c r="D2229" s="19"/>
      <c r="E2229" s="17"/>
      <c r="F2229" s="18"/>
      <c r="G2229" s="17"/>
      <c r="H2229" s="17"/>
    </row>
    <row r="2230" spans="1:8" s="10" customFormat="1" x14ac:dyDescent="0.25">
      <c r="A2230" s="18"/>
      <c r="C2230" s="17"/>
      <c r="D2230" s="19"/>
      <c r="E2230" s="17"/>
      <c r="F2230" s="18"/>
      <c r="G2230" s="17"/>
      <c r="H2230" s="17"/>
    </row>
    <row r="2231" spans="1:8" s="10" customFormat="1" x14ac:dyDescent="0.25">
      <c r="A2231" s="18"/>
      <c r="C2231" s="17"/>
      <c r="D2231" s="19"/>
      <c r="E2231" s="17"/>
      <c r="F2231" s="18"/>
      <c r="G2231" s="17"/>
      <c r="H2231" s="17"/>
    </row>
    <row r="2232" spans="1:8" s="10" customFormat="1" x14ac:dyDescent="0.25">
      <c r="A2232" s="18"/>
      <c r="C2232" s="17"/>
      <c r="D2232" s="19"/>
      <c r="E2232" s="17"/>
      <c r="F2232" s="18"/>
      <c r="G2232" s="17"/>
      <c r="H2232" s="17"/>
    </row>
    <row r="2233" spans="1:8" s="10" customFormat="1" x14ac:dyDescent="0.25">
      <c r="A2233" s="18"/>
      <c r="C2233" s="17"/>
      <c r="D2233" s="19"/>
      <c r="E2233" s="17"/>
      <c r="F2233" s="18"/>
      <c r="G2233" s="17"/>
      <c r="H2233" s="17"/>
    </row>
    <row r="2234" spans="1:8" s="10" customFormat="1" x14ac:dyDescent="0.25">
      <c r="A2234" s="18"/>
      <c r="C2234" s="17"/>
      <c r="D2234" s="19"/>
      <c r="E2234" s="17"/>
      <c r="F2234" s="18"/>
      <c r="G2234" s="17"/>
      <c r="H2234" s="17"/>
    </row>
    <row r="2235" spans="1:8" s="10" customFormat="1" x14ac:dyDescent="0.25">
      <c r="A2235" s="18"/>
      <c r="C2235" s="17"/>
      <c r="D2235" s="19"/>
      <c r="E2235" s="17"/>
      <c r="F2235" s="18"/>
      <c r="G2235" s="17"/>
      <c r="H2235" s="17"/>
    </row>
    <row r="2236" spans="1:8" s="10" customFormat="1" x14ac:dyDescent="0.25">
      <c r="A2236" s="18"/>
      <c r="C2236" s="17"/>
      <c r="D2236" s="19"/>
      <c r="E2236" s="17"/>
      <c r="F2236" s="18"/>
      <c r="G2236" s="17"/>
      <c r="H2236" s="17"/>
    </row>
    <row r="2237" spans="1:8" s="10" customFormat="1" x14ac:dyDescent="0.25">
      <c r="A2237" s="18"/>
      <c r="C2237" s="17"/>
      <c r="D2237" s="19"/>
      <c r="E2237" s="17"/>
      <c r="F2237" s="18"/>
      <c r="G2237" s="17"/>
      <c r="H2237" s="17"/>
    </row>
    <row r="2238" spans="1:8" s="10" customFormat="1" x14ac:dyDescent="0.25">
      <c r="A2238" s="18"/>
      <c r="C2238" s="17"/>
      <c r="D2238" s="19"/>
      <c r="E2238" s="17"/>
      <c r="F2238" s="18"/>
      <c r="G2238" s="17"/>
      <c r="H2238" s="17"/>
    </row>
    <row r="2239" spans="1:8" s="10" customFormat="1" x14ac:dyDescent="0.25">
      <c r="A2239" s="18"/>
      <c r="C2239" s="17"/>
      <c r="D2239" s="19"/>
      <c r="E2239" s="17"/>
      <c r="F2239" s="18"/>
      <c r="G2239" s="17"/>
      <c r="H2239" s="17"/>
    </row>
    <row r="2240" spans="1:8" s="10" customFormat="1" x14ac:dyDescent="0.25">
      <c r="A2240" s="18"/>
      <c r="C2240" s="17"/>
      <c r="D2240" s="19"/>
      <c r="E2240" s="17"/>
      <c r="F2240" s="18"/>
      <c r="G2240" s="17"/>
      <c r="H2240" s="17"/>
    </row>
    <row r="2241" spans="1:8" s="10" customFormat="1" x14ac:dyDescent="0.25">
      <c r="A2241" s="18"/>
      <c r="C2241" s="17"/>
      <c r="D2241" s="19"/>
      <c r="E2241" s="17"/>
      <c r="F2241" s="18"/>
      <c r="G2241" s="17"/>
      <c r="H2241" s="17"/>
    </row>
    <row r="2242" spans="1:8" s="10" customFormat="1" x14ac:dyDescent="0.25">
      <c r="A2242" s="18"/>
      <c r="C2242" s="17"/>
      <c r="D2242" s="19"/>
      <c r="E2242" s="17"/>
      <c r="F2242" s="18"/>
      <c r="G2242" s="17"/>
      <c r="H2242" s="17"/>
    </row>
    <row r="2243" spans="1:8" s="10" customFormat="1" x14ac:dyDescent="0.25">
      <c r="A2243" s="18"/>
      <c r="C2243" s="17"/>
      <c r="D2243" s="19"/>
      <c r="E2243" s="17"/>
      <c r="F2243" s="18"/>
      <c r="G2243" s="17"/>
      <c r="H2243" s="17"/>
    </row>
    <row r="2244" spans="1:8" s="10" customFormat="1" x14ac:dyDescent="0.25">
      <c r="A2244" s="18"/>
      <c r="C2244" s="17"/>
      <c r="D2244" s="19"/>
      <c r="E2244" s="17"/>
      <c r="F2244" s="18"/>
      <c r="G2244" s="17"/>
      <c r="H2244" s="17"/>
    </row>
    <row r="2245" spans="1:8" s="10" customFormat="1" x14ac:dyDescent="0.25">
      <c r="A2245" s="18"/>
      <c r="C2245" s="17"/>
      <c r="D2245" s="19"/>
      <c r="E2245" s="17"/>
      <c r="F2245" s="18"/>
      <c r="G2245" s="17"/>
      <c r="H2245" s="17"/>
    </row>
    <row r="2246" spans="1:8" s="10" customFormat="1" x14ac:dyDescent="0.25">
      <c r="A2246" s="18"/>
      <c r="C2246" s="17"/>
      <c r="D2246" s="19"/>
      <c r="E2246" s="17"/>
      <c r="F2246" s="18"/>
      <c r="G2246" s="17"/>
      <c r="H2246" s="17"/>
    </row>
    <row r="2247" spans="1:8" s="10" customFormat="1" x14ac:dyDescent="0.25">
      <c r="A2247" s="18"/>
      <c r="C2247" s="17"/>
      <c r="D2247" s="19"/>
      <c r="E2247" s="17"/>
      <c r="F2247" s="18"/>
      <c r="G2247" s="17"/>
      <c r="H2247" s="17"/>
    </row>
    <row r="2248" spans="1:8" s="10" customFormat="1" x14ac:dyDescent="0.25">
      <c r="A2248" s="18"/>
      <c r="C2248" s="17"/>
      <c r="D2248" s="19"/>
      <c r="E2248" s="17"/>
      <c r="F2248" s="18"/>
      <c r="G2248" s="17"/>
      <c r="H2248" s="17"/>
    </row>
    <row r="2249" spans="1:8" s="10" customFormat="1" x14ac:dyDescent="0.25">
      <c r="A2249" s="18"/>
      <c r="C2249" s="17"/>
      <c r="D2249" s="19"/>
      <c r="E2249" s="17"/>
      <c r="F2249" s="18"/>
      <c r="G2249" s="17"/>
      <c r="H2249" s="17"/>
    </row>
    <row r="2250" spans="1:8" s="10" customFormat="1" x14ac:dyDescent="0.25">
      <c r="A2250" s="18"/>
      <c r="C2250" s="17"/>
      <c r="D2250" s="19"/>
      <c r="E2250" s="17"/>
      <c r="F2250" s="18"/>
      <c r="G2250" s="17"/>
      <c r="H2250" s="17"/>
    </row>
    <row r="2251" spans="1:8" s="10" customFormat="1" x14ac:dyDescent="0.25">
      <c r="A2251" s="18"/>
      <c r="C2251" s="17"/>
      <c r="D2251" s="19"/>
      <c r="E2251" s="17"/>
      <c r="F2251" s="18"/>
      <c r="G2251" s="17"/>
      <c r="H2251" s="17"/>
    </row>
    <row r="2252" spans="1:8" s="10" customFormat="1" x14ac:dyDescent="0.25">
      <c r="A2252" s="18"/>
      <c r="C2252" s="17"/>
      <c r="D2252" s="19"/>
      <c r="E2252" s="17"/>
      <c r="F2252" s="18"/>
      <c r="G2252" s="17"/>
      <c r="H2252" s="17"/>
    </row>
    <row r="2253" spans="1:8" s="10" customFormat="1" x14ac:dyDescent="0.25">
      <c r="A2253" s="18"/>
      <c r="C2253" s="17"/>
      <c r="D2253" s="19"/>
      <c r="E2253" s="17"/>
      <c r="F2253" s="18"/>
      <c r="G2253" s="17"/>
      <c r="H2253" s="17"/>
    </row>
    <row r="2254" spans="1:8" s="10" customFormat="1" x14ac:dyDescent="0.25">
      <c r="A2254" s="18"/>
      <c r="C2254" s="17"/>
      <c r="D2254" s="19"/>
      <c r="E2254" s="17"/>
      <c r="F2254" s="18"/>
      <c r="G2254" s="17"/>
      <c r="H2254" s="17"/>
    </row>
    <row r="2255" spans="1:8" s="10" customFormat="1" x14ac:dyDescent="0.25">
      <c r="A2255" s="18"/>
      <c r="C2255" s="17"/>
      <c r="D2255" s="19"/>
      <c r="E2255" s="17"/>
      <c r="F2255" s="18"/>
      <c r="G2255" s="17"/>
      <c r="H2255" s="17"/>
    </row>
    <row r="2256" spans="1:8" s="10" customFormat="1" x14ac:dyDescent="0.25">
      <c r="A2256" s="18"/>
      <c r="C2256" s="17"/>
      <c r="D2256" s="19"/>
      <c r="E2256" s="17"/>
      <c r="F2256" s="18"/>
      <c r="G2256" s="17"/>
      <c r="H2256" s="17"/>
    </row>
    <row r="2257" spans="1:8" s="10" customFormat="1" x14ac:dyDescent="0.25">
      <c r="A2257" s="18"/>
      <c r="C2257" s="17"/>
      <c r="D2257" s="19"/>
      <c r="E2257" s="17"/>
      <c r="F2257" s="18"/>
      <c r="G2257" s="17"/>
      <c r="H2257" s="17"/>
    </row>
    <row r="2258" spans="1:8" s="10" customFormat="1" x14ac:dyDescent="0.25">
      <c r="A2258" s="18"/>
      <c r="C2258" s="17"/>
      <c r="D2258" s="19"/>
      <c r="E2258" s="17"/>
      <c r="F2258" s="18"/>
      <c r="G2258" s="17"/>
      <c r="H2258" s="17"/>
    </row>
    <row r="2259" spans="1:8" s="10" customFormat="1" x14ac:dyDescent="0.25">
      <c r="A2259" s="18"/>
      <c r="C2259" s="17"/>
      <c r="D2259" s="19"/>
      <c r="E2259" s="17"/>
      <c r="F2259" s="18"/>
      <c r="G2259" s="17"/>
      <c r="H2259" s="17"/>
    </row>
    <row r="2260" spans="1:8" s="10" customFormat="1" x14ac:dyDescent="0.25">
      <c r="A2260" s="18"/>
      <c r="C2260" s="17"/>
      <c r="D2260" s="19"/>
      <c r="E2260" s="17"/>
      <c r="F2260" s="18"/>
      <c r="G2260" s="17"/>
      <c r="H2260" s="17"/>
    </row>
    <row r="2261" spans="1:8" s="10" customFormat="1" x14ac:dyDescent="0.25">
      <c r="A2261" s="18"/>
      <c r="C2261" s="17"/>
      <c r="D2261" s="19"/>
      <c r="E2261" s="17"/>
      <c r="F2261" s="18"/>
      <c r="G2261" s="17"/>
      <c r="H2261" s="17"/>
    </row>
    <row r="2262" spans="1:8" s="10" customFormat="1" x14ac:dyDescent="0.25">
      <c r="A2262" s="18"/>
      <c r="C2262" s="17"/>
      <c r="D2262" s="19"/>
      <c r="E2262" s="17"/>
      <c r="F2262" s="18"/>
      <c r="G2262" s="17"/>
      <c r="H2262" s="17"/>
    </row>
    <row r="2263" spans="1:8" s="10" customFormat="1" x14ac:dyDescent="0.25">
      <c r="A2263" s="18"/>
      <c r="C2263" s="17"/>
      <c r="D2263" s="19"/>
      <c r="E2263" s="17"/>
      <c r="F2263" s="18"/>
      <c r="G2263" s="17"/>
      <c r="H2263" s="17"/>
    </row>
    <row r="2264" spans="1:8" s="10" customFormat="1" x14ac:dyDescent="0.25">
      <c r="A2264" s="18"/>
      <c r="C2264" s="17"/>
      <c r="D2264" s="19"/>
      <c r="E2264" s="17"/>
      <c r="F2264" s="18"/>
      <c r="G2264" s="17"/>
      <c r="H2264" s="17"/>
    </row>
    <row r="2265" spans="1:8" s="10" customFormat="1" x14ac:dyDescent="0.25">
      <c r="A2265" s="18"/>
      <c r="C2265" s="17"/>
      <c r="D2265" s="19"/>
      <c r="E2265" s="17"/>
      <c r="F2265" s="18"/>
      <c r="G2265" s="17"/>
      <c r="H2265" s="17"/>
    </row>
    <row r="2266" spans="1:8" s="10" customFormat="1" x14ac:dyDescent="0.25">
      <c r="A2266" s="18"/>
      <c r="C2266" s="17"/>
      <c r="D2266" s="19"/>
      <c r="E2266" s="17"/>
      <c r="F2266" s="18"/>
      <c r="G2266" s="17"/>
      <c r="H2266" s="17"/>
    </row>
    <row r="2267" spans="1:8" s="10" customFormat="1" x14ac:dyDescent="0.25">
      <c r="A2267" s="18"/>
      <c r="C2267" s="17"/>
      <c r="D2267" s="19"/>
      <c r="E2267" s="17"/>
      <c r="F2267" s="18"/>
      <c r="G2267" s="17"/>
      <c r="H2267" s="17"/>
    </row>
    <row r="2268" spans="1:8" s="10" customFormat="1" x14ac:dyDescent="0.25">
      <c r="A2268" s="18"/>
      <c r="C2268" s="17"/>
      <c r="D2268" s="19"/>
      <c r="E2268" s="17"/>
      <c r="F2268" s="18"/>
      <c r="G2268" s="17"/>
      <c r="H2268" s="17"/>
    </row>
    <row r="2269" spans="1:8" s="10" customFormat="1" x14ac:dyDescent="0.25">
      <c r="A2269" s="18"/>
      <c r="C2269" s="17"/>
      <c r="D2269" s="19"/>
      <c r="E2269" s="17"/>
      <c r="F2269" s="18"/>
      <c r="G2269" s="17"/>
      <c r="H2269" s="17"/>
    </row>
    <row r="2270" spans="1:8" s="10" customFormat="1" x14ac:dyDescent="0.25">
      <c r="A2270" s="18"/>
      <c r="C2270" s="17"/>
      <c r="D2270" s="19"/>
      <c r="E2270" s="17"/>
      <c r="F2270" s="18"/>
      <c r="G2270" s="17"/>
      <c r="H2270" s="17"/>
    </row>
    <row r="2271" spans="1:8" s="10" customFormat="1" x14ac:dyDescent="0.25">
      <c r="A2271" s="18"/>
      <c r="C2271" s="17"/>
      <c r="D2271" s="19"/>
      <c r="E2271" s="17"/>
      <c r="F2271" s="18"/>
      <c r="G2271" s="17"/>
      <c r="H2271" s="17"/>
    </row>
    <row r="2272" spans="1:8" s="10" customFormat="1" x14ac:dyDescent="0.25">
      <c r="A2272" s="18"/>
      <c r="C2272" s="17"/>
      <c r="D2272" s="19"/>
      <c r="E2272" s="17"/>
      <c r="F2272" s="18"/>
      <c r="G2272" s="17"/>
      <c r="H2272" s="17"/>
    </row>
    <row r="2273" spans="1:8" s="10" customFormat="1" x14ac:dyDescent="0.25">
      <c r="A2273" s="18"/>
      <c r="C2273" s="17"/>
      <c r="D2273" s="19"/>
      <c r="E2273" s="17"/>
      <c r="F2273" s="18"/>
      <c r="G2273" s="17"/>
      <c r="H2273" s="17"/>
    </row>
    <row r="2274" spans="1:8" s="10" customFormat="1" x14ac:dyDescent="0.25">
      <c r="A2274" s="18"/>
      <c r="C2274" s="17"/>
      <c r="D2274" s="19"/>
      <c r="E2274" s="17"/>
      <c r="F2274" s="18"/>
      <c r="G2274" s="17"/>
      <c r="H2274" s="17"/>
    </row>
    <row r="2275" spans="1:8" s="10" customFormat="1" x14ac:dyDescent="0.25">
      <c r="A2275" s="18"/>
      <c r="C2275" s="17"/>
      <c r="D2275" s="19"/>
      <c r="E2275" s="17"/>
      <c r="F2275" s="18"/>
      <c r="G2275" s="17"/>
      <c r="H2275" s="17"/>
    </row>
    <row r="2276" spans="1:8" s="10" customFormat="1" x14ac:dyDescent="0.25">
      <c r="A2276" s="18"/>
      <c r="C2276" s="17"/>
      <c r="D2276" s="19"/>
      <c r="E2276" s="17"/>
      <c r="F2276" s="18"/>
      <c r="G2276" s="17"/>
      <c r="H2276" s="17"/>
    </row>
    <row r="2277" spans="1:8" s="10" customFormat="1" x14ac:dyDescent="0.25">
      <c r="A2277" s="18"/>
      <c r="C2277" s="17"/>
      <c r="D2277" s="19"/>
      <c r="E2277" s="17"/>
      <c r="F2277" s="18"/>
      <c r="G2277" s="17"/>
      <c r="H2277" s="17"/>
    </row>
    <row r="2278" spans="1:8" s="10" customFormat="1" x14ac:dyDescent="0.25">
      <c r="A2278" s="18"/>
      <c r="C2278" s="17"/>
      <c r="D2278" s="19"/>
      <c r="E2278" s="17"/>
      <c r="F2278" s="18"/>
      <c r="G2278" s="17"/>
      <c r="H2278" s="17"/>
    </row>
    <row r="2279" spans="1:8" s="10" customFormat="1" x14ac:dyDescent="0.25">
      <c r="A2279" s="18"/>
      <c r="C2279" s="17"/>
      <c r="D2279" s="19"/>
      <c r="E2279" s="17"/>
      <c r="F2279" s="18"/>
      <c r="G2279" s="17"/>
      <c r="H2279" s="17"/>
    </row>
    <row r="2280" spans="1:8" s="10" customFormat="1" x14ac:dyDescent="0.25">
      <c r="A2280" s="18"/>
      <c r="C2280" s="17"/>
      <c r="D2280" s="19"/>
      <c r="E2280" s="17"/>
      <c r="F2280" s="18"/>
      <c r="G2280" s="17"/>
      <c r="H2280" s="17"/>
    </row>
    <row r="2281" spans="1:8" s="10" customFormat="1" x14ac:dyDescent="0.25">
      <c r="A2281" s="18"/>
      <c r="C2281" s="17"/>
      <c r="D2281" s="19"/>
      <c r="E2281" s="17"/>
      <c r="F2281" s="18"/>
      <c r="G2281" s="17"/>
      <c r="H2281" s="17"/>
    </row>
    <row r="2282" spans="1:8" s="10" customFormat="1" x14ac:dyDescent="0.25">
      <c r="A2282" s="18"/>
      <c r="C2282" s="17"/>
      <c r="D2282" s="19"/>
      <c r="E2282" s="17"/>
      <c r="F2282" s="18"/>
      <c r="G2282" s="17"/>
      <c r="H2282" s="17"/>
    </row>
    <row r="2283" spans="1:8" s="10" customFormat="1" x14ac:dyDescent="0.25">
      <c r="A2283" s="18"/>
      <c r="C2283" s="17"/>
      <c r="D2283" s="19"/>
      <c r="E2283" s="17"/>
      <c r="F2283" s="18"/>
      <c r="G2283" s="17"/>
      <c r="H2283" s="17"/>
    </row>
    <row r="2284" spans="1:8" s="10" customFormat="1" x14ac:dyDescent="0.25">
      <c r="A2284" s="18"/>
      <c r="C2284" s="17"/>
      <c r="D2284" s="19"/>
      <c r="E2284" s="17"/>
      <c r="F2284" s="18"/>
      <c r="G2284" s="17"/>
      <c r="H2284" s="17"/>
    </row>
    <row r="2285" spans="1:8" s="10" customFormat="1" x14ac:dyDescent="0.25">
      <c r="A2285" s="18"/>
      <c r="C2285" s="17"/>
      <c r="D2285" s="19"/>
      <c r="E2285" s="17"/>
      <c r="F2285" s="18"/>
      <c r="G2285" s="17"/>
      <c r="H2285" s="17"/>
    </row>
    <row r="2286" spans="1:8" s="10" customFormat="1" x14ac:dyDescent="0.25">
      <c r="A2286" s="18"/>
      <c r="C2286" s="17"/>
      <c r="D2286" s="19"/>
      <c r="E2286" s="17"/>
      <c r="F2286" s="18"/>
      <c r="G2286" s="17"/>
      <c r="H2286" s="17"/>
    </row>
    <row r="2287" spans="1:8" s="10" customFormat="1" x14ac:dyDescent="0.25">
      <c r="A2287" s="18"/>
      <c r="C2287" s="17"/>
      <c r="D2287" s="19"/>
      <c r="E2287" s="17"/>
      <c r="F2287" s="18"/>
      <c r="G2287" s="17"/>
      <c r="H2287" s="17"/>
    </row>
    <row r="2288" spans="1:8" s="10" customFormat="1" x14ac:dyDescent="0.25">
      <c r="A2288" s="18"/>
      <c r="C2288" s="17"/>
      <c r="D2288" s="19"/>
      <c r="E2288" s="17"/>
      <c r="F2288" s="18"/>
      <c r="G2288" s="17"/>
      <c r="H2288" s="17"/>
    </row>
    <row r="2289" spans="1:8" s="10" customFormat="1" x14ac:dyDescent="0.25">
      <c r="A2289" s="18"/>
      <c r="C2289" s="17"/>
      <c r="D2289" s="19"/>
      <c r="E2289" s="17"/>
      <c r="F2289" s="18"/>
      <c r="G2289" s="17"/>
      <c r="H2289" s="17"/>
    </row>
    <row r="2290" spans="1:8" s="10" customFormat="1" x14ac:dyDescent="0.25">
      <c r="A2290" s="18"/>
      <c r="C2290" s="17"/>
      <c r="D2290" s="19"/>
      <c r="E2290" s="17"/>
      <c r="F2290" s="18"/>
      <c r="G2290" s="17"/>
      <c r="H2290" s="17"/>
    </row>
    <row r="2291" spans="1:8" s="10" customFormat="1" x14ac:dyDescent="0.25">
      <c r="A2291" s="18"/>
      <c r="C2291" s="17"/>
      <c r="D2291" s="19"/>
      <c r="E2291" s="17"/>
      <c r="F2291" s="18"/>
      <c r="G2291" s="17"/>
      <c r="H2291" s="17"/>
    </row>
    <row r="2292" spans="1:8" s="10" customFormat="1" x14ac:dyDescent="0.25">
      <c r="A2292" s="18"/>
      <c r="C2292" s="17"/>
      <c r="D2292" s="19"/>
      <c r="E2292" s="17"/>
      <c r="F2292" s="18"/>
      <c r="G2292" s="17"/>
      <c r="H2292" s="17"/>
    </row>
    <row r="2293" spans="1:8" s="10" customFormat="1" x14ac:dyDescent="0.25">
      <c r="A2293" s="18"/>
      <c r="C2293" s="17"/>
      <c r="D2293" s="19"/>
      <c r="E2293" s="17"/>
      <c r="F2293" s="18"/>
      <c r="G2293" s="17"/>
      <c r="H2293" s="17"/>
    </row>
    <row r="2294" spans="1:8" s="10" customFormat="1" x14ac:dyDescent="0.25">
      <c r="A2294" s="18"/>
      <c r="C2294" s="17"/>
      <c r="D2294" s="19"/>
      <c r="E2294" s="17"/>
      <c r="F2294" s="18"/>
      <c r="G2294" s="17"/>
      <c r="H2294" s="17"/>
    </row>
    <row r="2295" spans="1:8" s="10" customFormat="1" x14ac:dyDescent="0.25">
      <c r="A2295" s="18"/>
      <c r="C2295" s="17"/>
      <c r="D2295" s="19"/>
      <c r="E2295" s="17"/>
      <c r="F2295" s="18"/>
      <c r="G2295" s="17"/>
      <c r="H2295" s="17"/>
    </row>
    <row r="2296" spans="1:8" s="10" customFormat="1" x14ac:dyDescent="0.25">
      <c r="A2296" s="18"/>
      <c r="C2296" s="17"/>
      <c r="D2296" s="19"/>
      <c r="E2296" s="17"/>
      <c r="F2296" s="18"/>
      <c r="G2296" s="17"/>
      <c r="H2296" s="17"/>
    </row>
    <row r="2297" spans="1:8" s="10" customFormat="1" x14ac:dyDescent="0.25">
      <c r="A2297" s="18"/>
      <c r="C2297" s="17"/>
      <c r="D2297" s="19"/>
      <c r="E2297" s="17"/>
      <c r="F2297" s="18"/>
      <c r="G2297" s="17"/>
      <c r="H2297" s="17"/>
    </row>
    <row r="2298" spans="1:8" s="10" customFormat="1" x14ac:dyDescent="0.25">
      <c r="A2298" s="18"/>
      <c r="C2298" s="17"/>
      <c r="D2298" s="19"/>
      <c r="E2298" s="17"/>
      <c r="F2298" s="18"/>
      <c r="G2298" s="17"/>
      <c r="H2298" s="17"/>
    </row>
    <row r="2299" spans="1:8" s="10" customFormat="1" x14ac:dyDescent="0.25">
      <c r="A2299" s="18"/>
      <c r="C2299" s="17"/>
      <c r="D2299" s="19"/>
      <c r="E2299" s="17"/>
      <c r="F2299" s="18"/>
      <c r="G2299" s="17"/>
      <c r="H2299" s="17"/>
    </row>
    <row r="2300" spans="1:8" s="10" customFormat="1" x14ac:dyDescent="0.25">
      <c r="A2300" s="18"/>
      <c r="C2300" s="17"/>
      <c r="D2300" s="19"/>
      <c r="E2300" s="17"/>
      <c r="F2300" s="18"/>
      <c r="G2300" s="17"/>
      <c r="H2300" s="17"/>
    </row>
    <row r="2301" spans="1:8" s="10" customFormat="1" x14ac:dyDescent="0.25">
      <c r="A2301" s="18"/>
      <c r="C2301" s="17"/>
      <c r="D2301" s="19"/>
      <c r="E2301" s="17"/>
      <c r="F2301" s="18"/>
      <c r="G2301" s="17"/>
      <c r="H2301" s="17"/>
    </row>
    <row r="2302" spans="1:8" s="10" customFormat="1" x14ac:dyDescent="0.25">
      <c r="A2302" s="18"/>
      <c r="C2302" s="17"/>
      <c r="D2302" s="19"/>
      <c r="E2302" s="17"/>
      <c r="F2302" s="18"/>
      <c r="G2302" s="17"/>
      <c r="H2302" s="17"/>
    </row>
    <row r="2303" spans="1:8" s="10" customFormat="1" x14ac:dyDescent="0.25">
      <c r="A2303" s="18"/>
      <c r="C2303" s="17"/>
      <c r="D2303" s="19"/>
      <c r="E2303" s="17"/>
      <c r="F2303" s="18"/>
      <c r="G2303" s="17"/>
      <c r="H2303" s="17"/>
    </row>
    <row r="2304" spans="1:8" s="10" customFormat="1" x14ac:dyDescent="0.25">
      <c r="A2304" s="18"/>
      <c r="C2304" s="17"/>
      <c r="D2304" s="19"/>
      <c r="E2304" s="17"/>
      <c r="F2304" s="18"/>
      <c r="G2304" s="17"/>
      <c r="H2304" s="17"/>
    </row>
    <row r="2305" spans="1:8" s="10" customFormat="1" x14ac:dyDescent="0.25">
      <c r="A2305" s="18"/>
      <c r="C2305" s="17"/>
      <c r="D2305" s="19"/>
      <c r="E2305" s="17"/>
      <c r="F2305" s="18"/>
      <c r="G2305" s="17"/>
      <c r="H2305" s="17"/>
    </row>
    <row r="2306" spans="1:8" s="10" customFormat="1" x14ac:dyDescent="0.25">
      <c r="A2306" s="18"/>
      <c r="C2306" s="17"/>
      <c r="D2306" s="19"/>
      <c r="E2306" s="17"/>
      <c r="F2306" s="18"/>
      <c r="G2306" s="17"/>
      <c r="H2306" s="17"/>
    </row>
    <row r="2307" spans="1:8" s="10" customFormat="1" x14ac:dyDescent="0.25">
      <c r="A2307" s="18"/>
      <c r="C2307" s="17"/>
      <c r="D2307" s="19"/>
      <c r="E2307" s="17"/>
      <c r="F2307" s="18"/>
      <c r="G2307" s="17"/>
      <c r="H2307" s="17"/>
    </row>
    <row r="2308" spans="1:8" s="10" customFormat="1" x14ac:dyDescent="0.25">
      <c r="A2308" s="18"/>
      <c r="C2308" s="17"/>
      <c r="D2308" s="19"/>
      <c r="E2308" s="17"/>
      <c r="F2308" s="18"/>
      <c r="G2308" s="17"/>
      <c r="H2308" s="17"/>
    </row>
    <row r="2309" spans="1:8" s="10" customFormat="1" x14ac:dyDescent="0.25">
      <c r="A2309" s="18"/>
      <c r="C2309" s="17"/>
      <c r="D2309" s="19"/>
      <c r="E2309" s="17"/>
      <c r="F2309" s="18"/>
      <c r="G2309" s="17"/>
      <c r="H2309" s="17"/>
    </row>
    <row r="2310" spans="1:8" s="10" customFormat="1" x14ac:dyDescent="0.25">
      <c r="A2310" s="18"/>
      <c r="C2310" s="17"/>
      <c r="D2310" s="19"/>
      <c r="E2310" s="17"/>
      <c r="F2310" s="18"/>
      <c r="G2310" s="17"/>
      <c r="H2310" s="17"/>
    </row>
    <row r="2311" spans="1:8" s="10" customFormat="1" x14ac:dyDescent="0.25">
      <c r="A2311" s="18"/>
      <c r="C2311" s="17"/>
      <c r="D2311" s="19"/>
      <c r="E2311" s="17"/>
      <c r="F2311" s="18"/>
      <c r="G2311" s="17"/>
      <c r="H2311" s="17"/>
    </row>
    <row r="2312" spans="1:8" s="10" customFormat="1" x14ac:dyDescent="0.25">
      <c r="A2312" s="18"/>
      <c r="C2312" s="17"/>
      <c r="D2312" s="19"/>
      <c r="E2312" s="17"/>
      <c r="F2312" s="18"/>
      <c r="G2312" s="17"/>
      <c r="H2312" s="17"/>
    </row>
    <row r="2313" spans="1:8" s="10" customFormat="1" x14ac:dyDescent="0.25">
      <c r="A2313" s="18"/>
      <c r="C2313" s="17"/>
      <c r="D2313" s="19"/>
      <c r="E2313" s="17"/>
      <c r="F2313" s="18"/>
      <c r="G2313" s="17"/>
      <c r="H2313" s="17"/>
    </row>
    <row r="2314" spans="1:8" s="10" customFormat="1" x14ac:dyDescent="0.25">
      <c r="A2314" s="18"/>
      <c r="C2314" s="17"/>
      <c r="D2314" s="19"/>
      <c r="E2314" s="17"/>
      <c r="F2314" s="18"/>
      <c r="G2314" s="17"/>
      <c r="H2314" s="17"/>
    </row>
    <row r="2315" spans="1:8" s="10" customFormat="1" x14ac:dyDescent="0.25">
      <c r="A2315" s="18"/>
      <c r="C2315" s="17"/>
      <c r="D2315" s="19"/>
      <c r="E2315" s="17"/>
      <c r="F2315" s="18"/>
      <c r="G2315" s="17"/>
      <c r="H2315" s="17"/>
    </row>
    <row r="2316" spans="1:8" s="10" customFormat="1" x14ac:dyDescent="0.25">
      <c r="A2316" s="18"/>
      <c r="C2316" s="17"/>
      <c r="D2316" s="19"/>
      <c r="E2316" s="17"/>
      <c r="F2316" s="18"/>
      <c r="G2316" s="17"/>
      <c r="H2316" s="17"/>
    </row>
    <row r="2317" spans="1:8" s="10" customFormat="1" x14ac:dyDescent="0.25">
      <c r="A2317" s="18"/>
      <c r="C2317" s="17"/>
      <c r="D2317" s="19"/>
      <c r="E2317" s="17"/>
      <c r="F2317" s="18"/>
      <c r="G2317" s="17"/>
      <c r="H2317" s="17"/>
    </row>
    <row r="2318" spans="1:8" s="10" customFormat="1" x14ac:dyDescent="0.25">
      <c r="A2318" s="18"/>
      <c r="C2318" s="17"/>
      <c r="D2318" s="19"/>
      <c r="E2318" s="17"/>
      <c r="F2318" s="18"/>
      <c r="G2318" s="17"/>
      <c r="H2318" s="17"/>
    </row>
    <row r="2319" spans="1:8" s="10" customFormat="1" x14ac:dyDescent="0.25">
      <c r="A2319" s="18"/>
      <c r="C2319" s="17"/>
      <c r="D2319" s="19"/>
      <c r="E2319" s="17"/>
      <c r="F2319" s="18"/>
      <c r="G2319" s="17"/>
      <c r="H2319" s="17"/>
    </row>
    <row r="2320" spans="1:8" s="10" customFormat="1" x14ac:dyDescent="0.25">
      <c r="A2320" s="18"/>
      <c r="C2320" s="17"/>
      <c r="D2320" s="19"/>
      <c r="E2320" s="17"/>
      <c r="F2320" s="18"/>
      <c r="G2320" s="17"/>
      <c r="H2320" s="17"/>
    </row>
    <row r="2321" spans="1:8" s="10" customFormat="1" x14ac:dyDescent="0.25">
      <c r="A2321" s="18"/>
      <c r="C2321" s="17"/>
      <c r="D2321" s="19"/>
      <c r="E2321" s="17"/>
      <c r="F2321" s="18"/>
      <c r="G2321" s="17"/>
      <c r="H2321" s="17"/>
    </row>
    <row r="2322" spans="1:8" s="10" customFormat="1" x14ac:dyDescent="0.25">
      <c r="A2322" s="18"/>
      <c r="C2322" s="17"/>
      <c r="D2322" s="19"/>
      <c r="E2322" s="17"/>
      <c r="F2322" s="18"/>
      <c r="G2322" s="17"/>
      <c r="H2322" s="17"/>
    </row>
    <row r="2323" spans="1:8" s="10" customFormat="1" x14ac:dyDescent="0.25">
      <c r="A2323" s="18"/>
      <c r="C2323" s="17"/>
      <c r="D2323" s="19"/>
      <c r="E2323" s="17"/>
      <c r="F2323" s="18"/>
      <c r="G2323" s="17"/>
      <c r="H2323" s="17"/>
    </row>
    <row r="2324" spans="1:8" s="10" customFormat="1" x14ac:dyDescent="0.25">
      <c r="A2324" s="18"/>
      <c r="C2324" s="17"/>
      <c r="D2324" s="19"/>
      <c r="E2324" s="17"/>
      <c r="F2324" s="18"/>
      <c r="G2324" s="17"/>
      <c r="H2324" s="17"/>
    </row>
    <row r="2325" spans="1:8" s="10" customFormat="1" x14ac:dyDescent="0.25">
      <c r="A2325" s="18"/>
      <c r="C2325" s="17"/>
      <c r="D2325" s="19"/>
      <c r="E2325" s="17"/>
      <c r="F2325" s="18"/>
      <c r="G2325" s="17"/>
      <c r="H2325" s="17"/>
    </row>
    <row r="2326" spans="1:8" s="10" customFormat="1" x14ac:dyDescent="0.25">
      <c r="A2326" s="18"/>
      <c r="C2326" s="17"/>
      <c r="D2326" s="19"/>
      <c r="E2326" s="17"/>
      <c r="F2326" s="18"/>
      <c r="G2326" s="17"/>
      <c r="H2326" s="17"/>
    </row>
    <row r="2327" spans="1:8" s="10" customFormat="1" x14ac:dyDescent="0.25">
      <c r="A2327" s="18"/>
      <c r="C2327" s="17"/>
      <c r="D2327" s="19"/>
      <c r="E2327" s="17"/>
      <c r="F2327" s="18"/>
      <c r="G2327" s="17"/>
      <c r="H2327" s="17"/>
    </row>
    <row r="2328" spans="1:8" s="10" customFormat="1" x14ac:dyDescent="0.25">
      <c r="A2328" s="18"/>
      <c r="C2328" s="17"/>
      <c r="D2328" s="19"/>
      <c r="E2328" s="17"/>
      <c r="F2328" s="18"/>
      <c r="G2328" s="17"/>
      <c r="H2328" s="17"/>
    </row>
    <row r="2329" spans="1:8" s="10" customFormat="1" x14ac:dyDescent="0.25">
      <c r="A2329" s="18"/>
      <c r="C2329" s="17"/>
      <c r="D2329" s="19"/>
      <c r="E2329" s="17"/>
      <c r="F2329" s="18"/>
      <c r="G2329" s="17"/>
      <c r="H2329" s="17"/>
    </row>
    <row r="2330" spans="1:8" s="10" customFormat="1" x14ac:dyDescent="0.25">
      <c r="A2330" s="18"/>
      <c r="C2330" s="17"/>
      <c r="D2330" s="19"/>
      <c r="E2330" s="17"/>
      <c r="F2330" s="18"/>
      <c r="G2330" s="17"/>
      <c r="H2330" s="17"/>
    </row>
    <row r="2331" spans="1:8" s="10" customFormat="1" x14ac:dyDescent="0.25">
      <c r="A2331" s="18"/>
      <c r="C2331" s="17"/>
      <c r="D2331" s="19"/>
      <c r="E2331" s="17"/>
      <c r="F2331" s="18"/>
      <c r="G2331" s="17"/>
      <c r="H2331" s="17"/>
    </row>
    <row r="2332" spans="1:8" s="10" customFormat="1" x14ac:dyDescent="0.25">
      <c r="A2332" s="18"/>
      <c r="C2332" s="17"/>
      <c r="D2332" s="19"/>
      <c r="E2332" s="17"/>
      <c r="F2332" s="18"/>
      <c r="G2332" s="17"/>
      <c r="H2332" s="17"/>
    </row>
    <row r="2333" spans="1:8" s="10" customFormat="1" x14ac:dyDescent="0.25">
      <c r="A2333" s="18"/>
      <c r="C2333" s="17"/>
      <c r="D2333" s="19"/>
      <c r="E2333" s="17"/>
      <c r="F2333" s="18"/>
      <c r="G2333" s="17"/>
      <c r="H2333" s="17"/>
    </row>
    <row r="2334" spans="1:8" s="10" customFormat="1" x14ac:dyDescent="0.25">
      <c r="A2334" s="18"/>
      <c r="C2334" s="17"/>
      <c r="D2334" s="19"/>
      <c r="E2334" s="17"/>
      <c r="F2334" s="18"/>
      <c r="G2334" s="17"/>
      <c r="H2334" s="17"/>
    </row>
    <row r="2335" spans="1:8" s="10" customFormat="1" x14ac:dyDescent="0.25">
      <c r="A2335" s="18"/>
      <c r="C2335" s="17"/>
      <c r="D2335" s="19"/>
      <c r="E2335" s="17"/>
      <c r="F2335" s="18"/>
      <c r="G2335" s="17"/>
      <c r="H2335" s="17"/>
    </row>
    <row r="2336" spans="1:8" s="10" customFormat="1" x14ac:dyDescent="0.25">
      <c r="A2336" s="18"/>
      <c r="C2336" s="17"/>
      <c r="D2336" s="19"/>
      <c r="E2336" s="17"/>
      <c r="F2336" s="18"/>
      <c r="G2336" s="17"/>
      <c r="H2336" s="17"/>
    </row>
    <row r="2337" spans="1:8" s="10" customFormat="1" x14ac:dyDescent="0.25">
      <c r="A2337" s="18"/>
      <c r="C2337" s="17"/>
      <c r="D2337" s="19"/>
      <c r="E2337" s="17"/>
      <c r="F2337" s="18"/>
      <c r="G2337" s="17"/>
      <c r="H2337" s="17"/>
    </row>
    <row r="2338" spans="1:8" s="10" customFormat="1" x14ac:dyDescent="0.25">
      <c r="A2338" s="18"/>
      <c r="C2338" s="17"/>
      <c r="D2338" s="19"/>
      <c r="E2338" s="17"/>
      <c r="F2338" s="18"/>
      <c r="G2338" s="17"/>
      <c r="H2338" s="17"/>
    </row>
    <row r="2339" spans="1:8" s="10" customFormat="1" x14ac:dyDescent="0.25">
      <c r="A2339" s="18"/>
      <c r="C2339" s="17"/>
      <c r="D2339" s="19"/>
      <c r="E2339" s="17"/>
      <c r="F2339" s="18"/>
      <c r="G2339" s="17"/>
      <c r="H2339" s="17"/>
    </row>
    <row r="2340" spans="1:8" s="10" customFormat="1" x14ac:dyDescent="0.25">
      <c r="A2340" s="18"/>
      <c r="C2340" s="17"/>
      <c r="D2340" s="19"/>
      <c r="E2340" s="17"/>
      <c r="F2340" s="18"/>
      <c r="G2340" s="17"/>
      <c r="H2340" s="17"/>
    </row>
    <row r="2341" spans="1:8" s="10" customFormat="1" x14ac:dyDescent="0.25">
      <c r="A2341" s="18"/>
      <c r="C2341" s="17"/>
      <c r="D2341" s="19"/>
      <c r="E2341" s="17"/>
      <c r="F2341" s="18"/>
      <c r="G2341" s="17"/>
      <c r="H2341" s="17"/>
    </row>
    <row r="2342" spans="1:8" s="10" customFormat="1" x14ac:dyDescent="0.25">
      <c r="A2342" s="18"/>
      <c r="C2342" s="17"/>
      <c r="D2342" s="19"/>
      <c r="E2342" s="17"/>
      <c r="F2342" s="18"/>
      <c r="G2342" s="17"/>
      <c r="H2342" s="17"/>
    </row>
    <row r="2343" spans="1:8" s="10" customFormat="1" x14ac:dyDescent="0.25">
      <c r="A2343" s="18"/>
      <c r="C2343" s="17"/>
      <c r="D2343" s="19"/>
      <c r="E2343" s="17"/>
      <c r="F2343" s="18"/>
      <c r="G2343" s="17"/>
      <c r="H2343" s="17"/>
    </row>
    <row r="2344" spans="1:8" s="10" customFormat="1" x14ac:dyDescent="0.25">
      <c r="A2344" s="18"/>
      <c r="C2344" s="17"/>
      <c r="D2344" s="19"/>
      <c r="E2344" s="17"/>
      <c r="F2344" s="18"/>
      <c r="G2344" s="17"/>
      <c r="H2344" s="17"/>
    </row>
    <row r="2345" spans="1:8" s="10" customFormat="1" x14ac:dyDescent="0.25">
      <c r="A2345" s="18"/>
      <c r="C2345" s="17"/>
      <c r="D2345" s="19"/>
      <c r="E2345" s="17"/>
      <c r="F2345" s="18"/>
      <c r="G2345" s="17"/>
      <c r="H2345" s="17"/>
    </row>
    <row r="2346" spans="1:8" s="10" customFormat="1" x14ac:dyDescent="0.25">
      <c r="A2346" s="18"/>
      <c r="C2346" s="17"/>
      <c r="D2346" s="19"/>
      <c r="E2346" s="17"/>
      <c r="F2346" s="18"/>
      <c r="G2346" s="17"/>
      <c r="H2346" s="17"/>
    </row>
    <row r="2347" spans="1:8" s="10" customFormat="1" x14ac:dyDescent="0.25">
      <c r="A2347" s="18"/>
      <c r="C2347" s="17"/>
      <c r="D2347" s="19"/>
      <c r="E2347" s="17"/>
      <c r="F2347" s="18"/>
      <c r="G2347" s="17"/>
      <c r="H2347" s="17"/>
    </row>
    <row r="2348" spans="1:8" s="10" customFormat="1" x14ac:dyDescent="0.25">
      <c r="A2348" s="18"/>
      <c r="C2348" s="17"/>
      <c r="D2348" s="19"/>
      <c r="E2348" s="17"/>
      <c r="F2348" s="18"/>
      <c r="G2348" s="17"/>
      <c r="H2348" s="17"/>
    </row>
    <row r="2349" spans="1:8" s="10" customFormat="1" x14ac:dyDescent="0.25">
      <c r="A2349" s="18"/>
      <c r="C2349" s="17"/>
      <c r="D2349" s="19"/>
      <c r="E2349" s="17"/>
      <c r="F2349" s="18"/>
      <c r="G2349" s="17"/>
      <c r="H2349" s="17"/>
    </row>
    <row r="2350" spans="1:8" s="10" customFormat="1" x14ac:dyDescent="0.25">
      <c r="A2350" s="18"/>
      <c r="C2350" s="17"/>
      <c r="D2350" s="19"/>
      <c r="E2350" s="17"/>
      <c r="F2350" s="18"/>
      <c r="G2350" s="17"/>
      <c r="H2350" s="17"/>
    </row>
    <row r="2351" spans="1:8" s="10" customFormat="1" x14ac:dyDescent="0.25">
      <c r="A2351" s="18"/>
      <c r="C2351" s="17"/>
      <c r="D2351" s="19"/>
      <c r="E2351" s="17"/>
      <c r="F2351" s="18"/>
      <c r="G2351" s="17"/>
      <c r="H2351" s="17"/>
    </row>
    <row r="2352" spans="1:8" s="10" customFormat="1" x14ac:dyDescent="0.25">
      <c r="A2352" s="18"/>
      <c r="C2352" s="17"/>
      <c r="D2352" s="19"/>
      <c r="E2352" s="17"/>
      <c r="F2352" s="18"/>
      <c r="G2352" s="17"/>
      <c r="H2352" s="17"/>
    </row>
    <row r="2353" spans="1:8" s="10" customFormat="1" x14ac:dyDescent="0.25">
      <c r="A2353" s="18"/>
      <c r="C2353" s="17"/>
      <c r="D2353" s="19"/>
      <c r="E2353" s="17"/>
      <c r="F2353" s="18"/>
      <c r="G2353" s="17"/>
      <c r="H2353" s="17"/>
    </row>
    <row r="2354" spans="1:8" s="10" customFormat="1" x14ac:dyDescent="0.25">
      <c r="A2354" s="18"/>
      <c r="C2354" s="17"/>
      <c r="D2354" s="19"/>
      <c r="E2354" s="17"/>
      <c r="F2354" s="18"/>
      <c r="G2354" s="17"/>
      <c r="H2354" s="17"/>
    </row>
    <row r="2355" spans="1:8" s="10" customFormat="1" x14ac:dyDescent="0.25">
      <c r="A2355" s="18"/>
      <c r="C2355" s="17"/>
      <c r="D2355" s="19"/>
      <c r="E2355" s="17"/>
      <c r="F2355" s="18"/>
      <c r="G2355" s="17"/>
      <c r="H2355" s="17"/>
    </row>
    <row r="2356" spans="1:8" s="10" customFormat="1" x14ac:dyDescent="0.25">
      <c r="A2356" s="18"/>
      <c r="C2356" s="17"/>
      <c r="D2356" s="19"/>
      <c r="E2356" s="17"/>
      <c r="F2356" s="18"/>
      <c r="G2356" s="17"/>
      <c r="H2356" s="17"/>
    </row>
    <row r="2357" spans="1:8" s="10" customFormat="1" x14ac:dyDescent="0.25">
      <c r="A2357" s="18"/>
      <c r="C2357" s="17"/>
      <c r="D2357" s="19"/>
      <c r="E2357" s="17"/>
      <c r="F2357" s="18"/>
      <c r="G2357" s="17"/>
      <c r="H2357" s="17"/>
    </row>
    <row r="2358" spans="1:8" s="10" customFormat="1" x14ac:dyDescent="0.25">
      <c r="A2358" s="18"/>
      <c r="C2358" s="17"/>
      <c r="D2358" s="19"/>
      <c r="E2358" s="17"/>
      <c r="F2358" s="18"/>
      <c r="G2358" s="17"/>
      <c r="H2358" s="17"/>
    </row>
    <row r="2359" spans="1:8" s="10" customFormat="1" x14ac:dyDescent="0.25">
      <c r="A2359" s="18"/>
      <c r="C2359" s="17"/>
      <c r="D2359" s="19"/>
      <c r="E2359" s="17"/>
      <c r="F2359" s="18"/>
      <c r="G2359" s="17"/>
      <c r="H2359" s="17"/>
    </row>
    <row r="2360" spans="1:8" s="10" customFormat="1" x14ac:dyDescent="0.25">
      <c r="A2360" s="18"/>
      <c r="C2360" s="17"/>
      <c r="D2360" s="19"/>
      <c r="E2360" s="17"/>
      <c r="F2360" s="18"/>
      <c r="G2360" s="17"/>
      <c r="H2360" s="17"/>
    </row>
    <row r="2361" spans="1:8" s="10" customFormat="1" x14ac:dyDescent="0.25">
      <c r="A2361" s="18"/>
      <c r="C2361" s="17"/>
      <c r="D2361" s="19"/>
      <c r="E2361" s="17"/>
      <c r="F2361" s="18"/>
      <c r="G2361" s="17"/>
      <c r="H2361" s="17"/>
    </row>
    <row r="2362" spans="1:8" s="10" customFormat="1" x14ac:dyDescent="0.25">
      <c r="A2362" s="18"/>
      <c r="C2362" s="17"/>
      <c r="D2362" s="19"/>
      <c r="E2362" s="17"/>
      <c r="F2362" s="18"/>
      <c r="G2362" s="17"/>
      <c r="H2362" s="17"/>
    </row>
    <row r="2363" spans="1:8" s="10" customFormat="1" x14ac:dyDescent="0.25">
      <c r="A2363" s="18"/>
      <c r="C2363" s="17"/>
      <c r="D2363" s="19"/>
      <c r="E2363" s="17"/>
      <c r="F2363" s="18"/>
      <c r="G2363" s="17"/>
      <c r="H2363" s="17"/>
    </row>
    <row r="2364" spans="1:8" s="10" customFormat="1" x14ac:dyDescent="0.25">
      <c r="A2364" s="18"/>
      <c r="C2364" s="17"/>
      <c r="D2364" s="19"/>
      <c r="E2364" s="17"/>
      <c r="F2364" s="18"/>
      <c r="G2364" s="17"/>
      <c r="H2364" s="17"/>
    </row>
    <row r="2365" spans="1:8" s="10" customFormat="1" x14ac:dyDescent="0.25">
      <c r="A2365" s="18"/>
      <c r="C2365" s="17"/>
      <c r="D2365" s="19"/>
      <c r="E2365" s="17"/>
      <c r="F2365" s="18"/>
      <c r="G2365" s="17"/>
      <c r="H2365" s="17"/>
    </row>
    <row r="2366" spans="1:8" s="10" customFormat="1" x14ac:dyDescent="0.25">
      <c r="A2366" s="18"/>
      <c r="C2366" s="17"/>
      <c r="D2366" s="19"/>
      <c r="E2366" s="17"/>
      <c r="F2366" s="18"/>
      <c r="G2366" s="17"/>
      <c r="H2366" s="17"/>
    </row>
    <row r="2367" spans="1:8" s="10" customFormat="1" x14ac:dyDescent="0.25">
      <c r="A2367" s="18"/>
      <c r="C2367" s="17"/>
      <c r="D2367" s="19"/>
      <c r="E2367" s="17"/>
      <c r="F2367" s="18"/>
      <c r="G2367" s="17"/>
      <c r="H2367" s="17"/>
    </row>
    <row r="2368" spans="1:8" s="10" customFormat="1" x14ac:dyDescent="0.25">
      <c r="A2368" s="18"/>
      <c r="C2368" s="17"/>
      <c r="D2368" s="19"/>
      <c r="E2368" s="17"/>
      <c r="F2368" s="18"/>
      <c r="G2368" s="17"/>
      <c r="H2368" s="17"/>
    </row>
    <row r="2369" spans="1:8" s="10" customFormat="1" x14ac:dyDescent="0.25">
      <c r="A2369" s="18"/>
      <c r="C2369" s="17"/>
      <c r="D2369" s="19"/>
      <c r="E2369" s="17"/>
      <c r="F2369" s="18"/>
      <c r="G2369" s="17"/>
      <c r="H2369" s="17"/>
    </row>
    <row r="2370" spans="1:8" s="10" customFormat="1" x14ac:dyDescent="0.25">
      <c r="A2370" s="18"/>
      <c r="C2370" s="17"/>
      <c r="D2370" s="19"/>
      <c r="E2370" s="17"/>
      <c r="F2370" s="18"/>
      <c r="G2370" s="17"/>
      <c r="H2370" s="17"/>
    </row>
    <row r="2371" spans="1:8" s="10" customFormat="1" x14ac:dyDescent="0.25">
      <c r="A2371" s="18"/>
      <c r="C2371" s="17"/>
      <c r="D2371" s="19"/>
      <c r="E2371" s="17"/>
      <c r="F2371" s="18"/>
      <c r="G2371" s="17"/>
      <c r="H2371" s="17"/>
    </row>
    <row r="2372" spans="1:8" s="10" customFormat="1" x14ac:dyDescent="0.25">
      <c r="A2372" s="18"/>
      <c r="C2372" s="17"/>
      <c r="D2372" s="19"/>
      <c r="E2372" s="17"/>
      <c r="F2372" s="18"/>
      <c r="G2372" s="17"/>
      <c r="H2372" s="17"/>
    </row>
    <row r="2373" spans="1:8" s="10" customFormat="1" x14ac:dyDescent="0.25">
      <c r="A2373" s="18"/>
      <c r="C2373" s="17"/>
      <c r="D2373" s="19"/>
      <c r="E2373" s="17"/>
      <c r="F2373" s="18"/>
      <c r="G2373" s="17"/>
      <c r="H2373" s="17"/>
    </row>
    <row r="2374" spans="1:8" s="10" customFormat="1" x14ac:dyDescent="0.25">
      <c r="A2374" s="18"/>
      <c r="C2374" s="17"/>
      <c r="D2374" s="19"/>
      <c r="E2374" s="17"/>
      <c r="F2374" s="18"/>
      <c r="G2374" s="17"/>
      <c r="H2374" s="17"/>
    </row>
    <row r="2375" spans="1:8" s="10" customFormat="1" x14ac:dyDescent="0.25">
      <c r="A2375" s="18"/>
      <c r="C2375" s="17"/>
      <c r="D2375" s="19"/>
      <c r="E2375" s="17"/>
      <c r="F2375" s="18"/>
      <c r="G2375" s="17"/>
      <c r="H2375" s="17"/>
    </row>
    <row r="2376" spans="1:8" s="10" customFormat="1" x14ac:dyDescent="0.25">
      <c r="A2376" s="18"/>
      <c r="C2376" s="17"/>
      <c r="D2376" s="19"/>
      <c r="E2376" s="17"/>
      <c r="F2376" s="18"/>
      <c r="G2376" s="17"/>
      <c r="H2376" s="17"/>
    </row>
    <row r="2377" spans="1:8" s="10" customFormat="1" x14ac:dyDescent="0.25">
      <c r="A2377" s="18"/>
      <c r="C2377" s="17"/>
      <c r="D2377" s="19"/>
      <c r="E2377" s="17"/>
      <c r="F2377" s="18"/>
      <c r="G2377" s="17"/>
      <c r="H2377" s="17"/>
    </row>
    <row r="2378" spans="1:8" s="10" customFormat="1" x14ac:dyDescent="0.25">
      <c r="A2378" s="18"/>
      <c r="C2378" s="17"/>
      <c r="D2378" s="19"/>
      <c r="E2378" s="17"/>
      <c r="F2378" s="18"/>
      <c r="G2378" s="17"/>
      <c r="H2378" s="17"/>
    </row>
    <row r="2379" spans="1:8" s="10" customFormat="1" x14ac:dyDescent="0.25">
      <c r="A2379" s="18"/>
      <c r="C2379" s="17"/>
      <c r="D2379" s="19"/>
      <c r="E2379" s="17"/>
      <c r="F2379" s="18"/>
      <c r="G2379" s="17"/>
      <c r="H2379" s="17"/>
    </row>
    <row r="2380" spans="1:8" s="10" customFormat="1" x14ac:dyDescent="0.25">
      <c r="A2380" s="18"/>
      <c r="C2380" s="17"/>
      <c r="D2380" s="19"/>
      <c r="E2380" s="17"/>
      <c r="F2380" s="18"/>
      <c r="G2380" s="17"/>
      <c r="H2380" s="17"/>
    </row>
    <row r="2381" spans="1:8" s="10" customFormat="1" x14ac:dyDescent="0.25">
      <c r="A2381" s="18"/>
      <c r="C2381" s="17"/>
      <c r="D2381" s="19"/>
      <c r="E2381" s="17"/>
      <c r="F2381" s="18"/>
      <c r="G2381" s="17"/>
      <c r="H2381" s="17"/>
    </row>
    <row r="2382" spans="1:8" s="10" customFormat="1" x14ac:dyDescent="0.25">
      <c r="A2382" s="18"/>
      <c r="C2382" s="17"/>
      <c r="D2382" s="19"/>
      <c r="E2382" s="17"/>
      <c r="F2382" s="18"/>
      <c r="G2382" s="17"/>
      <c r="H2382" s="17"/>
    </row>
    <row r="2383" spans="1:8" s="10" customFormat="1" x14ac:dyDescent="0.25">
      <c r="A2383" s="18"/>
      <c r="C2383" s="17"/>
      <c r="D2383" s="19"/>
      <c r="E2383" s="17"/>
      <c r="F2383" s="18"/>
      <c r="G2383" s="17"/>
      <c r="H2383" s="17"/>
    </row>
    <row r="2384" spans="1:8" s="10" customFormat="1" x14ac:dyDescent="0.25">
      <c r="A2384" s="18"/>
      <c r="C2384" s="17"/>
      <c r="D2384" s="19"/>
      <c r="E2384" s="17"/>
      <c r="F2384" s="18"/>
      <c r="G2384" s="17"/>
      <c r="H2384" s="17"/>
    </row>
    <row r="2385" spans="1:8" s="10" customFormat="1" x14ac:dyDescent="0.25">
      <c r="A2385" s="18"/>
      <c r="C2385" s="17"/>
      <c r="D2385" s="19"/>
      <c r="E2385" s="17"/>
      <c r="F2385" s="18"/>
      <c r="G2385" s="17"/>
      <c r="H2385" s="17"/>
    </row>
    <row r="2386" spans="1:8" s="10" customFormat="1" x14ac:dyDescent="0.25">
      <c r="A2386" s="18"/>
      <c r="C2386" s="17"/>
      <c r="D2386" s="19"/>
      <c r="E2386" s="17"/>
      <c r="F2386" s="18"/>
      <c r="G2386" s="17"/>
      <c r="H2386" s="17"/>
    </row>
    <row r="2387" spans="1:8" s="10" customFormat="1" x14ac:dyDescent="0.25">
      <c r="A2387" s="18"/>
      <c r="C2387" s="17"/>
      <c r="D2387" s="19"/>
      <c r="E2387" s="17"/>
      <c r="F2387" s="18"/>
      <c r="G2387" s="17"/>
      <c r="H2387" s="17"/>
    </row>
    <row r="2388" spans="1:8" s="10" customFormat="1" x14ac:dyDescent="0.25">
      <c r="A2388" s="18"/>
      <c r="C2388" s="17"/>
      <c r="D2388" s="19"/>
      <c r="E2388" s="17"/>
      <c r="F2388" s="18"/>
      <c r="G2388" s="17"/>
      <c r="H2388" s="17"/>
    </row>
    <row r="2389" spans="1:8" s="10" customFormat="1" x14ac:dyDescent="0.25">
      <c r="A2389" s="18"/>
      <c r="C2389" s="17"/>
      <c r="D2389" s="19"/>
      <c r="E2389" s="17"/>
      <c r="F2389" s="18"/>
      <c r="G2389" s="17"/>
      <c r="H2389" s="17"/>
    </row>
    <row r="2390" spans="1:8" s="10" customFormat="1" x14ac:dyDescent="0.25">
      <c r="A2390" s="18"/>
      <c r="C2390" s="17"/>
      <c r="D2390" s="19"/>
      <c r="E2390" s="17"/>
      <c r="F2390" s="18"/>
      <c r="G2390" s="17"/>
      <c r="H2390" s="17"/>
    </row>
    <row r="2391" spans="1:8" s="10" customFormat="1" x14ac:dyDescent="0.25">
      <c r="A2391" s="18"/>
      <c r="C2391" s="17"/>
      <c r="D2391" s="19"/>
      <c r="E2391" s="17"/>
      <c r="F2391" s="18"/>
      <c r="G2391" s="17"/>
      <c r="H2391" s="17"/>
    </row>
    <row r="2392" spans="1:8" s="10" customFormat="1" x14ac:dyDescent="0.25">
      <c r="A2392" s="18"/>
      <c r="C2392" s="17"/>
      <c r="D2392" s="19"/>
      <c r="E2392" s="17"/>
      <c r="F2392" s="18"/>
      <c r="G2392" s="17"/>
      <c r="H2392" s="17"/>
    </row>
    <row r="2393" spans="1:8" s="10" customFormat="1" x14ac:dyDescent="0.25">
      <c r="A2393" s="18"/>
      <c r="C2393" s="17"/>
      <c r="D2393" s="19"/>
      <c r="E2393" s="17"/>
      <c r="F2393" s="18"/>
      <c r="G2393" s="17"/>
      <c r="H2393" s="17"/>
    </row>
    <row r="2394" spans="1:8" s="10" customFormat="1" x14ac:dyDescent="0.25">
      <c r="A2394" s="18"/>
      <c r="C2394" s="17"/>
      <c r="D2394" s="19"/>
      <c r="E2394" s="17"/>
      <c r="F2394" s="18"/>
      <c r="G2394" s="17"/>
      <c r="H2394" s="17"/>
    </row>
    <row r="2395" spans="1:8" s="10" customFormat="1" x14ac:dyDescent="0.25">
      <c r="A2395" s="18"/>
      <c r="C2395" s="17"/>
      <c r="D2395" s="19"/>
      <c r="E2395" s="17"/>
      <c r="F2395" s="18"/>
      <c r="G2395" s="17"/>
      <c r="H2395" s="17"/>
    </row>
    <row r="2396" spans="1:8" s="10" customFormat="1" x14ac:dyDescent="0.25">
      <c r="A2396" s="18"/>
      <c r="C2396" s="17"/>
      <c r="D2396" s="19"/>
      <c r="E2396" s="17"/>
      <c r="F2396" s="18"/>
      <c r="G2396" s="17"/>
      <c r="H2396" s="17"/>
    </row>
    <row r="2397" spans="1:8" s="10" customFormat="1" x14ac:dyDescent="0.25">
      <c r="A2397" s="18"/>
      <c r="C2397" s="17"/>
      <c r="D2397" s="19"/>
      <c r="E2397" s="17"/>
      <c r="F2397" s="18"/>
      <c r="G2397" s="17"/>
      <c r="H2397" s="17"/>
    </row>
    <row r="2398" spans="1:8" s="10" customFormat="1" x14ac:dyDescent="0.25">
      <c r="A2398" s="18"/>
      <c r="C2398" s="17"/>
      <c r="D2398" s="19"/>
      <c r="E2398" s="17"/>
      <c r="F2398" s="18"/>
      <c r="G2398" s="17"/>
      <c r="H2398" s="17"/>
    </row>
    <row r="2399" spans="1:8" s="10" customFormat="1" x14ac:dyDescent="0.25">
      <c r="A2399" s="18"/>
      <c r="C2399" s="17"/>
      <c r="D2399" s="19"/>
      <c r="E2399" s="17"/>
      <c r="F2399" s="18"/>
      <c r="G2399" s="17"/>
      <c r="H2399" s="17"/>
    </row>
    <row r="2400" spans="1:8" s="10" customFormat="1" x14ac:dyDescent="0.25">
      <c r="A2400" s="18"/>
      <c r="C2400" s="17"/>
      <c r="D2400" s="19"/>
      <c r="E2400" s="17"/>
      <c r="F2400" s="18"/>
      <c r="G2400" s="17"/>
      <c r="H2400" s="17"/>
    </row>
    <row r="2401" spans="1:8" s="10" customFormat="1" x14ac:dyDescent="0.25">
      <c r="A2401" s="18"/>
      <c r="C2401" s="17"/>
      <c r="D2401" s="19"/>
      <c r="E2401" s="17"/>
      <c r="F2401" s="18"/>
      <c r="G2401" s="17"/>
      <c r="H2401" s="17"/>
    </row>
    <row r="2402" spans="1:8" s="10" customFormat="1" x14ac:dyDescent="0.25">
      <c r="A2402" s="18"/>
      <c r="C2402" s="17"/>
      <c r="D2402" s="19"/>
      <c r="E2402" s="17"/>
      <c r="F2402" s="18"/>
      <c r="G2402" s="17"/>
      <c r="H2402" s="17"/>
    </row>
    <row r="2403" spans="1:8" s="10" customFormat="1" x14ac:dyDescent="0.25">
      <c r="A2403" s="18"/>
      <c r="C2403" s="17"/>
      <c r="D2403" s="19"/>
      <c r="E2403" s="17"/>
      <c r="F2403" s="18"/>
      <c r="G2403" s="17"/>
      <c r="H2403" s="17"/>
    </row>
    <row r="2404" spans="1:8" s="10" customFormat="1" x14ac:dyDescent="0.25">
      <c r="A2404" s="18"/>
      <c r="C2404" s="17"/>
      <c r="D2404" s="19"/>
      <c r="E2404" s="17"/>
      <c r="F2404" s="18"/>
      <c r="G2404" s="17"/>
      <c r="H2404" s="17"/>
    </row>
    <row r="2405" spans="1:8" s="10" customFormat="1" x14ac:dyDescent="0.25">
      <c r="A2405" s="18"/>
      <c r="C2405" s="17"/>
      <c r="D2405" s="19"/>
      <c r="E2405" s="17"/>
      <c r="F2405" s="18"/>
      <c r="G2405" s="17"/>
      <c r="H2405" s="17"/>
    </row>
    <row r="2406" spans="1:8" s="10" customFormat="1" x14ac:dyDescent="0.25">
      <c r="A2406" s="18"/>
      <c r="C2406" s="17"/>
      <c r="D2406" s="19"/>
      <c r="E2406" s="17"/>
      <c r="F2406" s="18"/>
      <c r="G2406" s="17"/>
      <c r="H2406" s="17"/>
    </row>
    <row r="2407" spans="1:8" s="10" customFormat="1" x14ac:dyDescent="0.25">
      <c r="A2407" s="18"/>
      <c r="C2407" s="17"/>
      <c r="D2407" s="19"/>
      <c r="E2407" s="17"/>
      <c r="F2407" s="18"/>
      <c r="G2407" s="17"/>
      <c r="H2407" s="17"/>
    </row>
    <row r="2408" spans="1:8" s="10" customFormat="1" x14ac:dyDescent="0.25">
      <c r="A2408" s="18"/>
      <c r="C2408" s="17"/>
      <c r="D2408" s="19"/>
      <c r="E2408" s="17"/>
      <c r="F2408" s="18"/>
      <c r="G2408" s="17"/>
      <c r="H2408" s="17"/>
    </row>
    <row r="2409" spans="1:8" s="10" customFormat="1" x14ac:dyDescent="0.25">
      <c r="A2409" s="18"/>
      <c r="C2409" s="17"/>
      <c r="D2409" s="19"/>
      <c r="E2409" s="17"/>
      <c r="F2409" s="18"/>
      <c r="G2409" s="17"/>
      <c r="H2409" s="17"/>
    </row>
    <row r="2410" spans="1:8" s="10" customFormat="1" x14ac:dyDescent="0.25">
      <c r="A2410" s="18"/>
      <c r="C2410" s="17"/>
      <c r="D2410" s="19"/>
      <c r="E2410" s="17"/>
      <c r="F2410" s="18"/>
      <c r="G2410" s="17"/>
      <c r="H2410" s="17"/>
    </row>
    <row r="2411" spans="1:8" s="10" customFormat="1" x14ac:dyDescent="0.25">
      <c r="A2411" s="18"/>
      <c r="C2411" s="17"/>
      <c r="D2411" s="19"/>
      <c r="E2411" s="17"/>
      <c r="F2411" s="18"/>
      <c r="G2411" s="17"/>
      <c r="H2411" s="17"/>
    </row>
    <row r="2412" spans="1:8" s="10" customFormat="1" x14ac:dyDescent="0.25">
      <c r="A2412" s="18"/>
      <c r="C2412" s="17"/>
      <c r="D2412" s="19"/>
      <c r="E2412" s="17"/>
      <c r="F2412" s="18"/>
      <c r="G2412" s="17"/>
      <c r="H2412" s="17"/>
    </row>
    <row r="2413" spans="1:8" s="10" customFormat="1" x14ac:dyDescent="0.25">
      <c r="A2413" s="18"/>
      <c r="C2413" s="17"/>
      <c r="D2413" s="19"/>
      <c r="E2413" s="17"/>
      <c r="F2413" s="18"/>
      <c r="G2413" s="17"/>
      <c r="H2413" s="17"/>
    </row>
    <row r="2414" spans="1:8" s="10" customFormat="1" x14ac:dyDescent="0.25">
      <c r="A2414" s="18"/>
      <c r="C2414" s="17"/>
      <c r="D2414" s="19"/>
      <c r="E2414" s="17"/>
      <c r="F2414" s="18"/>
      <c r="G2414" s="17"/>
      <c r="H2414" s="17"/>
    </row>
    <row r="2415" spans="1:8" s="10" customFormat="1" x14ac:dyDescent="0.25">
      <c r="A2415" s="18"/>
      <c r="C2415" s="17"/>
      <c r="D2415" s="19"/>
      <c r="E2415" s="17"/>
      <c r="F2415" s="18"/>
      <c r="G2415" s="17"/>
      <c r="H2415" s="17"/>
    </row>
    <row r="2416" spans="1:8" s="10" customFormat="1" x14ac:dyDescent="0.25">
      <c r="A2416" s="18"/>
      <c r="C2416" s="17"/>
      <c r="D2416" s="19"/>
      <c r="E2416" s="17"/>
      <c r="F2416" s="18"/>
      <c r="G2416" s="17"/>
      <c r="H2416" s="17"/>
    </row>
    <row r="2417" spans="1:8" s="10" customFormat="1" x14ac:dyDescent="0.25">
      <c r="A2417" s="18"/>
      <c r="C2417" s="17"/>
      <c r="D2417" s="19"/>
      <c r="E2417" s="17"/>
      <c r="F2417" s="18"/>
      <c r="G2417" s="17"/>
      <c r="H2417" s="17"/>
    </row>
    <row r="2418" spans="1:8" s="10" customFormat="1" x14ac:dyDescent="0.25">
      <c r="A2418" s="18"/>
      <c r="C2418" s="17"/>
      <c r="D2418" s="19"/>
      <c r="E2418" s="17"/>
      <c r="F2418" s="18"/>
      <c r="G2418" s="17"/>
      <c r="H2418" s="17"/>
    </row>
    <row r="2419" spans="1:8" s="10" customFormat="1" x14ac:dyDescent="0.25">
      <c r="A2419" s="18"/>
      <c r="C2419" s="17"/>
      <c r="D2419" s="19"/>
      <c r="E2419" s="17"/>
      <c r="F2419" s="18"/>
      <c r="G2419" s="17"/>
      <c r="H2419" s="17"/>
    </row>
    <row r="2420" spans="1:8" s="10" customFormat="1" x14ac:dyDescent="0.25">
      <c r="A2420" s="18"/>
      <c r="C2420" s="17"/>
      <c r="D2420" s="19"/>
      <c r="E2420" s="17"/>
      <c r="F2420" s="18"/>
      <c r="G2420" s="17"/>
      <c r="H2420" s="17"/>
    </row>
    <row r="2421" spans="1:8" s="10" customFormat="1" x14ac:dyDescent="0.25">
      <c r="A2421" s="18"/>
      <c r="C2421" s="17"/>
      <c r="D2421" s="19"/>
      <c r="E2421" s="17"/>
      <c r="F2421" s="18"/>
      <c r="G2421" s="17"/>
      <c r="H2421" s="17"/>
    </row>
    <row r="2422" spans="1:8" s="10" customFormat="1" x14ac:dyDescent="0.25">
      <c r="A2422" s="18"/>
      <c r="C2422" s="17"/>
      <c r="D2422" s="19"/>
      <c r="E2422" s="17"/>
      <c r="F2422" s="18"/>
      <c r="G2422" s="17"/>
      <c r="H2422" s="17"/>
    </row>
    <row r="2423" spans="1:8" s="10" customFormat="1" x14ac:dyDescent="0.25">
      <c r="A2423" s="18"/>
      <c r="C2423" s="17"/>
      <c r="D2423" s="19"/>
      <c r="E2423" s="17"/>
      <c r="F2423" s="18"/>
      <c r="G2423" s="17"/>
      <c r="H2423" s="17"/>
    </row>
    <row r="2424" spans="1:8" s="10" customFormat="1" x14ac:dyDescent="0.25">
      <c r="A2424" s="18"/>
      <c r="C2424" s="17"/>
      <c r="D2424" s="19"/>
      <c r="E2424" s="17"/>
      <c r="F2424" s="18"/>
      <c r="G2424" s="17"/>
      <c r="H2424" s="17"/>
    </row>
    <row r="2425" spans="1:8" s="10" customFormat="1" x14ac:dyDescent="0.25">
      <c r="A2425" s="18"/>
      <c r="C2425" s="17"/>
      <c r="D2425" s="19"/>
      <c r="E2425" s="17"/>
      <c r="F2425" s="18"/>
      <c r="G2425" s="17"/>
      <c r="H2425" s="17"/>
    </row>
    <row r="2426" spans="1:8" s="10" customFormat="1" x14ac:dyDescent="0.25">
      <c r="A2426" s="18"/>
      <c r="C2426" s="17"/>
      <c r="D2426" s="19"/>
      <c r="E2426" s="17"/>
      <c r="F2426" s="18"/>
      <c r="G2426" s="17"/>
      <c r="H2426" s="17"/>
    </row>
    <row r="2427" spans="1:8" s="10" customFormat="1" x14ac:dyDescent="0.25">
      <c r="A2427" s="18"/>
      <c r="C2427" s="17"/>
      <c r="D2427" s="19"/>
      <c r="E2427" s="17"/>
      <c r="F2427" s="18"/>
      <c r="G2427" s="17"/>
      <c r="H2427" s="17"/>
    </row>
    <row r="2428" spans="1:8" s="10" customFormat="1" x14ac:dyDescent="0.25">
      <c r="A2428" s="18"/>
      <c r="C2428" s="17"/>
      <c r="D2428" s="19"/>
      <c r="E2428" s="17"/>
      <c r="F2428" s="18"/>
      <c r="G2428" s="17"/>
      <c r="H2428" s="17"/>
    </row>
    <row r="2429" spans="1:8" s="10" customFormat="1" x14ac:dyDescent="0.25">
      <c r="A2429" s="18"/>
      <c r="C2429" s="17"/>
      <c r="D2429" s="19"/>
      <c r="E2429" s="17"/>
      <c r="F2429" s="18"/>
      <c r="G2429" s="17"/>
      <c r="H2429" s="17"/>
    </row>
    <row r="2430" spans="1:8" s="10" customFormat="1" x14ac:dyDescent="0.25">
      <c r="A2430" s="18"/>
      <c r="C2430" s="17"/>
      <c r="D2430" s="19"/>
      <c r="E2430" s="17"/>
      <c r="F2430" s="18"/>
      <c r="G2430" s="17"/>
      <c r="H2430" s="17"/>
    </row>
    <row r="2431" spans="1:8" s="10" customFormat="1" x14ac:dyDescent="0.25">
      <c r="A2431" s="18"/>
      <c r="C2431" s="17"/>
      <c r="D2431" s="19"/>
      <c r="E2431" s="17"/>
      <c r="F2431" s="18"/>
      <c r="G2431" s="17"/>
      <c r="H2431" s="17"/>
    </row>
    <row r="2432" spans="1:8" s="10" customFormat="1" x14ac:dyDescent="0.25">
      <c r="A2432" s="18"/>
      <c r="C2432" s="17"/>
      <c r="D2432" s="19"/>
      <c r="E2432" s="17"/>
      <c r="F2432" s="18"/>
      <c r="G2432" s="17"/>
      <c r="H2432" s="17"/>
    </row>
    <row r="2433" spans="1:8" s="10" customFormat="1" x14ac:dyDescent="0.25">
      <c r="A2433" s="18"/>
      <c r="C2433" s="17"/>
      <c r="D2433" s="19"/>
      <c r="E2433" s="17"/>
      <c r="F2433" s="18"/>
      <c r="G2433" s="17"/>
      <c r="H2433" s="17"/>
    </row>
    <row r="2434" spans="1:8" s="10" customFormat="1" x14ac:dyDescent="0.25">
      <c r="A2434" s="18"/>
      <c r="C2434" s="17"/>
      <c r="D2434" s="19"/>
      <c r="E2434" s="17"/>
      <c r="F2434" s="18"/>
      <c r="G2434" s="17"/>
      <c r="H2434" s="17"/>
    </row>
    <row r="2435" spans="1:8" s="10" customFormat="1" x14ac:dyDescent="0.25">
      <c r="A2435" s="18"/>
      <c r="C2435" s="17"/>
      <c r="D2435" s="19"/>
      <c r="E2435" s="17"/>
      <c r="F2435" s="18"/>
      <c r="G2435" s="17"/>
      <c r="H2435" s="17"/>
    </row>
    <row r="2436" spans="1:8" s="10" customFormat="1" x14ac:dyDescent="0.25">
      <c r="A2436" s="18"/>
      <c r="C2436" s="17"/>
      <c r="D2436" s="19"/>
      <c r="E2436" s="17"/>
      <c r="F2436" s="18"/>
      <c r="G2436" s="17"/>
      <c r="H2436" s="17"/>
    </row>
    <row r="2437" spans="1:8" s="10" customFormat="1" x14ac:dyDescent="0.25">
      <c r="A2437" s="18"/>
      <c r="C2437" s="17"/>
      <c r="D2437" s="19"/>
      <c r="E2437" s="17"/>
      <c r="F2437" s="18"/>
      <c r="G2437" s="17"/>
      <c r="H2437" s="17"/>
    </row>
    <row r="2438" spans="1:8" s="10" customFormat="1" x14ac:dyDescent="0.25">
      <c r="A2438" s="18"/>
      <c r="C2438" s="17"/>
      <c r="D2438" s="19"/>
      <c r="E2438" s="17"/>
      <c r="F2438" s="18"/>
      <c r="G2438" s="17"/>
      <c r="H2438" s="17"/>
    </row>
    <row r="2439" spans="1:8" s="10" customFormat="1" x14ac:dyDescent="0.25">
      <c r="A2439" s="18"/>
      <c r="C2439" s="17"/>
      <c r="D2439" s="19"/>
      <c r="E2439" s="17"/>
      <c r="F2439" s="18"/>
      <c r="G2439" s="17"/>
      <c r="H2439" s="17"/>
    </row>
    <row r="2440" spans="1:8" s="10" customFormat="1" x14ac:dyDescent="0.25">
      <c r="A2440" s="18"/>
      <c r="C2440" s="17"/>
      <c r="D2440" s="19"/>
      <c r="E2440" s="17"/>
      <c r="F2440" s="18"/>
      <c r="G2440" s="17"/>
      <c r="H2440" s="17"/>
    </row>
    <row r="2441" spans="1:8" s="10" customFormat="1" x14ac:dyDescent="0.25">
      <c r="A2441" s="18"/>
      <c r="C2441" s="17"/>
      <c r="D2441" s="19"/>
      <c r="E2441" s="17"/>
      <c r="F2441" s="18"/>
      <c r="G2441" s="17"/>
      <c r="H2441" s="17"/>
    </row>
    <row r="2442" spans="1:8" s="10" customFormat="1" x14ac:dyDescent="0.25">
      <c r="A2442" s="18"/>
      <c r="C2442" s="17"/>
      <c r="D2442" s="19"/>
      <c r="E2442" s="17"/>
      <c r="F2442" s="18"/>
      <c r="G2442" s="17"/>
      <c r="H2442" s="17"/>
    </row>
    <row r="2443" spans="1:8" s="10" customFormat="1" x14ac:dyDescent="0.25">
      <c r="A2443" s="18"/>
      <c r="C2443" s="17"/>
      <c r="D2443" s="19"/>
      <c r="E2443" s="17"/>
      <c r="F2443" s="18"/>
      <c r="G2443" s="17"/>
      <c r="H2443" s="17"/>
    </row>
    <row r="2444" spans="1:8" s="10" customFormat="1" x14ac:dyDescent="0.25">
      <c r="A2444" s="18"/>
      <c r="C2444" s="17"/>
      <c r="D2444" s="19"/>
      <c r="E2444" s="17"/>
      <c r="F2444" s="18"/>
      <c r="G2444" s="17"/>
      <c r="H2444" s="17"/>
    </row>
    <row r="2445" spans="1:8" s="10" customFormat="1" x14ac:dyDescent="0.25">
      <c r="A2445" s="18"/>
      <c r="C2445" s="17"/>
      <c r="D2445" s="19"/>
      <c r="E2445" s="17"/>
      <c r="F2445" s="18"/>
      <c r="G2445" s="17"/>
      <c r="H2445" s="17"/>
    </row>
    <row r="2446" spans="1:8" s="10" customFormat="1" x14ac:dyDescent="0.25">
      <c r="A2446" s="18"/>
      <c r="C2446" s="17"/>
      <c r="D2446" s="19"/>
      <c r="E2446" s="17"/>
      <c r="F2446" s="18"/>
      <c r="G2446" s="17"/>
      <c r="H2446" s="17"/>
    </row>
    <row r="2447" spans="1:8" s="10" customFormat="1" x14ac:dyDescent="0.25">
      <c r="A2447" s="18"/>
      <c r="C2447" s="17"/>
      <c r="D2447" s="19"/>
      <c r="E2447" s="17"/>
      <c r="F2447" s="18"/>
      <c r="G2447" s="17"/>
      <c r="H2447" s="17"/>
    </row>
    <row r="2448" spans="1:8" s="10" customFormat="1" x14ac:dyDescent="0.25">
      <c r="A2448" s="18"/>
      <c r="C2448" s="17"/>
      <c r="D2448" s="19"/>
      <c r="E2448" s="17"/>
      <c r="F2448" s="18"/>
      <c r="G2448" s="17"/>
      <c r="H2448" s="17"/>
    </row>
    <row r="2449" spans="1:8" s="10" customFormat="1" x14ac:dyDescent="0.25">
      <c r="A2449" s="18"/>
      <c r="C2449" s="17"/>
      <c r="D2449" s="19"/>
      <c r="E2449" s="17"/>
      <c r="F2449" s="18"/>
      <c r="G2449" s="17"/>
      <c r="H2449" s="17"/>
    </row>
    <row r="2450" spans="1:8" s="10" customFormat="1" x14ac:dyDescent="0.25">
      <c r="A2450" s="18"/>
      <c r="C2450" s="17"/>
      <c r="D2450" s="19"/>
      <c r="E2450" s="17"/>
      <c r="F2450" s="18"/>
      <c r="G2450" s="17"/>
      <c r="H2450" s="17"/>
    </row>
    <row r="2451" spans="1:8" s="10" customFormat="1" x14ac:dyDescent="0.25">
      <c r="A2451" s="18"/>
      <c r="C2451" s="17"/>
      <c r="D2451" s="19"/>
      <c r="E2451" s="17"/>
      <c r="F2451" s="18"/>
      <c r="G2451" s="17"/>
      <c r="H2451" s="17"/>
    </row>
    <row r="2452" spans="1:8" s="10" customFormat="1" x14ac:dyDescent="0.25">
      <c r="A2452" s="18"/>
      <c r="C2452" s="17"/>
      <c r="D2452" s="19"/>
      <c r="E2452" s="17"/>
      <c r="F2452" s="18"/>
      <c r="G2452" s="17"/>
      <c r="H2452" s="17"/>
    </row>
    <row r="2453" spans="1:8" s="10" customFormat="1" x14ac:dyDescent="0.25">
      <c r="A2453" s="18"/>
      <c r="C2453" s="17"/>
      <c r="D2453" s="19"/>
      <c r="E2453" s="17"/>
      <c r="F2453" s="18"/>
      <c r="G2453" s="17"/>
      <c r="H2453" s="17"/>
    </row>
    <row r="2454" spans="1:8" s="10" customFormat="1" x14ac:dyDescent="0.25">
      <c r="A2454" s="18"/>
      <c r="C2454" s="17"/>
      <c r="D2454" s="19"/>
      <c r="E2454" s="17"/>
      <c r="F2454" s="18"/>
      <c r="G2454" s="17"/>
      <c r="H2454" s="17"/>
    </row>
    <row r="2455" spans="1:8" s="10" customFormat="1" x14ac:dyDescent="0.25">
      <c r="A2455" s="18"/>
      <c r="C2455" s="17"/>
      <c r="D2455" s="19"/>
      <c r="E2455" s="17"/>
      <c r="F2455" s="18"/>
      <c r="G2455" s="17"/>
      <c r="H2455" s="17"/>
    </row>
    <row r="2456" spans="1:8" s="10" customFormat="1" x14ac:dyDescent="0.25">
      <c r="A2456" s="18"/>
      <c r="C2456" s="17"/>
      <c r="D2456" s="19"/>
      <c r="E2456" s="17"/>
      <c r="F2456" s="18"/>
      <c r="G2456" s="17"/>
      <c r="H2456" s="17"/>
    </row>
    <row r="2457" spans="1:8" s="10" customFormat="1" x14ac:dyDescent="0.25">
      <c r="A2457" s="18"/>
      <c r="C2457" s="17"/>
      <c r="D2457" s="19"/>
      <c r="E2457" s="17"/>
      <c r="F2457" s="18"/>
      <c r="G2457" s="17"/>
      <c r="H2457" s="17"/>
    </row>
    <row r="2458" spans="1:8" s="10" customFormat="1" x14ac:dyDescent="0.25">
      <c r="A2458" s="18"/>
      <c r="C2458" s="17"/>
      <c r="D2458" s="19"/>
      <c r="E2458" s="17"/>
      <c r="F2458" s="18"/>
      <c r="G2458" s="17"/>
      <c r="H2458" s="17"/>
    </row>
    <row r="2459" spans="1:8" s="10" customFormat="1" x14ac:dyDescent="0.25">
      <c r="A2459" s="18"/>
      <c r="C2459" s="17"/>
      <c r="D2459" s="19"/>
      <c r="E2459" s="17"/>
      <c r="F2459" s="18"/>
      <c r="G2459" s="17"/>
      <c r="H2459" s="17"/>
    </row>
    <row r="2460" spans="1:8" s="10" customFormat="1" x14ac:dyDescent="0.25">
      <c r="A2460" s="18"/>
      <c r="C2460" s="17"/>
      <c r="D2460" s="19"/>
      <c r="E2460" s="17"/>
      <c r="F2460" s="18"/>
      <c r="G2460" s="17"/>
      <c r="H2460" s="17"/>
    </row>
    <row r="2461" spans="1:8" s="10" customFormat="1" x14ac:dyDescent="0.25">
      <c r="A2461" s="18"/>
      <c r="C2461" s="17"/>
      <c r="D2461" s="19"/>
      <c r="E2461" s="17"/>
      <c r="F2461" s="18"/>
      <c r="G2461" s="17"/>
      <c r="H2461" s="17"/>
    </row>
    <row r="2462" spans="1:8" s="10" customFormat="1" x14ac:dyDescent="0.25">
      <c r="A2462" s="18"/>
      <c r="C2462" s="17"/>
      <c r="D2462" s="19"/>
      <c r="E2462" s="17"/>
      <c r="F2462" s="18"/>
      <c r="G2462" s="17"/>
      <c r="H2462" s="17"/>
    </row>
    <row r="2463" spans="1:8" s="10" customFormat="1" x14ac:dyDescent="0.25">
      <c r="A2463" s="18"/>
      <c r="C2463" s="17"/>
      <c r="D2463" s="19"/>
      <c r="E2463" s="17"/>
      <c r="F2463" s="18"/>
      <c r="G2463" s="17"/>
      <c r="H2463" s="17"/>
    </row>
    <row r="2464" spans="1:8" s="10" customFormat="1" x14ac:dyDescent="0.25">
      <c r="A2464" s="18"/>
      <c r="C2464" s="17"/>
      <c r="D2464" s="19"/>
      <c r="E2464" s="17"/>
      <c r="F2464" s="18"/>
      <c r="G2464" s="17"/>
      <c r="H2464" s="17"/>
    </row>
    <row r="2465" spans="1:8" s="10" customFormat="1" x14ac:dyDescent="0.25">
      <c r="A2465" s="18"/>
      <c r="C2465" s="17"/>
      <c r="D2465" s="19"/>
      <c r="E2465" s="17"/>
      <c r="F2465" s="18"/>
      <c r="G2465" s="17"/>
      <c r="H2465" s="17"/>
    </row>
    <row r="2466" spans="1:8" s="10" customFormat="1" x14ac:dyDescent="0.25">
      <c r="A2466" s="18"/>
      <c r="C2466" s="17"/>
      <c r="D2466" s="19"/>
      <c r="E2466" s="17"/>
      <c r="F2466" s="18"/>
      <c r="G2466" s="17"/>
      <c r="H2466" s="17"/>
    </row>
    <row r="2467" spans="1:8" s="10" customFormat="1" x14ac:dyDescent="0.25">
      <c r="A2467" s="18"/>
      <c r="C2467" s="17"/>
      <c r="D2467" s="19"/>
      <c r="E2467" s="17"/>
      <c r="F2467" s="18"/>
      <c r="G2467" s="17"/>
      <c r="H2467" s="17"/>
    </row>
    <row r="2468" spans="1:8" s="10" customFormat="1" x14ac:dyDescent="0.25">
      <c r="A2468" s="18"/>
      <c r="C2468" s="17"/>
      <c r="D2468" s="19"/>
      <c r="E2468" s="17"/>
      <c r="F2468" s="18"/>
      <c r="G2468" s="17"/>
      <c r="H2468" s="17"/>
    </row>
    <row r="2469" spans="1:8" s="10" customFormat="1" x14ac:dyDescent="0.25">
      <c r="A2469" s="18"/>
      <c r="C2469" s="17"/>
      <c r="D2469" s="19"/>
      <c r="E2469" s="17"/>
      <c r="F2469" s="18"/>
      <c r="G2469" s="17"/>
      <c r="H2469" s="17"/>
    </row>
    <row r="2470" spans="1:8" s="10" customFormat="1" x14ac:dyDescent="0.25">
      <c r="A2470" s="18"/>
      <c r="C2470" s="17"/>
      <c r="D2470" s="19"/>
      <c r="E2470" s="17"/>
      <c r="F2470" s="18"/>
      <c r="G2470" s="17"/>
      <c r="H2470" s="17"/>
    </row>
    <row r="2471" spans="1:8" s="10" customFormat="1" x14ac:dyDescent="0.25">
      <c r="A2471" s="18"/>
      <c r="C2471" s="17"/>
      <c r="D2471" s="19"/>
      <c r="E2471" s="17"/>
      <c r="F2471" s="18"/>
      <c r="G2471" s="17"/>
      <c r="H2471" s="17"/>
    </row>
    <row r="2472" spans="1:8" s="10" customFormat="1" x14ac:dyDescent="0.25">
      <c r="A2472" s="18"/>
      <c r="C2472" s="17"/>
      <c r="D2472" s="19"/>
      <c r="E2472" s="17"/>
      <c r="F2472" s="18"/>
      <c r="G2472" s="17"/>
      <c r="H2472" s="17"/>
    </row>
    <row r="2473" spans="1:8" s="10" customFormat="1" x14ac:dyDescent="0.25">
      <c r="A2473" s="18"/>
      <c r="C2473" s="17"/>
      <c r="D2473" s="19"/>
      <c r="E2473" s="17"/>
      <c r="F2473" s="18"/>
      <c r="G2473" s="17"/>
      <c r="H2473" s="17"/>
    </row>
    <row r="2474" spans="1:8" s="10" customFormat="1" x14ac:dyDescent="0.25">
      <c r="A2474" s="18"/>
      <c r="C2474" s="17"/>
      <c r="D2474" s="19"/>
      <c r="E2474" s="17"/>
      <c r="F2474" s="18"/>
      <c r="G2474" s="17"/>
      <c r="H2474" s="17"/>
    </row>
    <row r="2475" spans="1:8" s="10" customFormat="1" x14ac:dyDescent="0.25">
      <c r="A2475" s="18"/>
      <c r="C2475" s="17"/>
      <c r="D2475" s="19"/>
      <c r="E2475" s="17"/>
      <c r="F2475" s="18"/>
      <c r="G2475" s="17"/>
      <c r="H2475" s="17"/>
    </row>
    <row r="2476" spans="1:8" s="10" customFormat="1" x14ac:dyDescent="0.25">
      <c r="A2476" s="18"/>
      <c r="C2476" s="17"/>
      <c r="D2476" s="19"/>
      <c r="E2476" s="17"/>
      <c r="F2476" s="18"/>
      <c r="G2476" s="17"/>
      <c r="H2476" s="17"/>
    </row>
    <row r="2477" spans="1:8" s="10" customFormat="1" x14ac:dyDescent="0.25">
      <c r="A2477" s="18"/>
      <c r="C2477" s="17"/>
      <c r="D2477" s="19"/>
      <c r="E2477" s="17"/>
      <c r="F2477" s="18"/>
      <c r="G2477" s="17"/>
      <c r="H2477" s="17"/>
    </row>
    <row r="2478" spans="1:8" s="10" customFormat="1" x14ac:dyDescent="0.25">
      <c r="A2478" s="18"/>
      <c r="C2478" s="17"/>
      <c r="D2478" s="19"/>
      <c r="E2478" s="17"/>
      <c r="F2478" s="18"/>
      <c r="G2478" s="17"/>
      <c r="H2478" s="17"/>
    </row>
    <row r="2479" spans="1:8" s="10" customFormat="1" x14ac:dyDescent="0.25">
      <c r="A2479" s="18"/>
      <c r="C2479" s="17"/>
      <c r="D2479" s="19"/>
      <c r="E2479" s="17"/>
      <c r="F2479" s="18"/>
      <c r="G2479" s="17"/>
      <c r="H2479" s="17"/>
    </row>
    <row r="2480" spans="1:8" s="10" customFormat="1" x14ac:dyDescent="0.25">
      <c r="A2480" s="18"/>
      <c r="C2480" s="17"/>
      <c r="D2480" s="19"/>
      <c r="E2480" s="17"/>
      <c r="F2480" s="18"/>
      <c r="G2480" s="17"/>
      <c r="H2480" s="17"/>
    </row>
    <row r="2481" spans="1:8" s="10" customFormat="1" x14ac:dyDescent="0.25">
      <c r="A2481" s="18"/>
      <c r="C2481" s="17"/>
      <c r="D2481" s="19"/>
      <c r="E2481" s="17"/>
      <c r="F2481" s="18"/>
      <c r="G2481" s="17"/>
      <c r="H2481" s="17"/>
    </row>
    <row r="2482" spans="1:8" s="10" customFormat="1" x14ac:dyDescent="0.25">
      <c r="A2482" s="18"/>
      <c r="C2482" s="17"/>
      <c r="D2482" s="19"/>
      <c r="E2482" s="17"/>
      <c r="F2482" s="18"/>
      <c r="G2482" s="17"/>
      <c r="H2482" s="17"/>
    </row>
    <row r="2483" spans="1:8" s="10" customFormat="1" x14ac:dyDescent="0.25">
      <c r="A2483" s="18"/>
      <c r="C2483" s="17"/>
      <c r="D2483" s="19"/>
      <c r="E2483" s="17"/>
      <c r="F2483" s="18"/>
      <c r="G2483" s="17"/>
      <c r="H2483" s="17"/>
    </row>
    <row r="2484" spans="1:8" s="10" customFormat="1" x14ac:dyDescent="0.25">
      <c r="A2484" s="18"/>
      <c r="C2484" s="17"/>
      <c r="D2484" s="19"/>
      <c r="E2484" s="17"/>
      <c r="F2484" s="18"/>
      <c r="G2484" s="17"/>
      <c r="H2484" s="17"/>
    </row>
    <row r="2485" spans="1:8" s="10" customFormat="1" x14ac:dyDescent="0.25">
      <c r="A2485" s="18"/>
      <c r="C2485" s="17"/>
      <c r="D2485" s="19"/>
      <c r="E2485" s="17"/>
      <c r="F2485" s="18"/>
      <c r="G2485" s="17"/>
      <c r="H2485" s="17"/>
    </row>
    <row r="2486" spans="1:8" s="10" customFormat="1" x14ac:dyDescent="0.25">
      <c r="A2486" s="18"/>
      <c r="C2486" s="17"/>
      <c r="D2486" s="19"/>
      <c r="E2486" s="17"/>
      <c r="F2486" s="18"/>
      <c r="G2486" s="17"/>
      <c r="H2486" s="17"/>
    </row>
    <row r="2487" spans="1:8" s="10" customFormat="1" x14ac:dyDescent="0.25">
      <c r="A2487" s="18"/>
      <c r="C2487" s="17"/>
      <c r="D2487" s="19"/>
      <c r="E2487" s="17"/>
      <c r="F2487" s="18"/>
      <c r="G2487" s="17"/>
      <c r="H2487" s="17"/>
    </row>
    <row r="2488" spans="1:8" s="10" customFormat="1" x14ac:dyDescent="0.25">
      <c r="A2488" s="18"/>
      <c r="C2488" s="17"/>
      <c r="D2488" s="19"/>
      <c r="E2488" s="17"/>
      <c r="F2488" s="18"/>
      <c r="G2488" s="17"/>
      <c r="H2488" s="17"/>
    </row>
    <row r="2489" spans="1:8" s="10" customFormat="1" x14ac:dyDescent="0.25">
      <c r="A2489" s="18"/>
      <c r="C2489" s="17"/>
      <c r="D2489" s="19"/>
      <c r="E2489" s="17"/>
      <c r="F2489" s="18"/>
      <c r="G2489" s="17"/>
      <c r="H2489" s="17"/>
    </row>
    <row r="2490" spans="1:8" s="10" customFormat="1" x14ac:dyDescent="0.25">
      <c r="A2490" s="18"/>
      <c r="C2490" s="17"/>
      <c r="D2490" s="19"/>
      <c r="E2490" s="17"/>
      <c r="F2490" s="18"/>
      <c r="G2490" s="17"/>
      <c r="H2490" s="17"/>
    </row>
    <row r="2491" spans="1:8" s="10" customFormat="1" x14ac:dyDescent="0.25">
      <c r="A2491" s="18"/>
      <c r="C2491" s="17"/>
      <c r="D2491" s="19"/>
      <c r="E2491" s="17"/>
      <c r="F2491" s="18"/>
      <c r="G2491" s="17"/>
      <c r="H2491" s="17"/>
    </row>
    <row r="2492" spans="1:8" s="10" customFormat="1" x14ac:dyDescent="0.25">
      <c r="A2492" s="18"/>
      <c r="C2492" s="17"/>
      <c r="D2492" s="19"/>
      <c r="E2492" s="17"/>
      <c r="F2492" s="18"/>
      <c r="G2492" s="17"/>
      <c r="H2492" s="17"/>
    </row>
    <row r="2493" spans="1:8" s="10" customFormat="1" x14ac:dyDescent="0.25">
      <c r="A2493" s="18"/>
      <c r="C2493" s="17"/>
      <c r="D2493" s="19"/>
      <c r="E2493" s="17"/>
      <c r="F2493" s="18"/>
      <c r="G2493" s="17"/>
      <c r="H2493" s="17"/>
    </row>
    <row r="2494" spans="1:8" s="10" customFormat="1" x14ac:dyDescent="0.25">
      <c r="A2494" s="18"/>
      <c r="C2494" s="17"/>
      <c r="D2494" s="19"/>
      <c r="E2494" s="17"/>
      <c r="F2494" s="18"/>
      <c r="G2494" s="17"/>
      <c r="H2494" s="17"/>
    </row>
    <row r="2495" spans="1:8" s="10" customFormat="1" x14ac:dyDescent="0.25">
      <c r="A2495" s="18"/>
      <c r="C2495" s="17"/>
      <c r="D2495" s="19"/>
      <c r="E2495" s="17"/>
      <c r="F2495" s="18"/>
      <c r="G2495" s="17"/>
      <c r="H2495" s="17"/>
    </row>
    <row r="2496" spans="1:8" s="10" customFormat="1" x14ac:dyDescent="0.25">
      <c r="A2496" s="18"/>
      <c r="C2496" s="17"/>
      <c r="D2496" s="19"/>
      <c r="E2496" s="17"/>
      <c r="F2496" s="18"/>
      <c r="G2496" s="17"/>
      <c r="H2496" s="17"/>
    </row>
    <row r="2497" spans="1:8" s="10" customFormat="1" x14ac:dyDescent="0.25">
      <c r="A2497" s="18"/>
      <c r="C2497" s="17"/>
      <c r="D2497" s="19"/>
      <c r="E2497" s="17"/>
      <c r="F2497" s="18"/>
      <c r="G2497" s="17"/>
      <c r="H2497" s="17"/>
    </row>
    <row r="2498" spans="1:8" s="10" customFormat="1" x14ac:dyDescent="0.25">
      <c r="A2498" s="18"/>
      <c r="C2498" s="17"/>
      <c r="D2498" s="19"/>
      <c r="E2498" s="17"/>
      <c r="F2498" s="18"/>
      <c r="G2498" s="17"/>
      <c r="H2498" s="17"/>
    </row>
    <row r="2499" spans="1:8" s="10" customFormat="1" x14ac:dyDescent="0.25">
      <c r="A2499" s="18"/>
      <c r="C2499" s="17"/>
      <c r="D2499" s="19"/>
      <c r="E2499" s="17"/>
      <c r="F2499" s="18"/>
      <c r="G2499" s="17"/>
      <c r="H2499" s="17"/>
    </row>
    <row r="2500" spans="1:8" s="10" customFormat="1" x14ac:dyDescent="0.25">
      <c r="A2500" s="18"/>
      <c r="C2500" s="17"/>
      <c r="D2500" s="19"/>
      <c r="E2500" s="17"/>
      <c r="F2500" s="18"/>
      <c r="G2500" s="17"/>
      <c r="H2500" s="17"/>
    </row>
    <row r="2501" spans="1:8" s="10" customFormat="1" x14ac:dyDescent="0.25">
      <c r="A2501" s="18"/>
      <c r="C2501" s="17"/>
      <c r="D2501" s="19"/>
      <c r="E2501" s="17"/>
      <c r="F2501" s="18"/>
      <c r="G2501" s="17"/>
      <c r="H2501" s="17"/>
    </row>
    <row r="2502" spans="1:8" s="10" customFormat="1" x14ac:dyDescent="0.25">
      <c r="A2502" s="18"/>
      <c r="C2502" s="17"/>
      <c r="D2502" s="19"/>
      <c r="E2502" s="17"/>
      <c r="F2502" s="18"/>
      <c r="G2502" s="17"/>
      <c r="H2502" s="17"/>
    </row>
    <row r="2503" spans="1:8" s="10" customFormat="1" x14ac:dyDescent="0.25">
      <c r="A2503" s="18"/>
      <c r="C2503" s="17"/>
      <c r="D2503" s="19"/>
      <c r="E2503" s="17"/>
      <c r="F2503" s="18"/>
      <c r="G2503" s="17"/>
      <c r="H2503" s="17"/>
    </row>
    <row r="2504" spans="1:8" s="10" customFormat="1" x14ac:dyDescent="0.25">
      <c r="A2504" s="18"/>
      <c r="C2504" s="17"/>
      <c r="D2504" s="19"/>
      <c r="E2504" s="17"/>
      <c r="F2504" s="18"/>
      <c r="G2504" s="17"/>
      <c r="H2504" s="17"/>
    </row>
    <row r="2505" spans="1:8" s="10" customFormat="1" x14ac:dyDescent="0.25">
      <c r="A2505" s="18"/>
      <c r="C2505" s="17"/>
      <c r="D2505" s="19"/>
      <c r="E2505" s="17"/>
      <c r="F2505" s="18"/>
      <c r="G2505" s="17"/>
      <c r="H2505" s="17"/>
    </row>
    <row r="2506" spans="1:8" s="10" customFormat="1" x14ac:dyDescent="0.25">
      <c r="A2506" s="18"/>
      <c r="C2506" s="17"/>
      <c r="D2506" s="19"/>
      <c r="E2506" s="17"/>
      <c r="F2506" s="18"/>
      <c r="G2506" s="17"/>
      <c r="H2506" s="17"/>
    </row>
    <row r="2507" spans="1:8" s="10" customFormat="1" x14ac:dyDescent="0.25">
      <c r="A2507" s="18"/>
      <c r="C2507" s="17"/>
      <c r="D2507" s="19"/>
      <c r="E2507" s="17"/>
      <c r="F2507" s="18"/>
      <c r="G2507" s="17"/>
      <c r="H2507" s="17"/>
    </row>
    <row r="2508" spans="1:8" s="10" customFormat="1" x14ac:dyDescent="0.25">
      <c r="A2508" s="18"/>
      <c r="C2508" s="17"/>
      <c r="D2508" s="19"/>
      <c r="E2508" s="17"/>
      <c r="F2508" s="18"/>
      <c r="G2508" s="17"/>
      <c r="H2508" s="17"/>
    </row>
    <row r="2509" spans="1:8" s="10" customFormat="1" x14ac:dyDescent="0.25">
      <c r="A2509" s="18"/>
      <c r="C2509" s="17"/>
      <c r="D2509" s="19"/>
      <c r="E2509" s="17"/>
      <c r="F2509" s="18"/>
      <c r="G2509" s="17"/>
      <c r="H2509" s="17"/>
    </row>
    <row r="2510" spans="1:8" s="10" customFormat="1" x14ac:dyDescent="0.25">
      <c r="A2510" s="18"/>
      <c r="C2510" s="17"/>
      <c r="D2510" s="19"/>
      <c r="E2510" s="17"/>
      <c r="F2510" s="18"/>
      <c r="G2510" s="17"/>
      <c r="H2510" s="17"/>
    </row>
    <row r="2511" spans="1:8" s="10" customFormat="1" x14ac:dyDescent="0.25">
      <c r="A2511" s="18"/>
      <c r="C2511" s="17"/>
      <c r="D2511" s="19"/>
      <c r="E2511" s="17"/>
      <c r="F2511" s="18"/>
      <c r="G2511" s="17"/>
      <c r="H2511" s="17"/>
    </row>
    <row r="2512" spans="1:8" s="10" customFormat="1" x14ac:dyDescent="0.25">
      <c r="A2512" s="18"/>
      <c r="C2512" s="17"/>
      <c r="D2512" s="19"/>
      <c r="E2512" s="17"/>
      <c r="F2512" s="18"/>
      <c r="G2512" s="17"/>
      <c r="H2512" s="17"/>
    </row>
    <row r="2513" spans="1:8" s="10" customFormat="1" x14ac:dyDescent="0.25">
      <c r="A2513" s="18"/>
      <c r="C2513" s="17"/>
      <c r="D2513" s="19"/>
      <c r="E2513" s="17"/>
      <c r="F2513" s="18"/>
      <c r="G2513" s="17"/>
      <c r="H2513" s="17"/>
    </row>
    <row r="2514" spans="1:8" s="10" customFormat="1" x14ac:dyDescent="0.25">
      <c r="A2514" s="18"/>
      <c r="C2514" s="17"/>
      <c r="D2514" s="19"/>
      <c r="E2514" s="17"/>
      <c r="F2514" s="18"/>
      <c r="G2514" s="17"/>
      <c r="H2514" s="17"/>
    </row>
    <row r="2515" spans="1:8" s="10" customFormat="1" x14ac:dyDescent="0.25">
      <c r="A2515" s="18"/>
      <c r="C2515" s="17"/>
      <c r="D2515" s="19"/>
      <c r="E2515" s="17"/>
      <c r="F2515" s="18"/>
      <c r="G2515" s="17"/>
      <c r="H2515" s="17"/>
    </row>
    <row r="2516" spans="1:8" s="10" customFormat="1" x14ac:dyDescent="0.25">
      <c r="A2516" s="18"/>
      <c r="C2516" s="17"/>
      <c r="D2516" s="19"/>
      <c r="E2516" s="17"/>
      <c r="F2516" s="18"/>
      <c r="G2516" s="17"/>
      <c r="H2516" s="17"/>
    </row>
    <row r="2517" spans="1:8" s="10" customFormat="1" x14ac:dyDescent="0.25">
      <c r="A2517" s="18"/>
      <c r="C2517" s="17"/>
      <c r="D2517" s="19"/>
      <c r="E2517" s="17"/>
      <c r="F2517" s="18"/>
      <c r="G2517" s="17"/>
      <c r="H2517" s="17"/>
    </row>
    <row r="2518" spans="1:8" s="10" customFormat="1" x14ac:dyDescent="0.25">
      <c r="A2518" s="18"/>
      <c r="C2518" s="17"/>
      <c r="D2518" s="19"/>
      <c r="E2518" s="17"/>
      <c r="F2518" s="18"/>
      <c r="G2518" s="17"/>
      <c r="H2518" s="17"/>
    </row>
    <row r="2519" spans="1:8" s="10" customFormat="1" x14ac:dyDescent="0.25">
      <c r="A2519" s="18"/>
      <c r="C2519" s="17"/>
      <c r="D2519" s="19"/>
      <c r="E2519" s="17"/>
      <c r="F2519" s="18"/>
      <c r="G2519" s="17"/>
      <c r="H2519" s="17"/>
    </row>
    <row r="2520" spans="1:8" s="10" customFormat="1" x14ac:dyDescent="0.25">
      <c r="A2520" s="18"/>
      <c r="C2520" s="17"/>
      <c r="D2520" s="19"/>
      <c r="E2520" s="17"/>
      <c r="F2520" s="18"/>
      <c r="G2520" s="17"/>
      <c r="H2520" s="17"/>
    </row>
    <row r="2521" spans="1:8" s="10" customFormat="1" x14ac:dyDescent="0.25">
      <c r="A2521" s="18"/>
      <c r="C2521" s="17"/>
      <c r="D2521" s="19"/>
      <c r="E2521" s="17"/>
      <c r="F2521" s="18"/>
      <c r="G2521" s="17"/>
      <c r="H2521" s="17"/>
    </row>
    <row r="2522" spans="1:8" s="10" customFormat="1" x14ac:dyDescent="0.25">
      <c r="A2522" s="18"/>
      <c r="C2522" s="17"/>
      <c r="D2522" s="19"/>
      <c r="E2522" s="17"/>
      <c r="F2522" s="18"/>
      <c r="G2522" s="17"/>
      <c r="H2522" s="17"/>
    </row>
    <row r="2523" spans="1:8" s="10" customFormat="1" x14ac:dyDescent="0.25">
      <c r="A2523" s="18"/>
      <c r="C2523" s="17"/>
      <c r="D2523" s="19"/>
      <c r="E2523" s="17"/>
      <c r="F2523" s="18"/>
      <c r="G2523" s="17"/>
      <c r="H2523" s="17"/>
    </row>
    <row r="2524" spans="1:8" s="10" customFormat="1" x14ac:dyDescent="0.25">
      <c r="A2524" s="18"/>
      <c r="C2524" s="17"/>
      <c r="D2524" s="19"/>
      <c r="E2524" s="17"/>
      <c r="F2524" s="18"/>
      <c r="G2524" s="17"/>
      <c r="H2524" s="17"/>
    </row>
    <row r="2525" spans="1:8" s="10" customFormat="1" x14ac:dyDescent="0.25">
      <c r="A2525" s="18"/>
      <c r="C2525" s="17"/>
      <c r="D2525" s="19"/>
      <c r="E2525" s="17"/>
      <c r="F2525" s="18"/>
      <c r="G2525" s="17"/>
      <c r="H2525" s="17"/>
    </row>
    <row r="2526" spans="1:8" s="10" customFormat="1" x14ac:dyDescent="0.25">
      <c r="A2526" s="18"/>
      <c r="C2526" s="17"/>
      <c r="D2526" s="19"/>
      <c r="E2526" s="17"/>
      <c r="F2526" s="18"/>
      <c r="G2526" s="17"/>
      <c r="H2526" s="17"/>
    </row>
    <row r="2527" spans="1:8" s="10" customFormat="1" x14ac:dyDescent="0.25">
      <c r="A2527" s="18"/>
      <c r="C2527" s="17"/>
      <c r="D2527" s="19"/>
      <c r="E2527" s="17"/>
      <c r="F2527" s="18"/>
      <c r="G2527" s="17"/>
      <c r="H2527" s="17"/>
    </row>
    <row r="2528" spans="1:8" s="10" customFormat="1" x14ac:dyDescent="0.25">
      <c r="A2528" s="18"/>
      <c r="C2528" s="17"/>
      <c r="D2528" s="19"/>
      <c r="E2528" s="17"/>
      <c r="F2528" s="18"/>
      <c r="G2528" s="17"/>
      <c r="H2528" s="17"/>
    </row>
    <row r="2529" spans="1:8" s="10" customFormat="1" x14ac:dyDescent="0.25">
      <c r="A2529" s="18"/>
      <c r="C2529" s="17"/>
      <c r="D2529" s="19"/>
      <c r="E2529" s="17"/>
      <c r="F2529" s="18"/>
      <c r="G2529" s="17"/>
      <c r="H2529" s="17"/>
    </row>
    <row r="2530" spans="1:8" s="10" customFormat="1" x14ac:dyDescent="0.25">
      <c r="A2530" s="18"/>
      <c r="C2530" s="17"/>
      <c r="D2530" s="19"/>
      <c r="E2530" s="17"/>
      <c r="F2530" s="18"/>
      <c r="G2530" s="17"/>
      <c r="H2530" s="17"/>
    </row>
    <row r="2531" spans="1:8" s="10" customFormat="1" x14ac:dyDescent="0.25">
      <c r="A2531" s="18"/>
      <c r="C2531" s="17"/>
      <c r="D2531" s="19"/>
      <c r="E2531" s="17"/>
      <c r="F2531" s="18"/>
      <c r="G2531" s="17"/>
      <c r="H2531" s="17"/>
    </row>
    <row r="2532" spans="1:8" s="10" customFormat="1" x14ac:dyDescent="0.25">
      <c r="A2532" s="18"/>
      <c r="C2532" s="17"/>
      <c r="D2532" s="19"/>
      <c r="E2532" s="17"/>
      <c r="F2532" s="18"/>
      <c r="G2532" s="17"/>
      <c r="H2532" s="17"/>
    </row>
    <row r="2533" spans="1:8" s="10" customFormat="1" x14ac:dyDescent="0.25">
      <c r="A2533" s="18"/>
      <c r="C2533" s="17"/>
      <c r="D2533" s="19"/>
      <c r="E2533" s="17"/>
      <c r="F2533" s="18"/>
      <c r="G2533" s="17"/>
      <c r="H2533" s="17"/>
    </row>
    <row r="2534" spans="1:8" s="10" customFormat="1" x14ac:dyDescent="0.25">
      <c r="A2534" s="18"/>
      <c r="C2534" s="17"/>
      <c r="D2534" s="19"/>
      <c r="E2534" s="17"/>
      <c r="F2534" s="18"/>
      <c r="G2534" s="17"/>
      <c r="H2534" s="17"/>
    </row>
    <row r="2535" spans="1:8" s="10" customFormat="1" x14ac:dyDescent="0.25">
      <c r="A2535" s="18"/>
      <c r="C2535" s="17"/>
      <c r="D2535" s="19"/>
      <c r="E2535" s="17"/>
      <c r="F2535" s="18"/>
      <c r="G2535" s="17"/>
      <c r="H2535" s="17"/>
    </row>
    <row r="2536" spans="1:8" s="10" customFormat="1" x14ac:dyDescent="0.25">
      <c r="A2536" s="18"/>
      <c r="C2536" s="17"/>
      <c r="D2536" s="19"/>
      <c r="E2536" s="17"/>
      <c r="F2536" s="18"/>
      <c r="G2536" s="17"/>
      <c r="H2536" s="17"/>
    </row>
    <row r="2537" spans="1:8" s="10" customFormat="1" x14ac:dyDescent="0.25">
      <c r="A2537" s="18"/>
      <c r="C2537" s="17"/>
      <c r="D2537" s="19"/>
      <c r="E2537" s="17"/>
      <c r="F2537" s="18"/>
      <c r="G2537" s="17"/>
      <c r="H2537" s="17"/>
    </row>
    <row r="2538" spans="1:8" s="10" customFormat="1" x14ac:dyDescent="0.25">
      <c r="A2538" s="18"/>
      <c r="C2538" s="17"/>
      <c r="D2538" s="19"/>
      <c r="E2538" s="17"/>
      <c r="F2538" s="18"/>
      <c r="G2538" s="17"/>
      <c r="H2538" s="17"/>
    </row>
    <row r="2539" spans="1:8" s="10" customFormat="1" x14ac:dyDescent="0.25">
      <c r="A2539" s="18"/>
      <c r="C2539" s="17"/>
      <c r="D2539" s="19"/>
      <c r="E2539" s="17"/>
      <c r="F2539" s="18"/>
      <c r="G2539" s="17"/>
      <c r="H2539" s="17"/>
    </row>
    <row r="2540" spans="1:8" s="10" customFormat="1" x14ac:dyDescent="0.25">
      <c r="A2540" s="18"/>
      <c r="C2540" s="17"/>
      <c r="D2540" s="19"/>
      <c r="E2540" s="17"/>
      <c r="F2540" s="18"/>
      <c r="G2540" s="17"/>
      <c r="H2540" s="17"/>
    </row>
    <row r="2541" spans="1:8" s="10" customFormat="1" x14ac:dyDescent="0.25">
      <c r="A2541" s="18"/>
      <c r="C2541" s="17"/>
      <c r="D2541" s="19"/>
      <c r="E2541" s="17"/>
      <c r="F2541" s="18"/>
      <c r="G2541" s="17"/>
      <c r="H2541" s="17"/>
    </row>
    <row r="2542" spans="1:8" s="10" customFormat="1" x14ac:dyDescent="0.25">
      <c r="A2542" s="18"/>
      <c r="C2542" s="17"/>
      <c r="D2542" s="19"/>
      <c r="E2542" s="17"/>
      <c r="F2542" s="18"/>
      <c r="G2542" s="17"/>
      <c r="H2542" s="17"/>
    </row>
    <row r="2543" spans="1:8" s="10" customFormat="1" x14ac:dyDescent="0.25">
      <c r="A2543" s="18"/>
      <c r="C2543" s="17"/>
      <c r="D2543" s="19"/>
      <c r="E2543" s="17"/>
      <c r="F2543" s="18"/>
      <c r="G2543" s="17"/>
      <c r="H2543" s="17"/>
    </row>
    <row r="2544" spans="1:8" s="10" customFormat="1" x14ac:dyDescent="0.25">
      <c r="A2544" s="18"/>
      <c r="C2544" s="17"/>
      <c r="D2544" s="19"/>
      <c r="E2544" s="17"/>
      <c r="F2544" s="18"/>
      <c r="G2544" s="17"/>
      <c r="H2544" s="17"/>
    </row>
    <row r="2545" spans="1:8" s="10" customFormat="1" x14ac:dyDescent="0.25">
      <c r="A2545" s="18"/>
      <c r="C2545" s="17"/>
      <c r="D2545" s="19"/>
      <c r="E2545" s="17"/>
      <c r="F2545" s="18"/>
      <c r="G2545" s="17"/>
      <c r="H2545" s="17"/>
    </row>
    <row r="2546" spans="1:8" s="10" customFormat="1" x14ac:dyDescent="0.25">
      <c r="A2546" s="18"/>
      <c r="C2546" s="17"/>
      <c r="D2546" s="19"/>
      <c r="E2546" s="17"/>
      <c r="F2546" s="18"/>
      <c r="G2546" s="17"/>
      <c r="H2546" s="17"/>
    </row>
    <row r="2547" spans="1:8" s="10" customFormat="1" x14ac:dyDescent="0.25">
      <c r="A2547" s="18"/>
      <c r="C2547" s="17"/>
      <c r="D2547" s="19"/>
      <c r="E2547" s="17"/>
      <c r="F2547" s="18"/>
      <c r="G2547" s="17"/>
      <c r="H2547" s="17"/>
    </row>
    <row r="2548" spans="1:8" s="10" customFormat="1" x14ac:dyDescent="0.25">
      <c r="A2548" s="18"/>
      <c r="C2548" s="17"/>
      <c r="D2548" s="19"/>
      <c r="E2548" s="17"/>
      <c r="F2548" s="18"/>
      <c r="G2548" s="17"/>
      <c r="H2548" s="17"/>
    </row>
    <row r="2549" spans="1:8" s="10" customFormat="1" x14ac:dyDescent="0.25">
      <c r="A2549" s="18"/>
      <c r="C2549" s="17"/>
      <c r="D2549" s="19"/>
      <c r="E2549" s="17"/>
      <c r="F2549" s="18"/>
      <c r="G2549" s="17"/>
      <c r="H2549" s="17"/>
    </row>
    <row r="2550" spans="1:8" s="10" customFormat="1" x14ac:dyDescent="0.25">
      <c r="A2550" s="18"/>
      <c r="C2550" s="17"/>
      <c r="D2550" s="19"/>
      <c r="E2550" s="17"/>
      <c r="F2550" s="18"/>
      <c r="G2550" s="17"/>
      <c r="H2550" s="17"/>
    </row>
    <row r="2551" spans="1:8" s="10" customFormat="1" x14ac:dyDescent="0.25">
      <c r="A2551" s="18"/>
      <c r="C2551" s="17"/>
      <c r="D2551" s="19"/>
      <c r="E2551" s="17"/>
      <c r="F2551" s="18"/>
      <c r="G2551" s="17"/>
      <c r="H2551" s="17"/>
    </row>
    <row r="2552" spans="1:8" s="10" customFormat="1" x14ac:dyDescent="0.25">
      <c r="A2552" s="18"/>
      <c r="C2552" s="17"/>
      <c r="D2552" s="19"/>
      <c r="E2552" s="17"/>
      <c r="F2552" s="18"/>
      <c r="G2552" s="17"/>
      <c r="H2552" s="17"/>
    </row>
    <row r="2553" spans="1:8" s="10" customFormat="1" x14ac:dyDescent="0.25">
      <c r="A2553" s="18"/>
      <c r="C2553" s="17"/>
      <c r="D2553" s="19"/>
      <c r="E2553" s="17"/>
      <c r="F2553" s="18"/>
      <c r="G2553" s="17"/>
      <c r="H2553" s="17"/>
    </row>
    <row r="2554" spans="1:8" s="10" customFormat="1" x14ac:dyDescent="0.25">
      <c r="A2554" s="18"/>
      <c r="C2554" s="17"/>
      <c r="D2554" s="19"/>
      <c r="E2554" s="17"/>
      <c r="F2554" s="18"/>
      <c r="G2554" s="17"/>
      <c r="H2554" s="17"/>
    </row>
    <row r="2555" spans="1:8" s="10" customFormat="1" x14ac:dyDescent="0.25">
      <c r="A2555" s="18"/>
      <c r="C2555" s="17"/>
      <c r="D2555" s="19"/>
      <c r="E2555" s="17"/>
      <c r="F2555" s="18"/>
      <c r="G2555" s="17"/>
      <c r="H2555" s="17"/>
    </row>
    <row r="2556" spans="1:8" s="10" customFormat="1" x14ac:dyDescent="0.25">
      <c r="A2556" s="18"/>
      <c r="C2556" s="17"/>
      <c r="D2556" s="19"/>
      <c r="E2556" s="17"/>
      <c r="F2556" s="18"/>
      <c r="G2556" s="17"/>
      <c r="H2556" s="17"/>
    </row>
    <row r="2557" spans="1:8" s="10" customFormat="1" x14ac:dyDescent="0.25">
      <c r="A2557" s="18"/>
      <c r="C2557" s="17"/>
      <c r="D2557" s="19"/>
      <c r="E2557" s="17"/>
      <c r="F2557" s="18"/>
      <c r="G2557" s="17"/>
      <c r="H2557" s="17"/>
    </row>
    <row r="2558" spans="1:8" s="10" customFormat="1" x14ac:dyDescent="0.25">
      <c r="A2558" s="18"/>
      <c r="C2558" s="17"/>
      <c r="D2558" s="19"/>
      <c r="E2558" s="17"/>
      <c r="F2558" s="18"/>
      <c r="G2558" s="17"/>
      <c r="H2558" s="17"/>
    </row>
    <row r="2559" spans="1:8" s="10" customFormat="1" x14ac:dyDescent="0.25">
      <c r="A2559" s="18"/>
      <c r="C2559" s="17"/>
      <c r="D2559" s="19"/>
      <c r="E2559" s="17"/>
      <c r="F2559" s="18"/>
      <c r="G2559" s="17"/>
      <c r="H2559" s="17"/>
    </row>
    <row r="2560" spans="1:8" s="10" customFormat="1" x14ac:dyDescent="0.25">
      <c r="A2560" s="18"/>
      <c r="C2560" s="17"/>
      <c r="D2560" s="19"/>
      <c r="E2560" s="17"/>
      <c r="F2560" s="18"/>
      <c r="G2560" s="17"/>
      <c r="H2560" s="17"/>
    </row>
    <row r="2561" spans="1:8" s="10" customFormat="1" x14ac:dyDescent="0.25">
      <c r="A2561" s="18"/>
      <c r="C2561" s="17"/>
      <c r="D2561" s="19"/>
      <c r="E2561" s="17"/>
      <c r="F2561" s="18"/>
      <c r="G2561" s="17"/>
      <c r="H2561" s="17"/>
    </row>
    <row r="2562" spans="1:8" s="10" customFormat="1" x14ac:dyDescent="0.25">
      <c r="A2562" s="18"/>
      <c r="C2562" s="17"/>
      <c r="D2562" s="19"/>
      <c r="E2562" s="17"/>
      <c r="F2562" s="18"/>
      <c r="G2562" s="17"/>
      <c r="H2562" s="17"/>
    </row>
    <row r="2563" spans="1:8" s="10" customFormat="1" x14ac:dyDescent="0.25">
      <c r="A2563" s="18"/>
      <c r="C2563" s="17"/>
      <c r="D2563" s="19"/>
      <c r="E2563" s="17"/>
      <c r="F2563" s="18"/>
      <c r="G2563" s="17"/>
      <c r="H2563" s="17"/>
    </row>
    <row r="2564" spans="1:8" s="10" customFormat="1" x14ac:dyDescent="0.25">
      <c r="A2564" s="18"/>
      <c r="C2564" s="17"/>
      <c r="D2564" s="19"/>
      <c r="E2564" s="17"/>
      <c r="F2564" s="18"/>
      <c r="G2564" s="17"/>
      <c r="H2564" s="17"/>
    </row>
    <row r="2565" spans="1:8" s="10" customFormat="1" x14ac:dyDescent="0.25">
      <c r="A2565" s="18"/>
      <c r="C2565" s="17"/>
      <c r="D2565" s="19"/>
      <c r="E2565" s="17"/>
      <c r="F2565" s="18"/>
      <c r="G2565" s="17"/>
      <c r="H2565" s="17"/>
    </row>
    <row r="2566" spans="1:8" s="10" customFormat="1" x14ac:dyDescent="0.25">
      <c r="A2566" s="18"/>
      <c r="C2566" s="17"/>
      <c r="D2566" s="19"/>
      <c r="E2566" s="17"/>
      <c r="F2566" s="18"/>
      <c r="G2566" s="17"/>
      <c r="H2566" s="17"/>
    </row>
    <row r="2567" spans="1:8" s="10" customFormat="1" x14ac:dyDescent="0.25">
      <c r="A2567" s="18"/>
      <c r="C2567" s="17"/>
      <c r="D2567" s="19"/>
      <c r="E2567" s="17"/>
      <c r="F2567" s="18"/>
      <c r="G2567" s="17"/>
      <c r="H2567" s="17"/>
    </row>
    <row r="2568" spans="1:8" s="10" customFormat="1" x14ac:dyDescent="0.25">
      <c r="A2568" s="18"/>
      <c r="C2568" s="17"/>
      <c r="D2568" s="19"/>
      <c r="E2568" s="17"/>
      <c r="F2568" s="18"/>
      <c r="G2568" s="17"/>
      <c r="H2568" s="17"/>
    </row>
    <row r="2569" spans="1:8" s="10" customFormat="1" x14ac:dyDescent="0.25">
      <c r="A2569" s="18"/>
      <c r="C2569" s="17"/>
      <c r="D2569" s="19"/>
      <c r="E2569" s="17"/>
      <c r="F2569" s="18"/>
      <c r="G2569" s="17"/>
      <c r="H2569" s="17"/>
    </row>
    <row r="2570" spans="1:8" s="10" customFormat="1" x14ac:dyDescent="0.25">
      <c r="A2570" s="18"/>
      <c r="C2570" s="17"/>
      <c r="D2570" s="19"/>
      <c r="E2570" s="17"/>
      <c r="F2570" s="18"/>
      <c r="G2570" s="17"/>
      <c r="H2570" s="17"/>
    </row>
    <row r="2571" spans="1:8" s="10" customFormat="1" x14ac:dyDescent="0.25">
      <c r="A2571" s="18"/>
      <c r="C2571" s="17"/>
      <c r="D2571" s="19"/>
      <c r="E2571" s="17"/>
      <c r="F2571" s="18"/>
      <c r="G2571" s="17"/>
      <c r="H2571" s="17"/>
    </row>
    <row r="2572" spans="1:8" s="10" customFormat="1" x14ac:dyDescent="0.25">
      <c r="A2572" s="18"/>
      <c r="C2572" s="17"/>
      <c r="D2572" s="19"/>
      <c r="E2572" s="17"/>
      <c r="F2572" s="18"/>
      <c r="G2572" s="17"/>
      <c r="H2572" s="17"/>
    </row>
    <row r="2573" spans="1:8" s="10" customFormat="1" x14ac:dyDescent="0.25">
      <c r="A2573" s="18"/>
      <c r="C2573" s="17"/>
      <c r="D2573" s="19"/>
      <c r="E2573" s="17"/>
      <c r="F2573" s="18"/>
      <c r="G2573" s="17"/>
      <c r="H2573" s="17"/>
    </row>
    <row r="2574" spans="1:8" s="10" customFormat="1" x14ac:dyDescent="0.25">
      <c r="A2574" s="18"/>
      <c r="C2574" s="17"/>
      <c r="D2574" s="19"/>
      <c r="E2574" s="17"/>
      <c r="F2574" s="18"/>
      <c r="G2574" s="17"/>
      <c r="H2574" s="17"/>
    </row>
    <row r="2575" spans="1:8" s="10" customFormat="1" x14ac:dyDescent="0.25">
      <c r="A2575" s="18"/>
      <c r="C2575" s="17"/>
      <c r="D2575" s="19"/>
      <c r="E2575" s="17"/>
      <c r="F2575" s="18"/>
      <c r="G2575" s="17"/>
      <c r="H2575" s="17"/>
    </row>
    <row r="2576" spans="1:8" s="10" customFormat="1" x14ac:dyDescent="0.25">
      <c r="A2576" s="18"/>
      <c r="C2576" s="17"/>
      <c r="D2576" s="19"/>
      <c r="E2576" s="17"/>
      <c r="F2576" s="18"/>
      <c r="G2576" s="17"/>
      <c r="H2576" s="17"/>
    </row>
    <row r="2577" spans="1:8" s="10" customFormat="1" x14ac:dyDescent="0.25">
      <c r="A2577" s="18"/>
      <c r="C2577" s="17"/>
      <c r="D2577" s="19"/>
      <c r="E2577" s="17"/>
      <c r="F2577" s="18"/>
      <c r="G2577" s="17"/>
      <c r="H2577" s="17"/>
    </row>
    <row r="2578" spans="1:8" s="10" customFormat="1" x14ac:dyDescent="0.25">
      <c r="A2578" s="18"/>
      <c r="C2578" s="17"/>
      <c r="D2578" s="19"/>
      <c r="E2578" s="17"/>
      <c r="F2578" s="18"/>
      <c r="G2578" s="17"/>
      <c r="H2578" s="17"/>
    </row>
    <row r="2579" spans="1:8" s="10" customFormat="1" x14ac:dyDescent="0.25">
      <c r="A2579" s="18"/>
      <c r="C2579" s="17"/>
      <c r="D2579" s="19"/>
      <c r="E2579" s="17"/>
      <c r="F2579" s="18"/>
      <c r="G2579" s="17"/>
      <c r="H2579" s="17"/>
    </row>
    <row r="2580" spans="1:8" s="10" customFormat="1" x14ac:dyDescent="0.25">
      <c r="A2580" s="18"/>
      <c r="C2580" s="17"/>
      <c r="D2580" s="19"/>
      <c r="E2580" s="17"/>
      <c r="F2580" s="18"/>
      <c r="G2580" s="17"/>
      <c r="H2580" s="17"/>
    </row>
    <row r="2581" spans="1:8" s="10" customFormat="1" x14ac:dyDescent="0.25">
      <c r="A2581" s="18"/>
      <c r="C2581" s="17"/>
      <c r="D2581" s="19"/>
      <c r="E2581" s="17"/>
      <c r="F2581" s="18"/>
      <c r="G2581" s="17"/>
      <c r="H2581" s="17"/>
    </row>
    <row r="2582" spans="1:8" s="10" customFormat="1" x14ac:dyDescent="0.25">
      <c r="A2582" s="18"/>
      <c r="C2582" s="17"/>
      <c r="D2582" s="19"/>
      <c r="E2582" s="17"/>
      <c r="F2582" s="18"/>
      <c r="G2582" s="17"/>
      <c r="H2582" s="17"/>
    </row>
    <row r="2583" spans="1:8" s="10" customFormat="1" x14ac:dyDescent="0.25">
      <c r="A2583" s="18"/>
      <c r="C2583" s="17"/>
      <c r="D2583" s="19"/>
      <c r="E2583" s="17"/>
      <c r="F2583" s="18"/>
      <c r="G2583" s="17"/>
      <c r="H2583" s="17"/>
    </row>
    <row r="2584" spans="1:8" s="10" customFormat="1" x14ac:dyDescent="0.25">
      <c r="A2584" s="18"/>
      <c r="C2584" s="17"/>
      <c r="D2584" s="19"/>
      <c r="E2584" s="17"/>
      <c r="F2584" s="18"/>
      <c r="G2584" s="17"/>
      <c r="H2584" s="17"/>
    </row>
    <row r="2585" spans="1:8" s="10" customFormat="1" x14ac:dyDescent="0.25">
      <c r="A2585" s="18"/>
      <c r="C2585" s="17"/>
      <c r="D2585" s="19"/>
      <c r="E2585" s="17"/>
      <c r="F2585" s="18"/>
      <c r="G2585" s="17"/>
      <c r="H2585" s="17"/>
    </row>
    <row r="2586" spans="1:8" s="10" customFormat="1" x14ac:dyDescent="0.25">
      <c r="A2586" s="18"/>
      <c r="C2586" s="17"/>
      <c r="D2586" s="19"/>
      <c r="E2586" s="17"/>
      <c r="F2586" s="18"/>
      <c r="G2586" s="17"/>
      <c r="H2586" s="17"/>
    </row>
    <row r="2587" spans="1:8" s="10" customFormat="1" x14ac:dyDescent="0.25">
      <c r="A2587" s="18"/>
      <c r="C2587" s="17"/>
      <c r="D2587" s="19"/>
      <c r="E2587" s="17"/>
      <c r="F2587" s="18"/>
      <c r="G2587" s="17"/>
      <c r="H2587" s="17"/>
    </row>
    <row r="2588" spans="1:8" s="10" customFormat="1" x14ac:dyDescent="0.25">
      <c r="A2588" s="18"/>
      <c r="C2588" s="17"/>
      <c r="D2588" s="19"/>
      <c r="E2588" s="17"/>
      <c r="F2588" s="18"/>
      <c r="G2588" s="17"/>
      <c r="H2588" s="17"/>
    </row>
    <row r="2589" spans="1:8" s="10" customFormat="1" x14ac:dyDescent="0.25">
      <c r="A2589" s="18"/>
      <c r="C2589" s="17"/>
      <c r="D2589" s="19"/>
      <c r="E2589" s="17"/>
      <c r="F2589" s="18"/>
      <c r="G2589" s="17"/>
      <c r="H2589" s="17"/>
    </row>
    <row r="2590" spans="1:8" s="10" customFormat="1" x14ac:dyDescent="0.25">
      <c r="A2590" s="18"/>
      <c r="C2590" s="17"/>
      <c r="D2590" s="19"/>
      <c r="E2590" s="17"/>
      <c r="F2590" s="18"/>
      <c r="G2590" s="17"/>
      <c r="H2590" s="17"/>
    </row>
    <row r="2591" spans="1:8" s="10" customFormat="1" x14ac:dyDescent="0.25">
      <c r="A2591" s="18"/>
      <c r="C2591" s="17"/>
      <c r="D2591" s="19"/>
      <c r="E2591" s="17"/>
      <c r="F2591" s="18"/>
      <c r="G2591" s="17"/>
      <c r="H2591" s="17"/>
    </row>
    <row r="2592" spans="1:8" s="10" customFormat="1" x14ac:dyDescent="0.25">
      <c r="A2592" s="18"/>
      <c r="C2592" s="17"/>
      <c r="D2592" s="19"/>
      <c r="E2592" s="17"/>
      <c r="F2592" s="18"/>
      <c r="G2592" s="17"/>
      <c r="H2592" s="17"/>
    </row>
    <row r="2593" spans="1:8" s="10" customFormat="1" x14ac:dyDescent="0.25">
      <c r="A2593" s="18"/>
      <c r="C2593" s="17"/>
      <c r="D2593" s="19"/>
      <c r="E2593" s="17"/>
      <c r="F2593" s="18"/>
      <c r="G2593" s="17"/>
      <c r="H2593" s="17"/>
    </row>
    <row r="2594" spans="1:8" s="10" customFormat="1" x14ac:dyDescent="0.25">
      <c r="A2594" s="18"/>
      <c r="C2594" s="17"/>
      <c r="D2594" s="19"/>
      <c r="E2594" s="17"/>
      <c r="F2594" s="18"/>
      <c r="G2594" s="17"/>
      <c r="H2594" s="17"/>
    </row>
    <row r="2595" spans="1:8" s="10" customFormat="1" x14ac:dyDescent="0.25">
      <c r="A2595" s="18"/>
      <c r="C2595" s="17"/>
      <c r="D2595" s="19"/>
      <c r="E2595" s="17"/>
      <c r="F2595" s="18"/>
      <c r="G2595" s="17"/>
      <c r="H2595" s="17"/>
    </row>
    <row r="2596" spans="1:8" s="10" customFormat="1" x14ac:dyDescent="0.25">
      <c r="A2596" s="18"/>
      <c r="C2596" s="17"/>
      <c r="D2596" s="19"/>
      <c r="E2596" s="17"/>
      <c r="F2596" s="18"/>
      <c r="G2596" s="17"/>
      <c r="H2596" s="17"/>
    </row>
    <row r="2597" spans="1:8" s="10" customFormat="1" x14ac:dyDescent="0.25">
      <c r="A2597" s="18"/>
      <c r="C2597" s="17"/>
      <c r="D2597" s="19"/>
      <c r="E2597" s="17"/>
      <c r="F2597" s="18"/>
      <c r="G2597" s="17"/>
      <c r="H2597" s="17"/>
    </row>
    <row r="2598" spans="1:8" s="10" customFormat="1" x14ac:dyDescent="0.25">
      <c r="A2598" s="18"/>
      <c r="C2598" s="17"/>
      <c r="D2598" s="19"/>
      <c r="E2598" s="17"/>
      <c r="F2598" s="18"/>
      <c r="G2598" s="17"/>
      <c r="H2598" s="17"/>
    </row>
    <row r="2599" spans="1:8" s="10" customFormat="1" x14ac:dyDescent="0.25">
      <c r="A2599" s="18"/>
      <c r="C2599" s="17"/>
      <c r="D2599" s="19"/>
      <c r="E2599" s="17"/>
      <c r="F2599" s="18"/>
      <c r="G2599" s="17"/>
      <c r="H2599" s="17"/>
    </row>
    <row r="2600" spans="1:8" s="10" customFormat="1" x14ac:dyDescent="0.25">
      <c r="A2600" s="18"/>
      <c r="C2600" s="17"/>
      <c r="D2600" s="19"/>
      <c r="E2600" s="17"/>
      <c r="F2600" s="18"/>
      <c r="G2600" s="17"/>
      <c r="H2600" s="17"/>
    </row>
    <row r="2601" spans="1:8" s="10" customFormat="1" x14ac:dyDescent="0.25">
      <c r="A2601" s="18"/>
      <c r="C2601" s="17"/>
      <c r="D2601" s="19"/>
      <c r="E2601" s="17"/>
      <c r="F2601" s="18"/>
      <c r="G2601" s="17"/>
      <c r="H2601" s="17"/>
    </row>
    <row r="2602" spans="1:8" s="10" customFormat="1" x14ac:dyDescent="0.25">
      <c r="A2602" s="18"/>
      <c r="C2602" s="17"/>
      <c r="D2602" s="19"/>
      <c r="E2602" s="17"/>
      <c r="F2602" s="18"/>
      <c r="G2602" s="17"/>
      <c r="H2602" s="17"/>
    </row>
    <row r="2603" spans="1:8" s="10" customFormat="1" x14ac:dyDescent="0.25">
      <c r="A2603" s="18"/>
      <c r="C2603" s="17"/>
      <c r="D2603" s="19"/>
      <c r="E2603" s="17"/>
      <c r="F2603" s="18"/>
      <c r="G2603" s="17"/>
      <c r="H2603" s="17"/>
    </row>
    <row r="2604" spans="1:8" s="10" customFormat="1" x14ac:dyDescent="0.25">
      <c r="A2604" s="18"/>
      <c r="C2604" s="17"/>
      <c r="D2604" s="19"/>
      <c r="E2604" s="17"/>
      <c r="F2604" s="18"/>
      <c r="G2604" s="17"/>
      <c r="H2604" s="17"/>
    </row>
    <row r="2605" spans="1:8" s="10" customFormat="1" x14ac:dyDescent="0.25">
      <c r="A2605" s="18"/>
      <c r="C2605" s="17"/>
      <c r="D2605" s="19"/>
      <c r="E2605" s="17"/>
      <c r="F2605" s="18"/>
      <c r="G2605" s="17"/>
      <c r="H2605" s="17"/>
    </row>
    <row r="2606" spans="1:8" s="10" customFormat="1" x14ac:dyDescent="0.25">
      <c r="A2606" s="18"/>
      <c r="C2606" s="17"/>
      <c r="D2606" s="19"/>
      <c r="E2606" s="17"/>
      <c r="F2606" s="18"/>
      <c r="G2606" s="17"/>
      <c r="H2606" s="17"/>
    </row>
    <row r="2607" spans="1:8" s="10" customFormat="1" x14ac:dyDescent="0.25">
      <c r="A2607" s="18"/>
      <c r="C2607" s="17"/>
      <c r="D2607" s="19"/>
      <c r="E2607" s="17"/>
      <c r="F2607" s="18"/>
      <c r="G2607" s="17"/>
      <c r="H2607" s="17"/>
    </row>
    <row r="2608" spans="1:8" s="10" customFormat="1" x14ac:dyDescent="0.25">
      <c r="A2608" s="18"/>
      <c r="C2608" s="17"/>
      <c r="D2608" s="19"/>
      <c r="E2608" s="17"/>
      <c r="F2608" s="18"/>
      <c r="G2608" s="17"/>
      <c r="H2608" s="17"/>
    </row>
    <row r="2609" spans="1:8" s="10" customFormat="1" x14ac:dyDescent="0.25">
      <c r="A2609" s="18"/>
      <c r="C2609" s="17"/>
      <c r="D2609" s="19"/>
      <c r="E2609" s="17"/>
      <c r="F2609" s="18"/>
      <c r="G2609" s="17"/>
      <c r="H2609" s="17"/>
    </row>
    <row r="2610" spans="1:8" s="10" customFormat="1" x14ac:dyDescent="0.25">
      <c r="A2610" s="18"/>
      <c r="C2610" s="17"/>
      <c r="D2610" s="19"/>
      <c r="E2610" s="17"/>
      <c r="F2610" s="18"/>
      <c r="G2610" s="17"/>
      <c r="H2610" s="17"/>
    </row>
    <row r="2611" spans="1:8" s="10" customFormat="1" x14ac:dyDescent="0.25">
      <c r="A2611" s="18"/>
      <c r="C2611" s="17"/>
      <c r="D2611" s="19"/>
      <c r="E2611" s="17"/>
      <c r="F2611" s="18"/>
      <c r="G2611" s="17"/>
      <c r="H2611" s="17"/>
    </row>
    <row r="2612" spans="1:8" s="10" customFormat="1" x14ac:dyDescent="0.25">
      <c r="A2612" s="18"/>
      <c r="C2612" s="17"/>
      <c r="D2612" s="19"/>
      <c r="E2612" s="17"/>
      <c r="F2612" s="18"/>
      <c r="G2612" s="17"/>
      <c r="H2612" s="17"/>
    </row>
    <row r="2613" spans="1:8" s="10" customFormat="1" x14ac:dyDescent="0.25">
      <c r="A2613" s="18"/>
      <c r="C2613" s="17"/>
      <c r="D2613" s="19"/>
      <c r="E2613" s="17"/>
      <c r="F2613" s="18"/>
      <c r="G2613" s="17"/>
      <c r="H2613" s="17"/>
    </row>
    <row r="2614" spans="1:8" s="10" customFormat="1" x14ac:dyDescent="0.25">
      <c r="A2614" s="18"/>
      <c r="C2614" s="17"/>
      <c r="D2614" s="19"/>
      <c r="E2614" s="17"/>
      <c r="F2614" s="18"/>
      <c r="G2614" s="17"/>
      <c r="H2614" s="17"/>
    </row>
    <row r="2615" spans="1:8" s="10" customFormat="1" x14ac:dyDescent="0.25">
      <c r="A2615" s="18"/>
      <c r="C2615" s="17"/>
      <c r="D2615" s="19"/>
      <c r="E2615" s="17"/>
      <c r="F2615" s="18"/>
      <c r="G2615" s="17"/>
      <c r="H2615" s="17"/>
    </row>
    <row r="2616" spans="1:8" s="10" customFormat="1" x14ac:dyDescent="0.25">
      <c r="A2616" s="18"/>
      <c r="C2616" s="17"/>
      <c r="D2616" s="19"/>
      <c r="E2616" s="17"/>
      <c r="F2616" s="18"/>
      <c r="G2616" s="17"/>
      <c r="H2616" s="17"/>
    </row>
    <row r="2617" spans="1:8" s="10" customFormat="1" x14ac:dyDescent="0.25">
      <c r="A2617" s="18"/>
      <c r="C2617" s="17"/>
      <c r="D2617" s="19"/>
      <c r="E2617" s="17"/>
      <c r="F2617" s="18"/>
      <c r="G2617" s="17"/>
      <c r="H2617" s="17"/>
    </row>
    <row r="2618" spans="1:8" s="10" customFormat="1" x14ac:dyDescent="0.25">
      <c r="A2618" s="18"/>
      <c r="C2618" s="17"/>
      <c r="D2618" s="19"/>
      <c r="E2618" s="17"/>
      <c r="F2618" s="18"/>
      <c r="G2618" s="17"/>
      <c r="H2618" s="17"/>
    </row>
    <row r="2619" spans="1:8" s="10" customFormat="1" x14ac:dyDescent="0.25">
      <c r="A2619" s="18"/>
      <c r="C2619" s="17"/>
      <c r="D2619" s="19"/>
      <c r="E2619" s="17"/>
      <c r="F2619" s="18"/>
      <c r="G2619" s="17"/>
      <c r="H2619" s="17"/>
    </row>
    <row r="2620" spans="1:8" s="10" customFormat="1" x14ac:dyDescent="0.25">
      <c r="A2620" s="18"/>
      <c r="C2620" s="17"/>
      <c r="D2620" s="19"/>
      <c r="E2620" s="17"/>
      <c r="F2620" s="18"/>
      <c r="G2620" s="17"/>
      <c r="H2620" s="17"/>
    </row>
    <row r="2621" spans="1:8" s="10" customFormat="1" x14ac:dyDescent="0.25">
      <c r="A2621" s="18"/>
      <c r="C2621" s="17"/>
      <c r="D2621" s="19"/>
      <c r="E2621" s="17"/>
      <c r="F2621" s="18"/>
      <c r="G2621" s="17"/>
      <c r="H2621" s="17"/>
    </row>
    <row r="2622" spans="1:8" s="10" customFormat="1" x14ac:dyDescent="0.25">
      <c r="A2622" s="18"/>
      <c r="C2622" s="17"/>
      <c r="D2622" s="19"/>
      <c r="E2622" s="17"/>
      <c r="F2622" s="18"/>
      <c r="G2622" s="17"/>
      <c r="H2622" s="17"/>
    </row>
    <row r="2623" spans="1:8" s="10" customFormat="1" x14ac:dyDescent="0.25">
      <c r="A2623" s="18"/>
      <c r="C2623" s="17"/>
      <c r="D2623" s="19"/>
      <c r="E2623" s="17"/>
      <c r="F2623" s="18"/>
      <c r="G2623" s="17"/>
      <c r="H2623" s="17"/>
    </row>
    <row r="2624" spans="1:8" s="10" customFormat="1" x14ac:dyDescent="0.25">
      <c r="A2624" s="18"/>
      <c r="C2624" s="17"/>
      <c r="D2624" s="19"/>
      <c r="E2624" s="17"/>
      <c r="F2624" s="18"/>
      <c r="G2624" s="17"/>
      <c r="H2624" s="17"/>
    </row>
    <row r="2625" spans="1:8" s="10" customFormat="1" x14ac:dyDescent="0.25">
      <c r="A2625" s="18"/>
      <c r="C2625" s="17"/>
      <c r="D2625" s="19"/>
      <c r="E2625" s="17"/>
      <c r="F2625" s="18"/>
      <c r="G2625" s="17"/>
      <c r="H2625" s="17"/>
    </row>
    <row r="2626" spans="1:8" s="10" customFormat="1" x14ac:dyDescent="0.25">
      <c r="A2626" s="18"/>
      <c r="C2626" s="17"/>
      <c r="D2626" s="19"/>
      <c r="E2626" s="17"/>
      <c r="F2626" s="18"/>
      <c r="G2626" s="17"/>
      <c r="H2626" s="17"/>
    </row>
    <row r="2627" spans="1:8" s="10" customFormat="1" x14ac:dyDescent="0.25">
      <c r="A2627" s="18"/>
      <c r="C2627" s="17"/>
      <c r="D2627" s="19"/>
      <c r="E2627" s="17"/>
      <c r="F2627" s="18"/>
      <c r="G2627" s="17"/>
      <c r="H2627" s="17"/>
    </row>
    <row r="2628" spans="1:8" s="10" customFormat="1" x14ac:dyDescent="0.25">
      <c r="A2628" s="18"/>
      <c r="C2628" s="17"/>
      <c r="D2628" s="19"/>
      <c r="E2628" s="17"/>
      <c r="F2628" s="18"/>
      <c r="G2628" s="17"/>
      <c r="H2628" s="17"/>
    </row>
    <row r="2629" spans="1:8" s="10" customFormat="1" x14ac:dyDescent="0.25">
      <c r="A2629" s="18"/>
      <c r="C2629" s="17"/>
      <c r="D2629" s="19"/>
      <c r="E2629" s="17"/>
      <c r="F2629" s="18"/>
      <c r="G2629" s="17"/>
      <c r="H2629" s="17"/>
    </row>
    <row r="2630" spans="1:8" s="10" customFormat="1" x14ac:dyDescent="0.25">
      <c r="A2630" s="18"/>
      <c r="C2630" s="17"/>
      <c r="D2630" s="19"/>
      <c r="E2630" s="17"/>
      <c r="F2630" s="18"/>
      <c r="G2630" s="17"/>
      <c r="H2630" s="17"/>
    </row>
    <row r="2631" spans="1:8" s="10" customFormat="1" x14ac:dyDescent="0.25">
      <c r="A2631" s="18"/>
      <c r="C2631" s="17"/>
      <c r="D2631" s="19"/>
      <c r="E2631" s="17"/>
      <c r="F2631" s="18"/>
      <c r="G2631" s="17"/>
      <c r="H2631" s="17"/>
    </row>
    <row r="2632" spans="1:8" s="10" customFormat="1" x14ac:dyDescent="0.25">
      <c r="A2632" s="18"/>
      <c r="C2632" s="17"/>
      <c r="D2632" s="19"/>
      <c r="E2632" s="17"/>
      <c r="F2632" s="18"/>
      <c r="G2632" s="17"/>
      <c r="H2632" s="17"/>
    </row>
    <row r="2633" spans="1:8" s="10" customFormat="1" x14ac:dyDescent="0.25">
      <c r="A2633" s="18"/>
      <c r="C2633" s="17"/>
      <c r="D2633" s="19"/>
      <c r="E2633" s="17"/>
      <c r="F2633" s="18"/>
      <c r="G2633" s="17"/>
      <c r="H2633" s="17"/>
    </row>
    <row r="2634" spans="1:8" s="10" customFormat="1" x14ac:dyDescent="0.25">
      <c r="A2634" s="18"/>
      <c r="C2634" s="17"/>
      <c r="D2634" s="19"/>
      <c r="E2634" s="17"/>
      <c r="F2634" s="18"/>
      <c r="G2634" s="17"/>
      <c r="H2634" s="17"/>
    </row>
    <row r="2635" spans="1:8" s="10" customFormat="1" x14ac:dyDescent="0.25">
      <c r="A2635" s="18"/>
      <c r="C2635" s="17"/>
      <c r="D2635" s="19"/>
      <c r="E2635" s="17"/>
      <c r="F2635" s="18"/>
      <c r="G2635" s="17"/>
      <c r="H2635" s="17"/>
    </row>
    <row r="2636" spans="1:8" s="10" customFormat="1" x14ac:dyDescent="0.25">
      <c r="A2636" s="18"/>
      <c r="C2636" s="17"/>
      <c r="D2636" s="19"/>
      <c r="E2636" s="17"/>
      <c r="F2636" s="18"/>
      <c r="G2636" s="17"/>
      <c r="H2636" s="17"/>
    </row>
    <row r="2637" spans="1:8" s="10" customFormat="1" x14ac:dyDescent="0.25">
      <c r="A2637" s="18"/>
      <c r="C2637" s="17"/>
      <c r="D2637" s="19"/>
      <c r="E2637" s="17"/>
      <c r="F2637" s="18"/>
      <c r="G2637" s="17"/>
      <c r="H2637" s="17"/>
    </row>
    <row r="2638" spans="1:8" s="10" customFormat="1" x14ac:dyDescent="0.25">
      <c r="A2638" s="18"/>
      <c r="C2638" s="17"/>
      <c r="D2638" s="19"/>
      <c r="E2638" s="17"/>
      <c r="F2638" s="18"/>
      <c r="G2638" s="17"/>
      <c r="H2638" s="17"/>
    </row>
    <row r="2639" spans="1:8" s="10" customFormat="1" x14ac:dyDescent="0.25">
      <c r="A2639" s="18"/>
      <c r="C2639" s="17"/>
      <c r="D2639" s="19"/>
      <c r="E2639" s="17"/>
      <c r="F2639" s="18"/>
      <c r="G2639" s="17"/>
      <c r="H2639" s="17"/>
    </row>
    <row r="2640" spans="1:8" s="10" customFormat="1" x14ac:dyDescent="0.25">
      <c r="A2640" s="18"/>
      <c r="C2640" s="17"/>
      <c r="D2640" s="19"/>
      <c r="E2640" s="17"/>
      <c r="F2640" s="18"/>
      <c r="G2640" s="17"/>
      <c r="H2640" s="17"/>
    </row>
    <row r="2641" spans="1:8" s="10" customFormat="1" x14ac:dyDescent="0.25">
      <c r="A2641" s="18"/>
      <c r="C2641" s="17"/>
      <c r="D2641" s="19"/>
      <c r="E2641" s="17"/>
      <c r="F2641" s="18"/>
      <c r="G2641" s="17"/>
      <c r="H2641" s="17"/>
    </row>
    <row r="2642" spans="1:8" s="10" customFormat="1" x14ac:dyDescent="0.25">
      <c r="A2642" s="18"/>
      <c r="C2642" s="17"/>
      <c r="D2642" s="19"/>
      <c r="E2642" s="17"/>
      <c r="F2642" s="18"/>
      <c r="G2642" s="17"/>
      <c r="H2642" s="17"/>
    </row>
    <row r="2643" spans="1:8" s="10" customFormat="1" x14ac:dyDescent="0.25">
      <c r="A2643" s="18"/>
      <c r="C2643" s="17"/>
      <c r="D2643" s="19"/>
      <c r="E2643" s="17"/>
      <c r="F2643" s="18"/>
      <c r="G2643" s="17"/>
      <c r="H2643" s="17"/>
    </row>
    <row r="2644" spans="1:8" s="10" customFormat="1" x14ac:dyDescent="0.25">
      <c r="A2644" s="18"/>
      <c r="C2644" s="17"/>
      <c r="D2644" s="19"/>
      <c r="E2644" s="17"/>
      <c r="F2644" s="18"/>
      <c r="G2644" s="17"/>
      <c r="H2644" s="17"/>
    </row>
    <row r="2645" spans="1:8" s="10" customFormat="1" x14ac:dyDescent="0.25">
      <c r="A2645" s="18"/>
      <c r="C2645" s="17"/>
      <c r="D2645" s="19"/>
      <c r="E2645" s="17"/>
      <c r="F2645" s="18"/>
      <c r="G2645" s="17"/>
      <c r="H2645" s="17"/>
    </row>
    <row r="2646" spans="1:8" s="10" customFormat="1" x14ac:dyDescent="0.25">
      <c r="A2646" s="18"/>
      <c r="C2646" s="17"/>
      <c r="D2646" s="19"/>
      <c r="E2646" s="17"/>
      <c r="F2646" s="18"/>
      <c r="G2646" s="17"/>
      <c r="H2646" s="17"/>
    </row>
    <row r="2647" spans="1:8" s="10" customFormat="1" x14ac:dyDescent="0.25">
      <c r="A2647" s="18"/>
      <c r="C2647" s="17"/>
      <c r="D2647" s="19"/>
      <c r="E2647" s="17"/>
      <c r="F2647" s="18"/>
      <c r="G2647" s="17"/>
      <c r="H2647" s="17"/>
    </row>
    <row r="2648" spans="1:8" s="10" customFormat="1" x14ac:dyDescent="0.25">
      <c r="A2648" s="18"/>
      <c r="C2648" s="17"/>
      <c r="D2648" s="19"/>
      <c r="E2648" s="17"/>
      <c r="F2648" s="18"/>
      <c r="G2648" s="17"/>
      <c r="H2648" s="17"/>
    </row>
    <row r="2649" spans="1:8" s="10" customFormat="1" x14ac:dyDescent="0.25">
      <c r="A2649" s="18"/>
      <c r="C2649" s="17"/>
      <c r="D2649" s="19"/>
      <c r="E2649" s="17"/>
      <c r="F2649" s="18"/>
      <c r="G2649" s="17"/>
      <c r="H2649" s="17"/>
    </row>
    <row r="2650" spans="1:8" s="10" customFormat="1" x14ac:dyDescent="0.25">
      <c r="A2650" s="18"/>
      <c r="C2650" s="17"/>
      <c r="D2650" s="19"/>
      <c r="E2650" s="17"/>
      <c r="F2650" s="18"/>
      <c r="G2650" s="17"/>
      <c r="H2650" s="17"/>
    </row>
    <row r="2651" spans="1:8" s="10" customFormat="1" x14ac:dyDescent="0.25">
      <c r="A2651" s="18"/>
      <c r="C2651" s="17"/>
      <c r="D2651" s="19"/>
      <c r="E2651" s="17"/>
      <c r="F2651" s="18"/>
      <c r="G2651" s="17"/>
      <c r="H2651" s="17"/>
    </row>
    <row r="2652" spans="1:8" s="10" customFormat="1" x14ac:dyDescent="0.25">
      <c r="A2652" s="18"/>
      <c r="C2652" s="17"/>
      <c r="D2652" s="19"/>
      <c r="E2652" s="17"/>
      <c r="F2652" s="18"/>
      <c r="G2652" s="17"/>
      <c r="H2652" s="17"/>
    </row>
    <row r="2653" spans="1:8" s="10" customFormat="1" x14ac:dyDescent="0.25">
      <c r="A2653" s="18"/>
      <c r="C2653" s="17"/>
      <c r="D2653" s="19"/>
      <c r="E2653" s="17"/>
      <c r="F2653" s="18"/>
      <c r="G2653" s="17"/>
      <c r="H2653" s="17"/>
    </row>
    <row r="2654" spans="1:8" s="10" customFormat="1" x14ac:dyDescent="0.25">
      <c r="A2654" s="18"/>
      <c r="C2654" s="17"/>
      <c r="D2654" s="19"/>
      <c r="E2654" s="17"/>
      <c r="F2654" s="18"/>
      <c r="G2654" s="17"/>
      <c r="H2654" s="17"/>
    </row>
    <row r="2655" spans="1:8" s="10" customFormat="1" x14ac:dyDescent="0.25">
      <c r="A2655" s="18"/>
      <c r="C2655" s="17"/>
      <c r="D2655" s="19"/>
      <c r="E2655" s="17"/>
      <c r="F2655" s="18"/>
      <c r="G2655" s="17"/>
      <c r="H2655" s="17"/>
    </row>
    <row r="2656" spans="1:8" s="10" customFormat="1" x14ac:dyDescent="0.25">
      <c r="A2656" s="18"/>
      <c r="C2656" s="17"/>
      <c r="D2656" s="19"/>
      <c r="E2656" s="17"/>
      <c r="F2656" s="18"/>
      <c r="G2656" s="17"/>
      <c r="H2656" s="17"/>
    </row>
    <row r="2657" spans="1:8" s="10" customFormat="1" x14ac:dyDescent="0.25">
      <c r="A2657" s="18"/>
      <c r="C2657" s="17"/>
      <c r="D2657" s="19"/>
      <c r="E2657" s="17"/>
      <c r="F2657" s="18"/>
      <c r="G2657" s="17"/>
      <c r="H2657" s="17"/>
    </row>
    <row r="2658" spans="1:8" s="10" customFormat="1" x14ac:dyDescent="0.25">
      <c r="A2658" s="18"/>
      <c r="C2658" s="17"/>
      <c r="D2658" s="19"/>
      <c r="E2658" s="17"/>
      <c r="F2658" s="18"/>
      <c r="G2658" s="17"/>
      <c r="H2658" s="17"/>
    </row>
    <row r="2659" spans="1:8" s="10" customFormat="1" x14ac:dyDescent="0.25">
      <c r="A2659" s="18"/>
      <c r="C2659" s="17"/>
      <c r="D2659" s="19"/>
      <c r="E2659" s="17"/>
      <c r="F2659" s="18"/>
      <c r="G2659" s="17"/>
      <c r="H2659" s="17"/>
    </row>
    <row r="2660" spans="1:8" s="10" customFormat="1" x14ac:dyDescent="0.25">
      <c r="A2660" s="18"/>
      <c r="C2660" s="17"/>
      <c r="D2660" s="19"/>
      <c r="E2660" s="17"/>
      <c r="F2660" s="18"/>
      <c r="G2660" s="17"/>
      <c r="H2660" s="17"/>
    </row>
    <row r="2661" spans="1:8" s="10" customFormat="1" x14ac:dyDescent="0.25">
      <c r="A2661" s="18"/>
      <c r="C2661" s="17"/>
      <c r="D2661" s="19"/>
      <c r="E2661" s="17"/>
      <c r="F2661" s="18"/>
      <c r="G2661" s="17"/>
      <c r="H2661" s="17"/>
    </row>
    <row r="2662" spans="1:8" s="10" customFormat="1" x14ac:dyDescent="0.25">
      <c r="A2662" s="18"/>
      <c r="C2662" s="17"/>
      <c r="D2662" s="19"/>
      <c r="E2662" s="17"/>
      <c r="F2662" s="18"/>
      <c r="G2662" s="17"/>
      <c r="H2662" s="17"/>
    </row>
    <row r="2663" spans="1:8" s="10" customFormat="1" x14ac:dyDescent="0.25">
      <c r="A2663" s="18"/>
      <c r="C2663" s="17"/>
      <c r="D2663" s="19"/>
      <c r="E2663" s="17"/>
      <c r="F2663" s="18"/>
      <c r="G2663" s="17"/>
      <c r="H2663" s="17"/>
    </row>
    <row r="2664" spans="1:8" s="10" customFormat="1" x14ac:dyDescent="0.25">
      <c r="A2664" s="18"/>
      <c r="C2664" s="17"/>
      <c r="D2664" s="19"/>
      <c r="E2664" s="17"/>
      <c r="F2664" s="18"/>
      <c r="G2664" s="17"/>
      <c r="H2664" s="17"/>
    </row>
    <row r="2665" spans="1:8" s="10" customFormat="1" x14ac:dyDescent="0.25">
      <c r="A2665" s="18"/>
      <c r="C2665" s="17"/>
      <c r="D2665" s="19"/>
      <c r="E2665" s="17"/>
      <c r="F2665" s="18"/>
      <c r="G2665" s="17"/>
      <c r="H2665" s="17"/>
    </row>
    <row r="2666" spans="1:8" s="10" customFormat="1" x14ac:dyDescent="0.25">
      <c r="A2666" s="18"/>
      <c r="C2666" s="17"/>
      <c r="D2666" s="19"/>
      <c r="E2666" s="17"/>
      <c r="F2666" s="18"/>
      <c r="G2666" s="17"/>
      <c r="H2666" s="17"/>
    </row>
    <row r="2667" spans="1:8" s="10" customFormat="1" x14ac:dyDescent="0.25">
      <c r="A2667" s="18"/>
      <c r="C2667" s="17"/>
      <c r="D2667" s="19"/>
      <c r="E2667" s="17"/>
      <c r="F2667" s="18"/>
      <c r="G2667" s="17"/>
      <c r="H2667" s="17"/>
    </row>
    <row r="2668" spans="1:8" s="10" customFormat="1" x14ac:dyDescent="0.25">
      <c r="A2668" s="18"/>
      <c r="C2668" s="17"/>
      <c r="D2668" s="19"/>
      <c r="E2668" s="17"/>
      <c r="F2668" s="18"/>
      <c r="G2668" s="17"/>
      <c r="H2668" s="17"/>
    </row>
    <row r="2669" spans="1:8" s="10" customFormat="1" x14ac:dyDescent="0.25">
      <c r="A2669" s="18"/>
      <c r="C2669" s="17"/>
      <c r="D2669" s="19"/>
      <c r="E2669" s="17"/>
      <c r="F2669" s="18"/>
      <c r="G2669" s="17"/>
      <c r="H2669" s="17"/>
    </row>
    <row r="2670" spans="1:8" s="10" customFormat="1" x14ac:dyDescent="0.25">
      <c r="A2670" s="18"/>
      <c r="C2670" s="17"/>
      <c r="D2670" s="19"/>
      <c r="E2670" s="17"/>
      <c r="F2670" s="18"/>
      <c r="G2670" s="17"/>
      <c r="H2670" s="17"/>
    </row>
    <row r="2671" spans="1:8" s="10" customFormat="1" x14ac:dyDescent="0.25">
      <c r="A2671" s="18"/>
      <c r="C2671" s="17"/>
      <c r="D2671" s="19"/>
      <c r="E2671" s="17"/>
      <c r="F2671" s="18"/>
      <c r="G2671" s="17"/>
      <c r="H2671" s="17"/>
    </row>
    <row r="2672" spans="1:8" s="10" customFormat="1" x14ac:dyDescent="0.25">
      <c r="A2672" s="18"/>
      <c r="C2672" s="17"/>
      <c r="D2672" s="19"/>
      <c r="E2672" s="17"/>
      <c r="F2672" s="18"/>
      <c r="G2672" s="17"/>
      <c r="H2672" s="17"/>
    </row>
    <row r="2673" spans="1:8" s="10" customFormat="1" x14ac:dyDescent="0.25">
      <c r="A2673" s="18"/>
      <c r="C2673" s="17"/>
      <c r="D2673" s="19"/>
      <c r="E2673" s="17"/>
      <c r="F2673" s="18"/>
      <c r="G2673" s="17"/>
      <c r="H2673" s="17"/>
    </row>
    <row r="2674" spans="1:8" s="10" customFormat="1" x14ac:dyDescent="0.25">
      <c r="A2674" s="18"/>
      <c r="C2674" s="17"/>
      <c r="D2674" s="19"/>
      <c r="E2674" s="17"/>
      <c r="F2674" s="18"/>
      <c r="G2674" s="17"/>
      <c r="H2674" s="17"/>
    </row>
    <row r="2675" spans="1:8" s="10" customFormat="1" x14ac:dyDescent="0.25">
      <c r="A2675" s="18"/>
      <c r="C2675" s="17"/>
      <c r="D2675" s="19"/>
      <c r="E2675" s="17"/>
      <c r="F2675" s="18"/>
      <c r="G2675" s="17"/>
      <c r="H2675" s="17"/>
    </row>
    <row r="2676" spans="1:8" s="10" customFormat="1" x14ac:dyDescent="0.25">
      <c r="A2676" s="18"/>
      <c r="C2676" s="17"/>
      <c r="D2676" s="19"/>
      <c r="E2676" s="17"/>
      <c r="F2676" s="18"/>
      <c r="G2676" s="17"/>
      <c r="H2676" s="17"/>
    </row>
    <row r="2677" spans="1:8" s="10" customFormat="1" x14ac:dyDescent="0.25">
      <c r="A2677" s="18"/>
      <c r="C2677" s="17"/>
      <c r="D2677" s="19"/>
      <c r="E2677" s="17"/>
      <c r="F2677" s="18"/>
      <c r="G2677" s="17"/>
      <c r="H2677" s="17"/>
    </row>
    <row r="2678" spans="1:8" s="10" customFormat="1" x14ac:dyDescent="0.25">
      <c r="A2678" s="18"/>
      <c r="C2678" s="17"/>
      <c r="D2678" s="19"/>
      <c r="E2678" s="17"/>
      <c r="F2678" s="18"/>
      <c r="G2678" s="17"/>
      <c r="H2678" s="17"/>
    </row>
    <row r="2679" spans="1:8" s="10" customFormat="1" x14ac:dyDescent="0.25">
      <c r="A2679" s="18"/>
      <c r="C2679" s="17"/>
      <c r="D2679" s="19"/>
      <c r="E2679" s="17"/>
      <c r="F2679" s="18"/>
      <c r="G2679" s="17"/>
      <c r="H2679" s="17"/>
    </row>
    <row r="2680" spans="1:8" s="10" customFormat="1" x14ac:dyDescent="0.25">
      <c r="A2680" s="18"/>
      <c r="C2680" s="17"/>
      <c r="D2680" s="19"/>
      <c r="E2680" s="17"/>
      <c r="F2680" s="18"/>
      <c r="G2680" s="17"/>
      <c r="H2680" s="17"/>
    </row>
    <row r="2681" spans="1:8" s="10" customFormat="1" x14ac:dyDescent="0.25">
      <c r="A2681" s="18"/>
      <c r="C2681" s="17"/>
      <c r="D2681" s="19"/>
      <c r="E2681" s="17"/>
      <c r="F2681" s="18"/>
      <c r="G2681" s="17"/>
      <c r="H2681" s="17"/>
    </row>
    <row r="2682" spans="1:8" s="10" customFormat="1" x14ac:dyDescent="0.25">
      <c r="A2682" s="18"/>
      <c r="C2682" s="17"/>
      <c r="D2682" s="19"/>
      <c r="E2682" s="17"/>
      <c r="F2682" s="18"/>
      <c r="G2682" s="17"/>
      <c r="H2682" s="17"/>
    </row>
    <row r="2683" spans="1:8" s="10" customFormat="1" x14ac:dyDescent="0.25">
      <c r="A2683" s="18"/>
      <c r="C2683" s="17"/>
      <c r="D2683" s="19"/>
      <c r="E2683" s="17"/>
      <c r="F2683" s="18"/>
      <c r="G2683" s="17"/>
      <c r="H2683" s="17"/>
    </row>
    <row r="2684" spans="1:8" s="10" customFormat="1" x14ac:dyDescent="0.25">
      <c r="A2684" s="18"/>
      <c r="C2684" s="17"/>
      <c r="D2684" s="19"/>
      <c r="E2684" s="17"/>
      <c r="F2684" s="18"/>
      <c r="G2684" s="17"/>
      <c r="H2684" s="17"/>
    </row>
    <row r="2685" spans="1:8" s="10" customFormat="1" x14ac:dyDescent="0.25">
      <c r="A2685" s="18"/>
      <c r="C2685" s="17"/>
      <c r="D2685" s="19"/>
      <c r="E2685" s="17"/>
      <c r="F2685" s="18"/>
      <c r="G2685" s="17"/>
      <c r="H2685" s="17"/>
    </row>
    <row r="2686" spans="1:8" s="10" customFormat="1" x14ac:dyDescent="0.25">
      <c r="A2686" s="18"/>
      <c r="C2686" s="17"/>
      <c r="D2686" s="19"/>
      <c r="E2686" s="17"/>
      <c r="F2686" s="18"/>
      <c r="G2686" s="17"/>
      <c r="H2686" s="17"/>
    </row>
    <row r="2687" spans="1:8" s="10" customFormat="1" x14ac:dyDescent="0.25">
      <c r="A2687" s="18"/>
      <c r="C2687" s="17"/>
      <c r="D2687" s="19"/>
      <c r="E2687" s="17"/>
      <c r="F2687" s="18"/>
      <c r="G2687" s="17"/>
      <c r="H2687" s="17"/>
    </row>
    <row r="2688" spans="1:8" s="10" customFormat="1" x14ac:dyDescent="0.25">
      <c r="A2688" s="18"/>
      <c r="C2688" s="17"/>
      <c r="D2688" s="19"/>
      <c r="E2688" s="17"/>
      <c r="F2688" s="18"/>
      <c r="G2688" s="17"/>
      <c r="H2688" s="17"/>
    </row>
    <row r="2689" spans="1:8" s="10" customFormat="1" x14ac:dyDescent="0.25">
      <c r="A2689" s="18"/>
      <c r="C2689" s="17"/>
      <c r="D2689" s="19"/>
      <c r="E2689" s="17"/>
      <c r="F2689" s="18"/>
      <c r="G2689" s="17"/>
      <c r="H2689" s="17"/>
    </row>
    <row r="2690" spans="1:8" s="10" customFormat="1" x14ac:dyDescent="0.25">
      <c r="A2690" s="18"/>
      <c r="C2690" s="17"/>
      <c r="D2690" s="19"/>
      <c r="E2690" s="17"/>
      <c r="F2690" s="18"/>
      <c r="G2690" s="17"/>
      <c r="H2690" s="17"/>
    </row>
    <row r="2691" spans="1:8" s="10" customFormat="1" x14ac:dyDescent="0.25">
      <c r="A2691" s="18"/>
      <c r="C2691" s="17"/>
      <c r="D2691" s="19"/>
      <c r="E2691" s="17"/>
      <c r="F2691" s="18"/>
      <c r="G2691" s="17"/>
      <c r="H2691" s="17"/>
    </row>
    <row r="2692" spans="1:8" s="10" customFormat="1" x14ac:dyDescent="0.25">
      <c r="A2692" s="18"/>
      <c r="C2692" s="17"/>
      <c r="D2692" s="19"/>
      <c r="E2692" s="17"/>
      <c r="F2692" s="18"/>
      <c r="G2692" s="17"/>
      <c r="H2692" s="17"/>
    </row>
    <row r="2693" spans="1:8" s="10" customFormat="1" x14ac:dyDescent="0.25">
      <c r="A2693" s="18"/>
      <c r="C2693" s="17"/>
      <c r="D2693" s="19"/>
      <c r="E2693" s="17"/>
      <c r="F2693" s="18"/>
      <c r="G2693" s="17"/>
      <c r="H2693" s="17"/>
    </row>
    <row r="2694" spans="1:8" s="10" customFormat="1" x14ac:dyDescent="0.25">
      <c r="A2694" s="18"/>
      <c r="C2694" s="17"/>
      <c r="D2694" s="19"/>
      <c r="E2694" s="17"/>
      <c r="F2694" s="18"/>
      <c r="G2694" s="17"/>
      <c r="H2694" s="17"/>
    </row>
    <row r="2695" spans="1:8" s="10" customFormat="1" x14ac:dyDescent="0.25">
      <c r="A2695" s="18"/>
      <c r="C2695" s="17"/>
      <c r="D2695" s="19"/>
      <c r="E2695" s="17"/>
      <c r="F2695" s="18"/>
      <c r="G2695" s="17"/>
      <c r="H2695" s="17"/>
    </row>
    <row r="2696" spans="1:8" s="10" customFormat="1" x14ac:dyDescent="0.25">
      <c r="A2696" s="18"/>
      <c r="C2696" s="17"/>
      <c r="D2696" s="19"/>
      <c r="E2696" s="17"/>
      <c r="F2696" s="18"/>
      <c r="G2696" s="17"/>
      <c r="H2696" s="17"/>
    </row>
    <row r="2697" spans="1:8" s="10" customFormat="1" x14ac:dyDescent="0.25">
      <c r="A2697" s="18"/>
      <c r="C2697" s="17"/>
      <c r="D2697" s="19"/>
      <c r="E2697" s="17"/>
      <c r="F2697" s="18"/>
      <c r="G2697" s="17"/>
      <c r="H2697" s="17"/>
    </row>
    <row r="2698" spans="1:8" s="10" customFormat="1" x14ac:dyDescent="0.25">
      <c r="A2698" s="18"/>
      <c r="C2698" s="17"/>
      <c r="D2698" s="19"/>
      <c r="E2698" s="17"/>
      <c r="F2698" s="18"/>
      <c r="G2698" s="17"/>
      <c r="H2698" s="17"/>
    </row>
    <row r="2699" spans="1:8" s="10" customFormat="1" x14ac:dyDescent="0.25">
      <c r="A2699" s="18"/>
      <c r="C2699" s="17"/>
      <c r="D2699" s="19"/>
      <c r="E2699" s="17"/>
      <c r="F2699" s="18"/>
      <c r="G2699" s="17"/>
      <c r="H2699" s="17"/>
    </row>
    <row r="2700" spans="1:8" s="10" customFormat="1" x14ac:dyDescent="0.25">
      <c r="A2700" s="18"/>
      <c r="C2700" s="17"/>
      <c r="D2700" s="19"/>
      <c r="E2700" s="17"/>
      <c r="F2700" s="18"/>
      <c r="G2700" s="17"/>
      <c r="H2700" s="17"/>
    </row>
    <row r="2701" spans="1:8" s="10" customFormat="1" x14ac:dyDescent="0.25">
      <c r="A2701" s="18"/>
      <c r="C2701" s="17"/>
      <c r="D2701" s="19"/>
      <c r="E2701" s="17"/>
      <c r="F2701" s="18"/>
      <c r="G2701" s="17"/>
      <c r="H2701" s="17"/>
    </row>
    <row r="2702" spans="1:8" s="10" customFormat="1" x14ac:dyDescent="0.25">
      <c r="A2702" s="18"/>
      <c r="C2702" s="17"/>
      <c r="D2702" s="19"/>
      <c r="E2702" s="17"/>
      <c r="F2702" s="18"/>
      <c r="G2702" s="17"/>
      <c r="H2702" s="17"/>
    </row>
    <row r="2703" spans="1:8" s="10" customFormat="1" x14ac:dyDescent="0.25">
      <c r="A2703" s="18"/>
      <c r="C2703" s="17"/>
      <c r="D2703" s="19"/>
      <c r="E2703" s="17"/>
      <c r="F2703" s="18"/>
      <c r="G2703" s="17"/>
      <c r="H2703" s="17"/>
    </row>
    <row r="2704" spans="1:8" s="10" customFormat="1" x14ac:dyDescent="0.25">
      <c r="A2704" s="18"/>
      <c r="C2704" s="17"/>
      <c r="D2704" s="19"/>
      <c r="E2704" s="17"/>
      <c r="F2704" s="18"/>
      <c r="G2704" s="17"/>
      <c r="H2704" s="17"/>
    </row>
    <row r="2705" spans="1:8" s="10" customFormat="1" x14ac:dyDescent="0.25">
      <c r="A2705" s="18"/>
      <c r="C2705" s="17"/>
      <c r="D2705" s="19"/>
      <c r="E2705" s="17"/>
      <c r="F2705" s="18"/>
      <c r="G2705" s="17"/>
      <c r="H2705" s="17"/>
    </row>
    <row r="2706" spans="1:8" s="10" customFormat="1" x14ac:dyDescent="0.25">
      <c r="A2706" s="18"/>
      <c r="C2706" s="17"/>
      <c r="D2706" s="19"/>
      <c r="E2706" s="17"/>
      <c r="F2706" s="18"/>
      <c r="G2706" s="17"/>
      <c r="H2706" s="17"/>
    </row>
    <row r="2707" spans="1:8" s="10" customFormat="1" x14ac:dyDescent="0.25">
      <c r="A2707" s="18"/>
      <c r="C2707" s="17"/>
      <c r="D2707" s="19"/>
      <c r="E2707" s="17"/>
      <c r="F2707" s="18"/>
      <c r="G2707" s="17"/>
      <c r="H2707" s="17"/>
    </row>
    <row r="2708" spans="1:8" s="10" customFormat="1" x14ac:dyDescent="0.25">
      <c r="A2708" s="18"/>
      <c r="C2708" s="17"/>
      <c r="D2708" s="19"/>
      <c r="E2708" s="17"/>
      <c r="F2708" s="18"/>
      <c r="G2708" s="17"/>
      <c r="H2708" s="17"/>
    </row>
    <row r="2709" spans="1:8" s="10" customFormat="1" x14ac:dyDescent="0.25">
      <c r="A2709" s="18"/>
      <c r="C2709" s="17"/>
      <c r="D2709" s="19"/>
      <c r="E2709" s="17"/>
      <c r="F2709" s="18"/>
      <c r="G2709" s="17"/>
      <c r="H2709" s="17"/>
    </row>
    <row r="2710" spans="1:8" s="10" customFormat="1" x14ac:dyDescent="0.25">
      <c r="A2710" s="18"/>
      <c r="C2710" s="17"/>
      <c r="D2710" s="19"/>
      <c r="E2710" s="17"/>
      <c r="F2710" s="18"/>
      <c r="G2710" s="17"/>
      <c r="H2710" s="17"/>
    </row>
    <row r="2711" spans="1:8" s="10" customFormat="1" x14ac:dyDescent="0.25">
      <c r="A2711" s="18"/>
      <c r="C2711" s="17"/>
      <c r="D2711" s="19"/>
      <c r="E2711" s="17"/>
      <c r="F2711" s="18"/>
      <c r="G2711" s="17"/>
      <c r="H2711" s="17"/>
    </row>
    <row r="2712" spans="1:8" s="10" customFormat="1" x14ac:dyDescent="0.25">
      <c r="A2712" s="18"/>
      <c r="C2712" s="17"/>
      <c r="D2712" s="19"/>
      <c r="E2712" s="17"/>
      <c r="F2712" s="18"/>
      <c r="G2712" s="17"/>
      <c r="H2712" s="17"/>
    </row>
    <row r="2713" spans="1:8" s="10" customFormat="1" x14ac:dyDescent="0.25">
      <c r="A2713" s="18"/>
      <c r="C2713" s="17"/>
      <c r="D2713" s="19"/>
      <c r="E2713" s="17"/>
      <c r="F2713" s="18"/>
      <c r="G2713" s="17"/>
      <c r="H2713" s="17"/>
    </row>
    <row r="2714" spans="1:8" s="10" customFormat="1" x14ac:dyDescent="0.25">
      <c r="A2714" s="18"/>
      <c r="C2714" s="17"/>
      <c r="D2714" s="19"/>
      <c r="E2714" s="17"/>
      <c r="F2714" s="18"/>
      <c r="G2714" s="17"/>
      <c r="H2714" s="17"/>
    </row>
    <row r="2715" spans="1:8" s="10" customFormat="1" x14ac:dyDescent="0.25">
      <c r="A2715" s="18"/>
      <c r="C2715" s="17"/>
      <c r="D2715" s="19"/>
      <c r="E2715" s="17"/>
      <c r="F2715" s="18"/>
      <c r="G2715" s="17"/>
      <c r="H2715" s="17"/>
    </row>
    <row r="2716" spans="1:8" s="10" customFormat="1" x14ac:dyDescent="0.25">
      <c r="A2716" s="18"/>
      <c r="C2716" s="17"/>
      <c r="D2716" s="19"/>
      <c r="E2716" s="17"/>
      <c r="F2716" s="18"/>
      <c r="G2716" s="17"/>
      <c r="H2716" s="17"/>
    </row>
    <row r="2717" spans="1:8" s="10" customFormat="1" x14ac:dyDescent="0.25">
      <c r="A2717" s="18"/>
      <c r="C2717" s="17"/>
      <c r="D2717" s="19"/>
      <c r="E2717" s="17"/>
      <c r="F2717" s="18"/>
      <c r="G2717" s="17"/>
      <c r="H2717" s="17"/>
    </row>
    <row r="2718" spans="1:8" s="10" customFormat="1" x14ac:dyDescent="0.25">
      <c r="A2718" s="18"/>
      <c r="C2718" s="17"/>
      <c r="D2718" s="19"/>
      <c r="E2718" s="17"/>
      <c r="F2718" s="18"/>
      <c r="G2718" s="17"/>
      <c r="H2718" s="17"/>
    </row>
    <row r="2719" spans="1:8" s="10" customFormat="1" x14ac:dyDescent="0.25">
      <c r="A2719" s="18"/>
      <c r="C2719" s="17"/>
      <c r="D2719" s="19"/>
      <c r="E2719" s="17"/>
      <c r="F2719" s="18"/>
      <c r="G2719" s="17"/>
      <c r="H2719" s="17"/>
    </row>
    <row r="2720" spans="1:8" s="10" customFormat="1" x14ac:dyDescent="0.25">
      <c r="A2720" s="18"/>
      <c r="C2720" s="17"/>
      <c r="D2720" s="19"/>
      <c r="E2720" s="17"/>
      <c r="F2720" s="18"/>
      <c r="G2720" s="17"/>
      <c r="H2720" s="17"/>
    </row>
    <row r="2721" spans="1:8" s="10" customFormat="1" x14ac:dyDescent="0.25">
      <c r="A2721" s="18"/>
      <c r="C2721" s="17"/>
      <c r="D2721" s="19"/>
      <c r="E2721" s="17"/>
      <c r="F2721" s="18"/>
      <c r="G2721" s="17"/>
      <c r="H2721" s="17"/>
    </row>
    <row r="2722" spans="1:8" s="10" customFormat="1" x14ac:dyDescent="0.25">
      <c r="A2722" s="18"/>
      <c r="C2722" s="17"/>
      <c r="D2722" s="19"/>
      <c r="E2722" s="17"/>
      <c r="F2722" s="18"/>
      <c r="G2722" s="17"/>
      <c r="H2722" s="17"/>
    </row>
    <row r="2723" spans="1:8" s="10" customFormat="1" x14ac:dyDescent="0.25">
      <c r="A2723" s="18"/>
      <c r="C2723" s="17"/>
      <c r="D2723" s="19"/>
      <c r="E2723" s="17"/>
      <c r="F2723" s="18"/>
      <c r="G2723" s="17"/>
      <c r="H2723" s="17"/>
    </row>
    <row r="2724" spans="1:8" s="10" customFormat="1" x14ac:dyDescent="0.25">
      <c r="A2724" s="18"/>
      <c r="C2724" s="17"/>
      <c r="D2724" s="19"/>
      <c r="E2724" s="17"/>
      <c r="F2724" s="18"/>
      <c r="G2724" s="17"/>
      <c r="H2724" s="17"/>
    </row>
    <row r="2725" spans="1:8" s="10" customFormat="1" x14ac:dyDescent="0.25">
      <c r="A2725" s="18"/>
      <c r="C2725" s="17"/>
      <c r="D2725" s="19"/>
      <c r="E2725" s="17"/>
      <c r="F2725" s="18"/>
      <c r="G2725" s="17"/>
      <c r="H2725" s="17"/>
    </row>
    <row r="2726" spans="1:8" s="10" customFormat="1" x14ac:dyDescent="0.25">
      <c r="A2726" s="18"/>
      <c r="C2726" s="17"/>
      <c r="D2726" s="19"/>
      <c r="E2726" s="17"/>
      <c r="F2726" s="18"/>
      <c r="G2726" s="17"/>
      <c r="H2726" s="17"/>
    </row>
    <row r="2727" spans="1:8" s="10" customFormat="1" x14ac:dyDescent="0.25">
      <c r="A2727" s="18"/>
      <c r="C2727" s="17"/>
      <c r="D2727" s="19"/>
      <c r="E2727" s="17"/>
      <c r="F2727" s="18"/>
      <c r="G2727" s="17"/>
      <c r="H2727" s="17"/>
    </row>
    <row r="2728" spans="1:8" s="10" customFormat="1" x14ac:dyDescent="0.25">
      <c r="A2728" s="18"/>
      <c r="C2728" s="17"/>
      <c r="D2728" s="19"/>
      <c r="E2728" s="17"/>
      <c r="F2728" s="18"/>
      <c r="G2728" s="17"/>
      <c r="H2728" s="17"/>
    </row>
    <row r="2729" spans="1:8" s="10" customFormat="1" x14ac:dyDescent="0.25">
      <c r="A2729" s="18"/>
      <c r="C2729" s="17"/>
      <c r="D2729" s="19"/>
      <c r="E2729" s="17"/>
      <c r="F2729" s="18"/>
      <c r="G2729" s="17"/>
      <c r="H2729" s="17"/>
    </row>
    <row r="2730" spans="1:8" s="10" customFormat="1" x14ac:dyDescent="0.25">
      <c r="A2730" s="18"/>
      <c r="C2730" s="17"/>
      <c r="D2730" s="19"/>
      <c r="E2730" s="17"/>
      <c r="F2730" s="18"/>
      <c r="G2730" s="17"/>
      <c r="H2730" s="17"/>
    </row>
    <row r="2731" spans="1:8" s="10" customFormat="1" x14ac:dyDescent="0.25">
      <c r="A2731" s="18"/>
      <c r="C2731" s="17"/>
      <c r="D2731" s="19"/>
      <c r="E2731" s="17"/>
      <c r="F2731" s="18"/>
      <c r="G2731" s="17"/>
      <c r="H2731" s="17"/>
    </row>
    <row r="2732" spans="1:8" s="10" customFormat="1" x14ac:dyDescent="0.25">
      <c r="A2732" s="18"/>
      <c r="C2732" s="17"/>
      <c r="D2732" s="19"/>
      <c r="E2732" s="17"/>
      <c r="F2732" s="18"/>
      <c r="G2732" s="17"/>
      <c r="H2732" s="17"/>
    </row>
    <row r="2733" spans="1:8" s="10" customFormat="1" x14ac:dyDescent="0.25">
      <c r="A2733" s="18"/>
      <c r="C2733" s="17"/>
      <c r="D2733" s="19"/>
      <c r="E2733" s="17"/>
      <c r="F2733" s="18"/>
      <c r="G2733" s="17"/>
      <c r="H2733" s="17"/>
    </row>
    <row r="2734" spans="1:8" s="10" customFormat="1" x14ac:dyDescent="0.25">
      <c r="A2734" s="18"/>
      <c r="C2734" s="17"/>
      <c r="D2734" s="19"/>
      <c r="E2734" s="17"/>
      <c r="F2734" s="18"/>
      <c r="G2734" s="17"/>
      <c r="H2734" s="17"/>
    </row>
    <row r="2735" spans="1:8" s="10" customFormat="1" x14ac:dyDescent="0.25">
      <c r="A2735" s="18"/>
      <c r="C2735" s="17"/>
      <c r="D2735" s="19"/>
      <c r="E2735" s="17"/>
      <c r="F2735" s="18"/>
      <c r="G2735" s="17"/>
      <c r="H2735" s="17"/>
    </row>
    <row r="2736" spans="1:8" s="10" customFormat="1" x14ac:dyDescent="0.25">
      <c r="A2736" s="18"/>
      <c r="C2736" s="17"/>
      <c r="D2736" s="19"/>
      <c r="E2736" s="17"/>
      <c r="F2736" s="18"/>
      <c r="G2736" s="17"/>
      <c r="H2736" s="17"/>
    </row>
    <row r="2737" spans="1:8" s="10" customFormat="1" x14ac:dyDescent="0.25">
      <c r="A2737" s="18"/>
      <c r="C2737" s="17"/>
      <c r="D2737" s="19"/>
      <c r="E2737" s="17"/>
      <c r="F2737" s="18"/>
      <c r="G2737" s="17"/>
      <c r="H2737" s="17"/>
    </row>
    <row r="2738" spans="1:8" s="10" customFormat="1" x14ac:dyDescent="0.25">
      <c r="A2738" s="18"/>
      <c r="C2738" s="17"/>
      <c r="D2738" s="19"/>
      <c r="E2738" s="17"/>
      <c r="F2738" s="18"/>
      <c r="G2738" s="17"/>
      <c r="H2738" s="17"/>
    </row>
    <row r="2739" spans="1:8" s="10" customFormat="1" x14ac:dyDescent="0.25">
      <c r="A2739" s="18"/>
      <c r="C2739" s="17"/>
      <c r="D2739" s="19"/>
      <c r="E2739" s="17"/>
      <c r="F2739" s="18"/>
      <c r="G2739" s="17"/>
      <c r="H2739" s="17"/>
    </row>
    <row r="2740" spans="1:8" s="10" customFormat="1" x14ac:dyDescent="0.25">
      <c r="A2740" s="18"/>
      <c r="C2740" s="17"/>
      <c r="D2740" s="19"/>
      <c r="E2740" s="17"/>
      <c r="F2740" s="18"/>
      <c r="G2740" s="17"/>
      <c r="H2740" s="17"/>
    </row>
    <row r="2741" spans="1:8" s="10" customFormat="1" x14ac:dyDescent="0.25">
      <c r="A2741" s="18"/>
      <c r="C2741" s="17"/>
      <c r="D2741" s="19"/>
      <c r="E2741" s="17"/>
      <c r="F2741" s="18"/>
      <c r="G2741" s="17"/>
      <c r="H2741" s="17"/>
    </row>
    <row r="2742" spans="1:8" s="10" customFormat="1" x14ac:dyDescent="0.25">
      <c r="A2742" s="18"/>
      <c r="C2742" s="17"/>
      <c r="D2742" s="19"/>
      <c r="E2742" s="17"/>
      <c r="F2742" s="18"/>
      <c r="G2742" s="17"/>
      <c r="H2742" s="17"/>
    </row>
    <row r="2743" spans="1:8" s="10" customFormat="1" x14ac:dyDescent="0.25">
      <c r="A2743" s="18"/>
      <c r="C2743" s="17"/>
      <c r="D2743" s="19"/>
      <c r="E2743" s="17"/>
      <c r="F2743" s="18"/>
      <c r="G2743" s="17"/>
      <c r="H2743" s="17"/>
    </row>
    <row r="2744" spans="1:8" s="10" customFormat="1" x14ac:dyDescent="0.25">
      <c r="A2744" s="18"/>
      <c r="C2744" s="17"/>
      <c r="D2744" s="19"/>
      <c r="E2744" s="17"/>
      <c r="F2744" s="18"/>
      <c r="G2744" s="17"/>
      <c r="H2744" s="17"/>
    </row>
    <row r="2745" spans="1:8" s="10" customFormat="1" x14ac:dyDescent="0.25">
      <c r="A2745" s="18"/>
      <c r="C2745" s="17"/>
      <c r="D2745" s="19"/>
      <c r="E2745" s="17"/>
      <c r="F2745" s="18"/>
      <c r="G2745" s="17"/>
      <c r="H2745" s="17"/>
    </row>
    <row r="2746" spans="1:8" s="10" customFormat="1" x14ac:dyDescent="0.25">
      <c r="A2746" s="18"/>
      <c r="C2746" s="17"/>
      <c r="D2746" s="19"/>
      <c r="E2746" s="17"/>
      <c r="F2746" s="18"/>
      <c r="G2746" s="17"/>
      <c r="H2746" s="17"/>
    </row>
    <row r="2747" spans="1:8" s="10" customFormat="1" x14ac:dyDescent="0.25">
      <c r="A2747" s="18"/>
      <c r="C2747" s="17"/>
      <c r="D2747" s="19"/>
      <c r="E2747" s="17"/>
      <c r="F2747" s="18"/>
      <c r="G2747" s="17"/>
      <c r="H2747" s="17"/>
    </row>
    <row r="2748" spans="1:8" s="10" customFormat="1" x14ac:dyDescent="0.25">
      <c r="A2748" s="18"/>
      <c r="C2748" s="17"/>
      <c r="D2748" s="19"/>
      <c r="E2748" s="17"/>
      <c r="F2748" s="18"/>
      <c r="G2748" s="17"/>
      <c r="H2748" s="17"/>
    </row>
    <row r="2749" spans="1:8" s="10" customFormat="1" x14ac:dyDescent="0.25">
      <c r="A2749" s="18"/>
      <c r="C2749" s="17"/>
      <c r="D2749" s="19"/>
      <c r="E2749" s="17"/>
      <c r="F2749" s="18"/>
      <c r="G2749" s="17"/>
      <c r="H2749" s="17"/>
    </row>
    <row r="2750" spans="1:8" s="10" customFormat="1" x14ac:dyDescent="0.25">
      <c r="A2750" s="18"/>
      <c r="C2750" s="17"/>
      <c r="D2750" s="19"/>
      <c r="E2750" s="17"/>
      <c r="F2750" s="18"/>
      <c r="G2750" s="17"/>
      <c r="H2750" s="17"/>
    </row>
    <row r="2751" spans="1:8" s="10" customFormat="1" x14ac:dyDescent="0.25">
      <c r="A2751" s="18"/>
      <c r="C2751" s="17"/>
      <c r="D2751" s="19"/>
      <c r="E2751" s="17"/>
      <c r="F2751" s="18"/>
      <c r="G2751" s="17"/>
      <c r="H2751" s="17"/>
    </row>
    <row r="2752" spans="1:8" s="10" customFormat="1" x14ac:dyDescent="0.25">
      <c r="A2752" s="18"/>
      <c r="C2752" s="17"/>
      <c r="D2752" s="19"/>
      <c r="E2752" s="17"/>
      <c r="F2752" s="18"/>
      <c r="G2752" s="17"/>
      <c r="H2752" s="17"/>
    </row>
    <row r="2753" spans="1:8" s="10" customFormat="1" x14ac:dyDescent="0.25">
      <c r="A2753" s="18"/>
      <c r="C2753" s="17"/>
      <c r="D2753" s="19"/>
      <c r="E2753" s="17"/>
      <c r="F2753" s="18"/>
      <c r="G2753" s="17"/>
      <c r="H2753" s="17"/>
    </row>
    <row r="2754" spans="1:8" s="10" customFormat="1" x14ac:dyDescent="0.25">
      <c r="A2754" s="18"/>
      <c r="C2754" s="17"/>
      <c r="D2754" s="19"/>
      <c r="E2754" s="17"/>
      <c r="F2754" s="18"/>
      <c r="G2754" s="17"/>
      <c r="H2754" s="17"/>
    </row>
    <row r="2755" spans="1:8" s="10" customFormat="1" x14ac:dyDescent="0.25">
      <c r="A2755" s="18"/>
      <c r="C2755" s="17"/>
      <c r="D2755" s="19"/>
      <c r="E2755" s="17"/>
      <c r="F2755" s="18"/>
      <c r="G2755" s="17"/>
      <c r="H2755" s="17"/>
    </row>
    <row r="2756" spans="1:8" s="10" customFormat="1" x14ac:dyDescent="0.25">
      <c r="A2756" s="18"/>
      <c r="C2756" s="17"/>
      <c r="D2756" s="19"/>
      <c r="E2756" s="17"/>
      <c r="F2756" s="18"/>
      <c r="G2756" s="17"/>
      <c r="H2756" s="17"/>
    </row>
    <row r="2757" spans="1:8" s="10" customFormat="1" x14ac:dyDescent="0.25">
      <c r="A2757" s="18"/>
      <c r="C2757" s="17"/>
      <c r="D2757" s="19"/>
      <c r="E2757" s="17"/>
      <c r="F2757" s="18"/>
      <c r="G2757" s="17"/>
      <c r="H2757" s="17"/>
    </row>
    <row r="2758" spans="1:8" s="10" customFormat="1" x14ac:dyDescent="0.25">
      <c r="A2758" s="18"/>
      <c r="C2758" s="17"/>
      <c r="D2758" s="19"/>
      <c r="E2758" s="17"/>
      <c r="F2758" s="18"/>
      <c r="G2758" s="17"/>
      <c r="H2758" s="17"/>
    </row>
    <row r="2759" spans="1:8" s="10" customFormat="1" x14ac:dyDescent="0.25">
      <c r="A2759" s="18"/>
      <c r="C2759" s="17"/>
      <c r="D2759" s="19"/>
      <c r="E2759" s="17"/>
      <c r="F2759" s="18"/>
      <c r="G2759" s="17"/>
      <c r="H2759" s="17"/>
    </row>
    <row r="2760" spans="1:8" s="10" customFormat="1" x14ac:dyDescent="0.25">
      <c r="A2760" s="18"/>
      <c r="C2760" s="17"/>
      <c r="D2760" s="19"/>
      <c r="E2760" s="17"/>
      <c r="F2760" s="18"/>
      <c r="G2760" s="17"/>
      <c r="H2760" s="17"/>
    </row>
    <row r="2761" spans="1:8" s="10" customFormat="1" x14ac:dyDescent="0.25">
      <c r="A2761" s="18"/>
      <c r="C2761" s="17"/>
      <c r="D2761" s="19"/>
      <c r="E2761" s="17"/>
      <c r="F2761" s="18"/>
      <c r="G2761" s="17"/>
      <c r="H2761" s="17"/>
    </row>
    <row r="2762" spans="1:8" s="10" customFormat="1" x14ac:dyDescent="0.25">
      <c r="A2762" s="18"/>
      <c r="D2762" s="19"/>
      <c r="E2762" s="17"/>
      <c r="F2762" s="18"/>
      <c r="G2762" s="17"/>
      <c r="H2762" s="17"/>
    </row>
    <row r="2763" spans="1:8" s="10" customFormat="1" x14ac:dyDescent="0.25">
      <c r="A2763" s="18"/>
      <c r="D2763" s="19"/>
      <c r="E2763" s="17"/>
      <c r="F2763" s="18"/>
      <c r="G2763" s="17"/>
      <c r="H2763" s="17"/>
    </row>
    <row r="2764" spans="1:8" s="10" customFormat="1" x14ac:dyDescent="0.25">
      <c r="A2764" s="18"/>
      <c r="D2764" s="19"/>
      <c r="E2764" s="17"/>
      <c r="F2764" s="18"/>
      <c r="G2764" s="17"/>
      <c r="H2764" s="17"/>
    </row>
    <row r="2765" spans="1:8" s="10" customFormat="1" x14ac:dyDescent="0.25">
      <c r="A2765" s="18"/>
      <c r="D2765" s="19"/>
      <c r="E2765" s="17"/>
      <c r="F2765" s="18"/>
      <c r="G2765" s="17"/>
      <c r="H2765" s="17"/>
    </row>
    <row r="2766" spans="1:8" s="10" customFormat="1" x14ac:dyDescent="0.25">
      <c r="A2766" s="18"/>
      <c r="D2766" s="19"/>
      <c r="E2766" s="17"/>
      <c r="F2766" s="18"/>
      <c r="G2766" s="17"/>
      <c r="H2766" s="17"/>
    </row>
    <row r="2767" spans="1:8" s="10" customFormat="1" x14ac:dyDescent="0.25">
      <c r="A2767" s="18"/>
      <c r="D2767" s="19"/>
      <c r="E2767" s="17"/>
      <c r="F2767" s="18"/>
      <c r="G2767" s="17"/>
      <c r="H2767" s="17"/>
    </row>
    <row r="2768" spans="1:8" s="10" customFormat="1" x14ac:dyDescent="0.25">
      <c r="A2768" s="18"/>
      <c r="D2768" s="19"/>
      <c r="E2768" s="17"/>
      <c r="F2768" s="18"/>
      <c r="G2768" s="17"/>
      <c r="H2768" s="17"/>
    </row>
    <row r="2769" spans="1:8" s="10" customFormat="1" x14ac:dyDescent="0.25">
      <c r="A2769" s="18"/>
      <c r="D2769" s="19"/>
      <c r="E2769" s="17"/>
      <c r="F2769" s="18"/>
      <c r="G2769" s="17"/>
      <c r="H2769" s="17"/>
    </row>
    <row r="2770" spans="1:8" s="10" customFormat="1" x14ac:dyDescent="0.25">
      <c r="A2770" s="18"/>
      <c r="D2770" s="19"/>
      <c r="E2770" s="17"/>
      <c r="F2770" s="18"/>
      <c r="G2770" s="17"/>
      <c r="H2770" s="17"/>
    </row>
    <row r="2771" spans="1:8" s="10" customFormat="1" x14ac:dyDescent="0.25">
      <c r="A2771" s="18"/>
      <c r="D2771" s="19"/>
      <c r="E2771" s="17"/>
      <c r="F2771" s="18"/>
      <c r="G2771" s="17"/>
      <c r="H2771" s="17"/>
    </row>
    <row r="2772" spans="1:8" s="10" customFormat="1" x14ac:dyDescent="0.25">
      <c r="A2772" s="18"/>
      <c r="D2772" s="19"/>
      <c r="E2772" s="17"/>
      <c r="F2772" s="18"/>
      <c r="G2772" s="17"/>
      <c r="H2772" s="17"/>
    </row>
    <row r="2773" spans="1:8" s="10" customFormat="1" x14ac:dyDescent="0.25">
      <c r="A2773" s="18"/>
      <c r="D2773" s="19"/>
      <c r="E2773" s="17"/>
      <c r="F2773" s="18"/>
      <c r="G2773" s="17"/>
      <c r="H2773" s="17"/>
    </row>
    <row r="2774" spans="1:8" s="10" customFormat="1" x14ac:dyDescent="0.25">
      <c r="A2774" s="18"/>
      <c r="D2774" s="19"/>
      <c r="E2774" s="17"/>
      <c r="F2774" s="18"/>
      <c r="G2774" s="17"/>
      <c r="H2774" s="17"/>
    </row>
    <row r="2775" spans="1:8" s="10" customFormat="1" x14ac:dyDescent="0.25">
      <c r="A2775" s="18"/>
      <c r="D2775" s="19"/>
      <c r="E2775" s="17"/>
      <c r="F2775" s="18"/>
      <c r="G2775" s="17"/>
      <c r="H2775" s="17"/>
    </row>
    <row r="2776" spans="1:8" s="10" customFormat="1" x14ac:dyDescent="0.25">
      <c r="A2776" s="18"/>
      <c r="D2776" s="19"/>
      <c r="E2776" s="17"/>
      <c r="F2776" s="18"/>
      <c r="G2776" s="17"/>
      <c r="H2776" s="17"/>
    </row>
    <row r="2777" spans="1:8" s="10" customFormat="1" x14ac:dyDescent="0.25">
      <c r="A2777" s="18"/>
      <c r="D2777" s="19"/>
      <c r="E2777" s="17"/>
      <c r="F2777" s="18"/>
      <c r="G2777" s="17"/>
      <c r="H2777" s="17"/>
    </row>
    <row r="2778" spans="1:8" s="10" customFormat="1" x14ac:dyDescent="0.25">
      <c r="A2778" s="18"/>
      <c r="D2778" s="19"/>
      <c r="E2778" s="17"/>
      <c r="F2778" s="18"/>
      <c r="G2778" s="17"/>
      <c r="H2778" s="17"/>
    </row>
    <row r="2779" spans="1:8" s="10" customFormat="1" x14ac:dyDescent="0.25">
      <c r="A2779" s="18"/>
      <c r="D2779" s="19"/>
      <c r="E2779" s="17"/>
      <c r="F2779" s="18"/>
      <c r="G2779" s="17"/>
      <c r="H2779" s="17"/>
    </row>
    <row r="2780" spans="1:8" s="10" customFormat="1" x14ac:dyDescent="0.25">
      <c r="A2780" s="18"/>
      <c r="D2780" s="19"/>
      <c r="E2780" s="17"/>
      <c r="F2780" s="18"/>
      <c r="G2780" s="17"/>
      <c r="H2780" s="17"/>
    </row>
    <row r="2781" spans="1:8" s="10" customFormat="1" x14ac:dyDescent="0.25">
      <c r="A2781" s="18"/>
      <c r="D2781" s="19"/>
      <c r="E2781" s="17"/>
      <c r="F2781" s="18"/>
      <c r="G2781" s="17"/>
      <c r="H2781" s="17"/>
    </row>
    <row r="2782" spans="1:8" s="10" customFormat="1" x14ac:dyDescent="0.25">
      <c r="A2782" s="18"/>
      <c r="D2782" s="19"/>
      <c r="E2782" s="17"/>
      <c r="F2782" s="18"/>
      <c r="G2782" s="17"/>
      <c r="H2782" s="17"/>
    </row>
    <row r="2783" spans="1:8" s="10" customFormat="1" x14ac:dyDescent="0.25">
      <c r="A2783" s="18"/>
      <c r="D2783" s="19"/>
      <c r="E2783" s="17"/>
      <c r="F2783" s="18"/>
      <c r="G2783" s="17"/>
      <c r="H2783" s="17"/>
    </row>
    <row r="2784" spans="1:8" s="10" customFormat="1" x14ac:dyDescent="0.25">
      <c r="A2784" s="18"/>
      <c r="D2784" s="19"/>
      <c r="E2784" s="17"/>
      <c r="F2784" s="18"/>
      <c r="G2784" s="17"/>
      <c r="H2784" s="17"/>
    </row>
    <row r="2785" spans="1:8" s="10" customFormat="1" x14ac:dyDescent="0.25">
      <c r="A2785" s="18"/>
      <c r="D2785" s="19"/>
      <c r="E2785" s="17"/>
      <c r="F2785" s="18"/>
      <c r="G2785" s="17"/>
      <c r="H2785" s="17"/>
    </row>
    <row r="2786" spans="1:8" s="10" customFormat="1" x14ac:dyDescent="0.25">
      <c r="A2786" s="18"/>
      <c r="D2786" s="19"/>
      <c r="E2786" s="17"/>
      <c r="F2786" s="18"/>
      <c r="G2786" s="17"/>
      <c r="H2786" s="17"/>
    </row>
    <row r="2787" spans="1:8" s="10" customFormat="1" x14ac:dyDescent="0.25">
      <c r="A2787" s="18"/>
      <c r="D2787" s="19"/>
      <c r="E2787" s="17"/>
      <c r="F2787" s="18"/>
      <c r="G2787" s="17"/>
      <c r="H2787" s="17"/>
    </row>
    <row r="2788" spans="1:8" s="10" customFormat="1" x14ac:dyDescent="0.25">
      <c r="A2788" s="18"/>
      <c r="D2788" s="19"/>
      <c r="E2788" s="17"/>
      <c r="F2788" s="18"/>
      <c r="G2788" s="17"/>
      <c r="H2788" s="17"/>
    </row>
    <row r="2789" spans="1:8" s="10" customFormat="1" x14ac:dyDescent="0.25">
      <c r="A2789" s="18"/>
      <c r="D2789" s="19"/>
      <c r="E2789" s="17"/>
      <c r="F2789" s="18"/>
      <c r="G2789" s="17"/>
      <c r="H2789" s="17"/>
    </row>
    <row r="2790" spans="1:8" s="10" customFormat="1" x14ac:dyDescent="0.25">
      <c r="A2790" s="18"/>
      <c r="D2790" s="19"/>
      <c r="E2790" s="17"/>
      <c r="F2790" s="18"/>
      <c r="G2790" s="17"/>
      <c r="H2790" s="17"/>
    </row>
    <row r="2791" spans="1:8" s="10" customFormat="1" x14ac:dyDescent="0.25">
      <c r="A2791" s="18"/>
      <c r="D2791" s="19"/>
      <c r="E2791" s="17"/>
      <c r="F2791" s="18"/>
      <c r="G2791" s="17"/>
      <c r="H2791" s="17"/>
    </row>
    <row r="2792" spans="1:8" s="10" customFormat="1" x14ac:dyDescent="0.25">
      <c r="A2792" s="18"/>
      <c r="D2792" s="19"/>
      <c r="E2792" s="17"/>
      <c r="F2792" s="18"/>
      <c r="G2792" s="17"/>
      <c r="H2792" s="17"/>
    </row>
    <row r="2793" spans="1:8" s="10" customFormat="1" x14ac:dyDescent="0.25">
      <c r="A2793" s="18"/>
      <c r="D2793" s="19"/>
      <c r="E2793" s="17"/>
      <c r="F2793" s="18"/>
      <c r="G2793" s="17"/>
      <c r="H2793" s="17"/>
    </row>
    <row r="2794" spans="1:8" s="10" customFormat="1" x14ac:dyDescent="0.25">
      <c r="A2794" s="18"/>
      <c r="D2794" s="19"/>
      <c r="E2794" s="17"/>
      <c r="F2794" s="18"/>
      <c r="G2794" s="17"/>
      <c r="H2794" s="17"/>
    </row>
    <row r="2795" spans="1:8" s="10" customFormat="1" x14ac:dyDescent="0.25">
      <c r="A2795" s="18"/>
      <c r="D2795" s="19"/>
      <c r="E2795" s="17"/>
      <c r="F2795" s="18"/>
      <c r="G2795" s="17"/>
      <c r="H2795" s="17"/>
    </row>
    <row r="2796" spans="1:8" s="10" customFormat="1" x14ac:dyDescent="0.25">
      <c r="A2796" s="18"/>
      <c r="D2796" s="19"/>
      <c r="E2796" s="17"/>
      <c r="F2796" s="18"/>
      <c r="G2796" s="17"/>
      <c r="H2796" s="17"/>
    </row>
    <row r="2797" spans="1:8" s="10" customFormat="1" x14ac:dyDescent="0.25">
      <c r="A2797" s="18"/>
      <c r="D2797" s="19"/>
      <c r="E2797" s="17"/>
      <c r="F2797" s="18"/>
      <c r="G2797" s="17"/>
      <c r="H2797" s="17"/>
    </row>
    <row r="2798" spans="1:8" s="10" customFormat="1" x14ac:dyDescent="0.25">
      <c r="A2798" s="18"/>
      <c r="D2798" s="19"/>
      <c r="E2798" s="17"/>
      <c r="F2798" s="18"/>
      <c r="G2798" s="17"/>
      <c r="H2798" s="17"/>
    </row>
    <row r="2799" spans="1:8" s="10" customFormat="1" x14ac:dyDescent="0.25">
      <c r="A2799" s="18"/>
      <c r="D2799" s="19"/>
      <c r="E2799" s="17"/>
      <c r="F2799" s="18"/>
      <c r="G2799" s="17"/>
      <c r="H2799" s="17"/>
    </row>
    <row r="2800" spans="1:8" s="10" customFormat="1" x14ac:dyDescent="0.25">
      <c r="A2800" s="18"/>
      <c r="D2800" s="19"/>
      <c r="E2800" s="17"/>
      <c r="F2800" s="18"/>
      <c r="G2800" s="17"/>
      <c r="H2800" s="17"/>
    </row>
    <row r="2801" spans="1:8" s="10" customFormat="1" x14ac:dyDescent="0.25">
      <c r="A2801" s="18"/>
      <c r="D2801" s="19"/>
      <c r="E2801" s="17"/>
      <c r="F2801" s="18"/>
      <c r="G2801" s="17"/>
      <c r="H2801" s="17"/>
    </row>
    <row r="2802" spans="1:8" s="10" customFormat="1" x14ac:dyDescent="0.25">
      <c r="A2802" s="18"/>
      <c r="D2802" s="19"/>
      <c r="E2802" s="17"/>
      <c r="F2802" s="18"/>
      <c r="G2802" s="17"/>
      <c r="H2802" s="17"/>
    </row>
    <row r="2803" spans="1:8" s="10" customFormat="1" x14ac:dyDescent="0.25">
      <c r="A2803" s="18"/>
      <c r="D2803" s="19"/>
      <c r="E2803" s="17"/>
      <c r="F2803" s="18"/>
      <c r="G2803" s="17"/>
      <c r="H2803" s="17"/>
    </row>
    <row r="2804" spans="1:8" s="10" customFormat="1" x14ac:dyDescent="0.25">
      <c r="A2804" s="18"/>
      <c r="D2804" s="19"/>
      <c r="E2804" s="17"/>
      <c r="F2804" s="18"/>
      <c r="G2804" s="17"/>
      <c r="H2804" s="17"/>
    </row>
    <row r="2805" spans="1:8" s="10" customFormat="1" x14ac:dyDescent="0.25">
      <c r="A2805" s="18"/>
      <c r="D2805" s="19"/>
      <c r="E2805" s="17"/>
      <c r="F2805" s="18"/>
      <c r="G2805" s="17"/>
      <c r="H2805" s="17"/>
    </row>
    <row r="2806" spans="1:8" s="10" customFormat="1" x14ac:dyDescent="0.25">
      <c r="A2806" s="18"/>
      <c r="D2806" s="19"/>
      <c r="E2806" s="17"/>
      <c r="F2806" s="18"/>
      <c r="G2806" s="17"/>
      <c r="H2806" s="17"/>
    </row>
    <row r="2807" spans="1:8" s="10" customFormat="1" x14ac:dyDescent="0.25">
      <c r="A2807" s="18"/>
      <c r="D2807" s="19"/>
      <c r="E2807" s="17"/>
      <c r="F2807" s="18"/>
      <c r="G2807" s="17"/>
      <c r="H2807" s="17"/>
    </row>
    <row r="2808" spans="1:8" s="10" customFormat="1" x14ac:dyDescent="0.25">
      <c r="A2808" s="18"/>
      <c r="D2808" s="19"/>
      <c r="E2808" s="17"/>
      <c r="F2808" s="18"/>
      <c r="G2808" s="17"/>
      <c r="H2808" s="17"/>
    </row>
    <row r="2809" spans="1:8" s="10" customFormat="1" x14ac:dyDescent="0.25">
      <c r="A2809" s="18"/>
      <c r="D2809" s="19"/>
      <c r="E2809" s="17"/>
      <c r="F2809" s="18"/>
      <c r="G2809" s="17"/>
      <c r="H2809" s="17"/>
    </row>
    <row r="2810" spans="1:8" s="10" customFormat="1" x14ac:dyDescent="0.25">
      <c r="A2810" s="18"/>
      <c r="D2810" s="19"/>
      <c r="E2810" s="17"/>
      <c r="F2810" s="18"/>
      <c r="G2810" s="17"/>
      <c r="H2810" s="17"/>
    </row>
    <row r="2811" spans="1:8" s="10" customFormat="1" x14ac:dyDescent="0.25">
      <c r="A2811" s="18"/>
      <c r="D2811" s="19"/>
      <c r="E2811" s="17"/>
      <c r="F2811" s="18"/>
      <c r="G2811" s="17"/>
      <c r="H2811" s="17"/>
    </row>
    <row r="2812" spans="1:8" s="10" customFormat="1" x14ac:dyDescent="0.25">
      <c r="A2812" s="18"/>
      <c r="D2812" s="19"/>
      <c r="E2812" s="17"/>
      <c r="F2812" s="18"/>
      <c r="G2812" s="17"/>
      <c r="H2812" s="17"/>
    </row>
    <row r="2813" spans="1:8" s="10" customFormat="1" x14ac:dyDescent="0.25">
      <c r="A2813" s="18"/>
      <c r="D2813" s="19"/>
      <c r="E2813" s="17"/>
      <c r="F2813" s="18"/>
      <c r="G2813" s="17"/>
      <c r="H2813" s="17"/>
    </row>
    <row r="2814" spans="1:8" s="10" customFormat="1" x14ac:dyDescent="0.25">
      <c r="A2814" s="18"/>
      <c r="D2814" s="19"/>
      <c r="E2814" s="17"/>
      <c r="F2814" s="18"/>
      <c r="G2814" s="17"/>
      <c r="H2814" s="17"/>
    </row>
    <row r="2815" spans="1:8" s="10" customFormat="1" x14ac:dyDescent="0.25">
      <c r="A2815" s="18"/>
      <c r="D2815" s="19"/>
      <c r="E2815" s="17"/>
      <c r="F2815" s="18"/>
      <c r="G2815" s="17"/>
      <c r="H2815" s="17"/>
    </row>
    <row r="2816" spans="1:8" s="10" customFormat="1" x14ac:dyDescent="0.25">
      <c r="A2816" s="18"/>
      <c r="D2816" s="19"/>
      <c r="E2816" s="17"/>
      <c r="F2816" s="18"/>
      <c r="G2816" s="17"/>
      <c r="H2816" s="17"/>
    </row>
    <row r="2817" spans="1:8" s="10" customFormat="1" x14ac:dyDescent="0.25">
      <c r="A2817" s="18"/>
      <c r="D2817" s="19"/>
      <c r="E2817" s="17"/>
      <c r="F2817" s="18"/>
      <c r="G2817" s="17"/>
      <c r="H2817" s="17"/>
    </row>
    <row r="2818" spans="1:8" s="10" customFormat="1" x14ac:dyDescent="0.25">
      <c r="A2818" s="18"/>
      <c r="D2818" s="19"/>
      <c r="E2818" s="17"/>
      <c r="F2818" s="18"/>
      <c r="G2818" s="17"/>
      <c r="H2818" s="17"/>
    </row>
    <row r="2819" spans="1:8" s="10" customFormat="1" x14ac:dyDescent="0.25">
      <c r="A2819" s="18"/>
      <c r="D2819" s="19"/>
      <c r="E2819" s="17"/>
      <c r="F2819" s="18"/>
      <c r="G2819" s="17"/>
      <c r="H2819" s="17"/>
    </row>
    <row r="2820" spans="1:8" s="10" customFormat="1" x14ac:dyDescent="0.25">
      <c r="A2820" s="18"/>
      <c r="D2820" s="19"/>
      <c r="E2820" s="17"/>
      <c r="F2820" s="18"/>
      <c r="G2820" s="17"/>
      <c r="H2820" s="17"/>
    </row>
    <row r="2821" spans="1:8" s="10" customFormat="1" x14ac:dyDescent="0.25">
      <c r="A2821" s="18"/>
      <c r="D2821" s="19"/>
      <c r="E2821" s="17"/>
      <c r="F2821" s="18"/>
      <c r="G2821" s="17"/>
      <c r="H2821" s="17"/>
    </row>
    <row r="2822" spans="1:8" s="10" customFormat="1" x14ac:dyDescent="0.25">
      <c r="A2822" s="18"/>
      <c r="D2822" s="19"/>
      <c r="E2822" s="17"/>
      <c r="F2822" s="18"/>
      <c r="G2822" s="17"/>
      <c r="H2822" s="17"/>
    </row>
    <row r="2823" spans="1:8" s="10" customFormat="1" x14ac:dyDescent="0.25">
      <c r="A2823" s="18"/>
      <c r="D2823" s="19"/>
      <c r="E2823" s="17"/>
      <c r="F2823" s="18"/>
      <c r="G2823" s="17"/>
      <c r="H2823" s="17"/>
    </row>
    <row r="2824" spans="1:8" s="10" customFormat="1" x14ac:dyDescent="0.25">
      <c r="A2824" s="18"/>
      <c r="D2824" s="19"/>
      <c r="E2824" s="17"/>
      <c r="F2824" s="18"/>
      <c r="G2824" s="17"/>
      <c r="H2824" s="17"/>
    </row>
  </sheetData>
  <sheetProtection sheet="1" objects="1" scenarios="1"/>
  <mergeCells count="1">
    <mergeCell ref="K906:K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47</v>
      </c>
      <c r="B2" s="20" t="s">
        <v>48</v>
      </c>
      <c r="C2" s="99" t="s">
        <v>9335</v>
      </c>
      <c r="D2" s="99" t="s">
        <v>9336</v>
      </c>
      <c r="E2" s="99" t="s">
        <v>9337</v>
      </c>
      <c r="F2" s="99" t="s">
        <v>9338</v>
      </c>
      <c r="G2" s="99" t="s">
        <v>9339</v>
      </c>
      <c r="H2" s="99" t="s">
        <v>9340</v>
      </c>
      <c r="I2" s="99" t="s">
        <v>9341</v>
      </c>
      <c r="J2" s="99" t="s">
        <v>9342</v>
      </c>
      <c r="K2" s="99" t="s">
        <v>9343</v>
      </c>
      <c r="L2" s="99" t="s">
        <v>9344</v>
      </c>
      <c r="M2" s="99" t="s">
        <v>9345</v>
      </c>
      <c r="N2" s="99" t="s">
        <v>9346</v>
      </c>
      <c r="O2" s="275" t="s">
        <v>9848</v>
      </c>
    </row>
    <row r="3" spans="1:15" ht="15" customHeight="1" x14ac:dyDescent="0.2">
      <c r="A3" s="21" t="s">
        <v>51</v>
      </c>
      <c r="B3" s="22">
        <v>20355</v>
      </c>
      <c r="C3" s="100" t="s">
        <v>9347</v>
      </c>
      <c r="D3" s="99"/>
      <c r="E3" s="99" t="s">
        <v>9348</v>
      </c>
      <c r="F3" s="99"/>
      <c r="G3" s="99" t="s">
        <v>9349</v>
      </c>
      <c r="H3" s="99" t="s">
        <v>9350</v>
      </c>
      <c r="I3" s="99" t="s">
        <v>9351</v>
      </c>
      <c r="J3" s="99" t="s">
        <v>9352</v>
      </c>
      <c r="K3" s="99" t="s">
        <v>9353</v>
      </c>
      <c r="L3" s="100" t="s">
        <v>9347</v>
      </c>
      <c r="M3" s="99"/>
      <c r="N3" s="99" t="s">
        <v>9348</v>
      </c>
      <c r="O3" s="277" t="s">
        <v>20</v>
      </c>
    </row>
    <row r="4" spans="1:15" ht="15" customHeight="1" x14ac:dyDescent="0.2">
      <c r="A4" s="21" t="s">
        <v>52</v>
      </c>
      <c r="B4" s="22" t="s">
        <v>49</v>
      </c>
      <c r="C4" s="100" t="s">
        <v>99</v>
      </c>
      <c r="D4" s="99" t="s">
        <v>9354</v>
      </c>
      <c r="E4" s="99" t="s">
        <v>9355</v>
      </c>
      <c r="F4" s="99">
        <v>1</v>
      </c>
      <c r="G4" s="99" t="s">
        <v>9356</v>
      </c>
      <c r="H4" s="99" t="s">
        <v>9357</v>
      </c>
      <c r="I4" s="99" t="s">
        <v>9358</v>
      </c>
      <c r="J4" s="99" t="s">
        <v>9359</v>
      </c>
      <c r="K4" s="99" t="s">
        <v>9360</v>
      </c>
      <c r="L4" s="100" t="s">
        <v>99</v>
      </c>
      <c r="M4" s="99" t="s">
        <v>9361</v>
      </c>
      <c r="N4" s="99" t="s">
        <v>9355</v>
      </c>
      <c r="O4" s="276" t="s">
        <v>9849</v>
      </c>
    </row>
    <row r="5" spans="1:15" ht="15" customHeight="1" x14ac:dyDescent="0.2">
      <c r="A5" s="21" t="s">
        <v>35</v>
      </c>
      <c r="B5" s="23">
        <v>30535195869</v>
      </c>
      <c r="C5" s="100" t="s">
        <v>9362</v>
      </c>
      <c r="D5" s="99" t="s">
        <v>9363</v>
      </c>
      <c r="E5" s="99" t="s">
        <v>9364</v>
      </c>
      <c r="F5" s="99">
        <v>2</v>
      </c>
      <c r="G5" s="99" t="s">
        <v>9365</v>
      </c>
      <c r="H5" s="99"/>
      <c r="I5" s="99" t="s">
        <v>9366</v>
      </c>
      <c r="J5" s="99" t="s">
        <v>9367</v>
      </c>
      <c r="K5" s="99"/>
      <c r="L5" s="100" t="s">
        <v>9362</v>
      </c>
      <c r="M5" s="99" t="s">
        <v>9368</v>
      </c>
      <c r="N5" s="99" t="s">
        <v>9364</v>
      </c>
      <c r="O5" s="277" t="s">
        <v>12</v>
      </c>
    </row>
    <row r="6" spans="1:15" ht="15" customHeight="1" x14ac:dyDescent="0.2">
      <c r="A6" s="21" t="s">
        <v>28</v>
      </c>
      <c r="B6" s="22" t="s">
        <v>54</v>
      </c>
      <c r="C6" s="100" t="s">
        <v>9369</v>
      </c>
      <c r="D6" s="99" t="s">
        <v>9370</v>
      </c>
      <c r="E6" s="99" t="s">
        <v>33</v>
      </c>
      <c r="F6" s="99">
        <v>3</v>
      </c>
      <c r="G6" s="99"/>
      <c r="H6" s="99"/>
      <c r="I6" s="99"/>
      <c r="J6" s="99" t="s">
        <v>9371</v>
      </c>
      <c r="K6" s="99"/>
      <c r="L6" s="100" t="s">
        <v>9369</v>
      </c>
      <c r="M6" s="99" t="s">
        <v>9372</v>
      </c>
      <c r="N6" s="99" t="s">
        <v>33</v>
      </c>
      <c r="O6" s="278" t="s">
        <v>39</v>
      </c>
    </row>
    <row r="7" spans="1:15" ht="15" customHeight="1" x14ac:dyDescent="0.2">
      <c r="A7" s="21" t="s">
        <v>53</v>
      </c>
      <c r="B7" s="22">
        <v>1665</v>
      </c>
      <c r="C7" s="100" t="s">
        <v>9373</v>
      </c>
      <c r="D7" s="99" t="s">
        <v>9374</v>
      </c>
      <c r="E7" s="99" t="s">
        <v>9375</v>
      </c>
      <c r="F7" s="99">
        <v>4</v>
      </c>
      <c r="G7" s="99"/>
      <c r="H7" s="99"/>
      <c r="I7" s="99"/>
      <c r="J7" s="99" t="s">
        <v>9376</v>
      </c>
      <c r="K7" s="99"/>
      <c r="L7" s="100" t="s">
        <v>9373</v>
      </c>
      <c r="M7" s="99" t="s">
        <v>9377</v>
      </c>
      <c r="N7" s="99" t="s">
        <v>9375</v>
      </c>
      <c r="O7" s="277" t="s">
        <v>0</v>
      </c>
    </row>
    <row r="8" spans="1:15" ht="15" customHeight="1" x14ac:dyDescent="0.2">
      <c r="A8" s="21" t="s">
        <v>55</v>
      </c>
      <c r="B8" s="22" t="s">
        <v>50</v>
      </c>
      <c r="C8" s="100" t="s">
        <v>9378</v>
      </c>
      <c r="D8" s="99" t="s">
        <v>9379</v>
      </c>
      <c r="E8" s="99" t="s">
        <v>9321</v>
      </c>
      <c r="F8" s="99">
        <v>5</v>
      </c>
      <c r="G8" s="99"/>
      <c r="H8" s="99"/>
      <c r="I8" s="99"/>
      <c r="J8" s="99" t="s">
        <v>9380</v>
      </c>
      <c r="K8" s="99"/>
      <c r="L8" s="100" t="s">
        <v>9378</v>
      </c>
      <c r="M8" s="99" t="s">
        <v>9381</v>
      </c>
      <c r="N8" s="99" t="s">
        <v>9321</v>
      </c>
      <c r="O8" s="278" t="s">
        <v>9850</v>
      </c>
    </row>
    <row r="9" spans="1:15" ht="15" customHeight="1" x14ac:dyDescent="0.2">
      <c r="A9" s="21" t="s">
        <v>31</v>
      </c>
      <c r="B9" s="22" t="s">
        <v>50</v>
      </c>
      <c r="C9" s="100" t="s">
        <v>9382</v>
      </c>
      <c r="D9" s="99" t="s">
        <v>9383</v>
      </c>
      <c r="E9" s="99" t="s">
        <v>9384</v>
      </c>
      <c r="F9" s="99">
        <v>6</v>
      </c>
      <c r="G9" s="99"/>
      <c r="H9" s="99"/>
      <c r="I9" s="99"/>
      <c r="J9" s="99" t="s">
        <v>9385</v>
      </c>
      <c r="K9" s="99"/>
      <c r="L9" s="100" t="s">
        <v>9382</v>
      </c>
      <c r="M9" s="99" t="s">
        <v>9386</v>
      </c>
      <c r="N9" s="99" t="s">
        <v>9384</v>
      </c>
      <c r="O9" s="277" t="s">
        <v>4</v>
      </c>
    </row>
    <row r="10" spans="1:15" ht="15" customHeight="1" x14ac:dyDescent="0.2">
      <c r="A10" s="21" t="s">
        <v>13</v>
      </c>
      <c r="B10" s="24">
        <v>5500</v>
      </c>
      <c r="C10" s="100" t="s">
        <v>9387</v>
      </c>
      <c r="D10" s="99" t="s">
        <v>9388</v>
      </c>
      <c r="E10" s="99" t="s">
        <v>9389</v>
      </c>
      <c r="F10" s="99">
        <v>7</v>
      </c>
      <c r="G10" s="99"/>
      <c r="H10" s="99"/>
      <c r="I10" s="99"/>
      <c r="J10" s="99" t="s">
        <v>9390</v>
      </c>
      <c r="K10" s="99"/>
      <c r="L10" s="100" t="s">
        <v>9387</v>
      </c>
      <c r="M10" s="99" t="s">
        <v>9391</v>
      </c>
      <c r="N10" s="99" t="s">
        <v>9389</v>
      </c>
      <c r="O10" s="278" t="s">
        <v>9851</v>
      </c>
    </row>
    <row r="11" spans="1:15" ht="15" customHeight="1" x14ac:dyDescent="0.2">
      <c r="A11" s="21" t="s">
        <v>56</v>
      </c>
      <c r="B11" s="25" t="s">
        <v>45</v>
      </c>
      <c r="C11" s="100" t="s">
        <v>9392</v>
      </c>
      <c r="D11" s="99" t="s">
        <v>9393</v>
      </c>
      <c r="E11" s="99" t="s">
        <v>9394</v>
      </c>
      <c r="F11" s="99">
        <v>8</v>
      </c>
      <c r="G11" s="99"/>
      <c r="H11" s="99"/>
      <c r="I11" s="99"/>
      <c r="J11" s="99"/>
      <c r="K11" s="99"/>
      <c r="L11" s="100" t="s">
        <v>9392</v>
      </c>
      <c r="M11" s="99" t="s">
        <v>9395</v>
      </c>
      <c r="N11" s="99" t="s">
        <v>9394</v>
      </c>
      <c r="O11" s="277" t="s">
        <v>44</v>
      </c>
    </row>
    <row r="12" spans="1:15" ht="15" customHeight="1" x14ac:dyDescent="0.2">
      <c r="A12" s="21" t="s">
        <v>57</v>
      </c>
      <c r="B12" s="24" t="s">
        <v>46</v>
      </c>
      <c r="C12" s="100" t="s">
        <v>9396</v>
      </c>
      <c r="D12" s="99" t="s">
        <v>9397</v>
      </c>
      <c r="E12" s="99" t="s">
        <v>9398</v>
      </c>
      <c r="F12" s="99">
        <v>9</v>
      </c>
      <c r="G12" s="99"/>
      <c r="H12" s="99"/>
      <c r="I12" s="99"/>
      <c r="J12" s="99"/>
      <c r="K12" s="99"/>
      <c r="L12" s="100" t="s">
        <v>9396</v>
      </c>
      <c r="M12" s="99" t="s">
        <v>9399</v>
      </c>
      <c r="N12" s="99" t="s">
        <v>9398</v>
      </c>
      <c r="O12" s="278" t="s">
        <v>40</v>
      </c>
    </row>
    <row r="13" spans="1:15" x14ac:dyDescent="0.2">
      <c r="C13" s="100" t="s">
        <v>104</v>
      </c>
      <c r="D13" s="99" t="s">
        <v>9400</v>
      </c>
      <c r="E13" s="99" t="s">
        <v>9324</v>
      </c>
      <c r="F13" s="99">
        <v>10</v>
      </c>
      <c r="G13" s="99"/>
      <c r="H13" s="99"/>
      <c r="I13" s="99"/>
      <c r="J13" s="99"/>
      <c r="K13" s="99"/>
      <c r="L13" s="100" t="s">
        <v>104</v>
      </c>
      <c r="M13" s="99" t="s">
        <v>9401</v>
      </c>
      <c r="N13" s="99" t="s">
        <v>9324</v>
      </c>
      <c r="O13" s="277" t="s">
        <v>43</v>
      </c>
    </row>
    <row r="14" spans="1:15" x14ac:dyDescent="0.2">
      <c r="C14" s="100" t="s">
        <v>9402</v>
      </c>
      <c r="D14" s="99" t="s">
        <v>9403</v>
      </c>
      <c r="E14" s="99" t="s">
        <v>9404</v>
      </c>
      <c r="F14" s="99">
        <v>11</v>
      </c>
      <c r="G14" s="99"/>
      <c r="H14" s="99"/>
      <c r="I14" s="99"/>
      <c r="J14" s="99"/>
      <c r="K14" s="99"/>
      <c r="L14" s="100" t="s">
        <v>9402</v>
      </c>
      <c r="M14" s="99" t="s">
        <v>9405</v>
      </c>
      <c r="N14" s="99" t="s">
        <v>9404</v>
      </c>
      <c r="O14" s="278" t="s">
        <v>6</v>
      </c>
    </row>
    <row r="15" spans="1:15" x14ac:dyDescent="0.2">
      <c r="C15" s="100" t="s">
        <v>9406</v>
      </c>
      <c r="D15" s="99" t="s">
        <v>9407</v>
      </c>
      <c r="E15" s="99"/>
      <c r="F15" s="99">
        <v>12</v>
      </c>
      <c r="G15" s="99"/>
      <c r="H15" s="99"/>
      <c r="I15" s="99"/>
      <c r="J15" s="99"/>
      <c r="K15" s="99"/>
      <c r="L15" s="100" t="s">
        <v>9406</v>
      </c>
      <c r="M15" s="99" t="s">
        <v>9408</v>
      </c>
      <c r="N15" s="99" t="s">
        <v>9349</v>
      </c>
      <c r="O15" s="277" t="s">
        <v>16</v>
      </c>
    </row>
    <row r="16" spans="1:15" x14ac:dyDescent="0.2">
      <c r="C16" s="100" t="s">
        <v>9409</v>
      </c>
      <c r="D16" s="99" t="s">
        <v>9410</v>
      </c>
      <c r="E16" s="99"/>
      <c r="F16" s="99">
        <v>13</v>
      </c>
      <c r="G16" s="99"/>
      <c r="H16" s="99"/>
      <c r="I16" s="99"/>
      <c r="J16" s="99"/>
      <c r="K16" s="99"/>
      <c r="L16" s="100" t="s">
        <v>9409</v>
      </c>
      <c r="M16" s="99" t="s">
        <v>9411</v>
      </c>
      <c r="N16" s="99" t="s">
        <v>9356</v>
      </c>
      <c r="O16" s="278" t="s">
        <v>7</v>
      </c>
    </row>
    <row r="17" spans="3:15" x14ac:dyDescent="0.2">
      <c r="C17" s="100" t="s">
        <v>1231</v>
      </c>
      <c r="D17" s="99" t="s">
        <v>9412</v>
      </c>
      <c r="E17" s="99"/>
      <c r="F17" s="99">
        <v>14</v>
      </c>
      <c r="G17" s="99"/>
      <c r="H17" s="99"/>
      <c r="I17" s="99"/>
      <c r="J17" s="99"/>
      <c r="K17" s="99"/>
      <c r="L17" s="100" t="s">
        <v>1231</v>
      </c>
      <c r="M17" s="99" t="s">
        <v>9413</v>
      </c>
      <c r="N17" s="99" t="s">
        <v>9365</v>
      </c>
      <c r="O17" s="277" t="s">
        <v>9852</v>
      </c>
    </row>
    <row r="18" spans="3:15" x14ac:dyDescent="0.2">
      <c r="C18" s="100" t="s">
        <v>101</v>
      </c>
      <c r="D18" s="99" t="s">
        <v>9414</v>
      </c>
      <c r="E18" s="99"/>
      <c r="F18" s="99">
        <v>15</v>
      </c>
      <c r="G18" s="99"/>
      <c r="H18" s="99"/>
      <c r="I18" s="99"/>
      <c r="J18" s="99"/>
      <c r="K18" s="99"/>
      <c r="L18" s="100" t="s">
        <v>101</v>
      </c>
      <c r="M18" s="99" t="s">
        <v>9415</v>
      </c>
      <c r="N18" s="99" t="s">
        <v>9350</v>
      </c>
      <c r="O18" s="278" t="s">
        <v>9853</v>
      </c>
    </row>
    <row r="19" spans="3:15" x14ac:dyDescent="0.2">
      <c r="C19" s="100" t="s">
        <v>118</v>
      </c>
      <c r="D19" s="99" t="s">
        <v>9416</v>
      </c>
      <c r="E19" s="99"/>
      <c r="F19" s="99">
        <v>16</v>
      </c>
      <c r="G19" s="99"/>
      <c r="H19" s="99"/>
      <c r="I19" s="99"/>
      <c r="J19" s="99"/>
      <c r="K19" s="99"/>
      <c r="L19" s="100" t="s">
        <v>118</v>
      </c>
      <c r="M19" s="99" t="s">
        <v>9417</v>
      </c>
      <c r="N19" s="99" t="s">
        <v>9357</v>
      </c>
      <c r="O19" s="277" t="s">
        <v>32</v>
      </c>
    </row>
    <row r="20" spans="3:15" x14ac:dyDescent="0.2">
      <c r="C20" s="100" t="s">
        <v>69</v>
      </c>
      <c r="D20" s="99" t="s">
        <v>9418</v>
      </c>
      <c r="E20" s="99"/>
      <c r="F20" s="99">
        <v>17</v>
      </c>
      <c r="G20" s="99"/>
      <c r="H20" s="99"/>
      <c r="I20" s="99"/>
      <c r="J20" s="99"/>
      <c r="K20" s="99"/>
      <c r="L20" s="100" t="s">
        <v>69</v>
      </c>
      <c r="M20" s="99" t="s">
        <v>9419</v>
      </c>
      <c r="N20" s="99" t="s">
        <v>9351</v>
      </c>
      <c r="O20" s="278" t="s">
        <v>41</v>
      </c>
    </row>
    <row r="21" spans="3:15" x14ac:dyDescent="0.2">
      <c r="C21" s="100" t="s">
        <v>65</v>
      </c>
      <c r="D21" s="99" t="s">
        <v>9420</v>
      </c>
      <c r="E21" s="99"/>
      <c r="F21" s="99">
        <v>18</v>
      </c>
      <c r="G21" s="99"/>
      <c r="H21" s="99"/>
      <c r="I21" s="99"/>
      <c r="J21" s="99"/>
      <c r="K21" s="99"/>
      <c r="L21" s="100" t="s">
        <v>65</v>
      </c>
      <c r="M21" s="99" t="s">
        <v>9421</v>
      </c>
      <c r="N21" s="99" t="s">
        <v>9358</v>
      </c>
      <c r="O21" s="277" t="s">
        <v>5</v>
      </c>
    </row>
    <row r="22" spans="3:15" x14ac:dyDescent="0.2">
      <c r="C22" s="100" t="s">
        <v>124</v>
      </c>
      <c r="D22" s="99" t="s">
        <v>9422</v>
      </c>
      <c r="E22" s="99"/>
      <c r="F22" s="99">
        <v>19</v>
      </c>
      <c r="G22" s="99"/>
      <c r="H22" s="99"/>
      <c r="I22" s="99"/>
      <c r="J22" s="99"/>
      <c r="K22" s="99"/>
      <c r="L22" s="100" t="s">
        <v>124</v>
      </c>
      <c r="M22" s="99" t="s">
        <v>9423</v>
      </c>
      <c r="N22" s="99" t="s">
        <v>9366</v>
      </c>
      <c r="O22" s="278" t="s">
        <v>11</v>
      </c>
    </row>
    <row r="23" spans="3:15" x14ac:dyDescent="0.2">
      <c r="C23" s="100" t="s">
        <v>130</v>
      </c>
      <c r="D23" s="99" t="s">
        <v>9424</v>
      </c>
      <c r="E23" s="99"/>
      <c r="F23" s="99">
        <v>20</v>
      </c>
      <c r="G23" s="99"/>
      <c r="H23" s="99"/>
      <c r="I23" s="99"/>
      <c r="J23" s="99"/>
      <c r="K23" s="99"/>
      <c r="L23" s="100" t="s">
        <v>130</v>
      </c>
      <c r="M23" s="99" t="s">
        <v>9425</v>
      </c>
      <c r="N23" s="99" t="s">
        <v>9352</v>
      </c>
      <c r="O23" s="277" t="s">
        <v>14</v>
      </c>
    </row>
    <row r="24" spans="3:15" x14ac:dyDescent="0.2">
      <c r="C24" s="100" t="s">
        <v>86</v>
      </c>
      <c r="D24" s="99" t="s">
        <v>9426</v>
      </c>
      <c r="E24" s="99"/>
      <c r="F24" s="99">
        <v>21</v>
      </c>
      <c r="G24" s="99"/>
      <c r="H24" s="99"/>
      <c r="I24" s="99"/>
      <c r="J24" s="99"/>
      <c r="K24" s="99"/>
      <c r="L24" s="100" t="s">
        <v>86</v>
      </c>
      <c r="M24" s="99" t="s">
        <v>9427</v>
      </c>
      <c r="N24" s="99" t="s">
        <v>9359</v>
      </c>
      <c r="O24" s="278" t="s">
        <v>42</v>
      </c>
    </row>
    <row r="25" spans="3:15" x14ac:dyDescent="0.2">
      <c r="C25" s="100" t="s">
        <v>755</v>
      </c>
      <c r="D25" s="99" t="s">
        <v>9428</v>
      </c>
      <c r="E25" s="99"/>
      <c r="F25" s="99">
        <v>22</v>
      </c>
      <c r="G25" s="99"/>
      <c r="H25" s="99"/>
      <c r="I25" s="99"/>
      <c r="J25" s="99"/>
      <c r="K25" s="99"/>
      <c r="L25" s="100" t="s">
        <v>755</v>
      </c>
      <c r="M25" s="99" t="s">
        <v>9429</v>
      </c>
      <c r="N25" s="99" t="s">
        <v>9367</v>
      </c>
      <c r="O25" s="277" t="s">
        <v>3</v>
      </c>
    </row>
    <row r="26" spans="3:15" x14ac:dyDescent="0.2">
      <c r="C26" s="100" t="s">
        <v>9430</v>
      </c>
      <c r="D26" s="99" t="s">
        <v>9431</v>
      </c>
      <c r="E26" s="99"/>
      <c r="F26" s="99">
        <v>23</v>
      </c>
      <c r="G26" s="99"/>
      <c r="H26" s="99"/>
      <c r="I26" s="99"/>
      <c r="J26" s="99"/>
      <c r="K26" s="99"/>
      <c r="L26" s="100" t="s">
        <v>9430</v>
      </c>
      <c r="M26" s="99" t="s">
        <v>9432</v>
      </c>
      <c r="N26" s="99" t="s">
        <v>9371</v>
      </c>
      <c r="O26" s="278" t="s">
        <v>9854</v>
      </c>
    </row>
    <row r="27" spans="3:15" x14ac:dyDescent="0.2">
      <c r="C27" s="100" t="s">
        <v>9433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9433</v>
      </c>
      <c r="M27" s="99"/>
      <c r="N27" s="99" t="s">
        <v>9376</v>
      </c>
      <c r="O27" s="99"/>
    </row>
    <row r="28" spans="3:15" x14ac:dyDescent="0.2">
      <c r="C28" s="100" t="s">
        <v>9434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9434</v>
      </c>
      <c r="M28" s="99"/>
      <c r="N28" s="99" t="s">
        <v>9380</v>
      </c>
      <c r="O28" s="99"/>
    </row>
    <row r="29" spans="3:15" x14ac:dyDescent="0.2">
      <c r="C29" s="100" t="s">
        <v>9435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9435</v>
      </c>
      <c r="M29" s="99"/>
      <c r="N29" s="99" t="s">
        <v>9385</v>
      </c>
      <c r="O29" s="99"/>
    </row>
    <row r="30" spans="3:15" x14ac:dyDescent="0.2">
      <c r="C30" s="100" t="s">
        <v>9436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9436</v>
      </c>
      <c r="M30" s="99"/>
      <c r="N30" s="99" t="s">
        <v>9390</v>
      </c>
      <c r="O30" s="99"/>
    </row>
    <row r="31" spans="3:15" x14ac:dyDescent="0.2">
      <c r="C31" s="100" t="s">
        <v>9437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9437</v>
      </c>
      <c r="M31" s="99"/>
      <c r="N31" s="99" t="s">
        <v>9353</v>
      </c>
      <c r="O31" s="99"/>
    </row>
    <row r="32" spans="3:15" x14ac:dyDescent="0.2">
      <c r="C32" s="100" t="s">
        <v>9438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9438</v>
      </c>
      <c r="M32" s="99"/>
      <c r="N32" s="99" t="s">
        <v>9360</v>
      </c>
      <c r="O32" s="99"/>
    </row>
    <row r="33" spans="3:15" x14ac:dyDescent="0.2">
      <c r="C33" s="100" t="s">
        <v>9439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9439</v>
      </c>
      <c r="M33" s="99"/>
      <c r="N33" s="99">
        <v>1</v>
      </c>
      <c r="O33" s="99"/>
    </row>
    <row r="34" spans="3:15" x14ac:dyDescent="0.2">
      <c r="C34" s="100" t="s">
        <v>9440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9440</v>
      </c>
      <c r="M34" s="99"/>
      <c r="N34" s="99">
        <v>2</v>
      </c>
      <c r="O34" s="99"/>
    </row>
    <row r="35" spans="3:15" x14ac:dyDescent="0.2">
      <c r="C35" s="100" t="s">
        <v>9441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9441</v>
      </c>
      <c r="M35" s="99"/>
      <c r="N35" s="99">
        <v>3</v>
      </c>
      <c r="O35" s="99"/>
    </row>
    <row r="36" spans="3:15" x14ac:dyDescent="0.2">
      <c r="C36" s="100" t="s">
        <v>9442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9442</v>
      </c>
      <c r="M36" s="99"/>
      <c r="N36" s="99">
        <v>4</v>
      </c>
      <c r="O36" s="99"/>
    </row>
    <row r="37" spans="3:15" x14ac:dyDescent="0.2">
      <c r="C37" s="100" t="s">
        <v>9443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9443</v>
      </c>
      <c r="M37" s="99"/>
      <c r="N37" s="99">
        <v>5</v>
      </c>
      <c r="O37" s="99"/>
    </row>
    <row r="38" spans="3:15" x14ac:dyDescent="0.2">
      <c r="C38" s="100" t="s">
        <v>9444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9444</v>
      </c>
      <c r="M38" s="99"/>
      <c r="N38" s="99">
        <v>6</v>
      </c>
      <c r="O38" s="99"/>
    </row>
    <row r="39" spans="3:15" x14ac:dyDescent="0.2">
      <c r="C39" s="100" t="s">
        <v>9445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9445</v>
      </c>
      <c r="M39" s="99"/>
      <c r="N39" s="99">
        <v>7</v>
      </c>
      <c r="O39" s="99"/>
    </row>
    <row r="40" spans="3:15" x14ac:dyDescent="0.2">
      <c r="C40" s="100" t="s">
        <v>9446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9446</v>
      </c>
      <c r="M40" s="99"/>
      <c r="N40" s="99">
        <v>8</v>
      </c>
      <c r="O40" s="99"/>
    </row>
    <row r="41" spans="3:15" x14ac:dyDescent="0.2">
      <c r="C41" s="100" t="s">
        <v>9447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9447</v>
      </c>
      <c r="M41" s="99"/>
      <c r="N41" s="99">
        <v>9</v>
      </c>
      <c r="O41" s="99"/>
    </row>
    <row r="42" spans="3:15" x14ac:dyDescent="0.2">
      <c r="C42" s="100" t="s">
        <v>9448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9448</v>
      </c>
      <c r="M42" s="99"/>
      <c r="N42" s="99">
        <v>10</v>
      </c>
      <c r="O42" s="99"/>
    </row>
    <row r="43" spans="3:15" x14ac:dyDescent="0.2">
      <c r="C43" s="100" t="s">
        <v>9449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9449</v>
      </c>
      <c r="M43" s="99"/>
      <c r="N43" s="99">
        <v>11</v>
      </c>
      <c r="O43" s="99"/>
    </row>
    <row r="44" spans="3:15" x14ac:dyDescent="0.2">
      <c r="C44" s="100" t="s">
        <v>9450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9450</v>
      </c>
      <c r="M44" s="99"/>
      <c r="N44" s="99">
        <v>12</v>
      </c>
      <c r="O44" s="99"/>
    </row>
    <row r="45" spans="3:15" x14ac:dyDescent="0.2">
      <c r="C45" s="100" t="s">
        <v>9451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9451</v>
      </c>
      <c r="M45" s="99"/>
      <c r="N45" s="99">
        <v>13</v>
      </c>
      <c r="O45" s="99"/>
    </row>
    <row r="46" spans="3:15" x14ac:dyDescent="0.2">
      <c r="C46" s="100" t="s">
        <v>9452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9452</v>
      </c>
      <c r="M46" s="99"/>
      <c r="N46" s="99">
        <v>14</v>
      </c>
      <c r="O46" s="99"/>
    </row>
    <row r="47" spans="3:15" x14ac:dyDescent="0.2">
      <c r="C47" s="100" t="s">
        <v>9453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9453</v>
      </c>
      <c r="M47" s="99"/>
      <c r="N47" s="99">
        <v>15</v>
      </c>
      <c r="O47" s="99"/>
    </row>
    <row r="48" spans="3:15" x14ac:dyDescent="0.2">
      <c r="C48" s="100" t="s">
        <v>9454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9454</v>
      </c>
      <c r="M48" s="99"/>
      <c r="N48" s="99">
        <v>16</v>
      </c>
      <c r="O48" s="99"/>
    </row>
    <row r="49" spans="3:15" x14ac:dyDescent="0.2">
      <c r="C49" s="100" t="s">
        <v>9455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9455</v>
      </c>
      <c r="M49" s="99"/>
      <c r="N49" s="99">
        <v>17</v>
      </c>
      <c r="O49" s="99"/>
    </row>
    <row r="50" spans="3:15" x14ac:dyDescent="0.2">
      <c r="C50" s="100" t="s">
        <v>9456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9456</v>
      </c>
      <c r="M50" s="99"/>
      <c r="N50" s="99">
        <v>18</v>
      </c>
      <c r="O50" s="99"/>
    </row>
    <row r="51" spans="3:15" x14ac:dyDescent="0.2">
      <c r="C51" s="100" t="s">
        <v>9457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9457</v>
      </c>
      <c r="M51" s="99"/>
      <c r="N51" s="99">
        <v>19</v>
      </c>
      <c r="O51" s="99"/>
    </row>
    <row r="52" spans="3:15" x14ac:dyDescent="0.2">
      <c r="C52" s="100" t="s">
        <v>9458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9458</v>
      </c>
      <c r="M52" s="99"/>
      <c r="N52" s="99">
        <v>20</v>
      </c>
      <c r="O52" s="99"/>
    </row>
    <row r="53" spans="3:15" x14ac:dyDescent="0.2">
      <c r="C53" s="100" t="s">
        <v>9459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9459</v>
      </c>
      <c r="M53" s="99"/>
      <c r="N53" s="99">
        <v>21</v>
      </c>
      <c r="O53" s="99"/>
    </row>
    <row r="54" spans="3:15" x14ac:dyDescent="0.2">
      <c r="C54" s="100" t="s">
        <v>9460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9460</v>
      </c>
      <c r="M54" s="99"/>
      <c r="N54" s="99">
        <v>22</v>
      </c>
      <c r="O54" s="99"/>
    </row>
    <row r="55" spans="3:15" x14ac:dyDescent="0.2">
      <c r="C55" s="100" t="s">
        <v>9461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9461</v>
      </c>
      <c r="M55" s="99"/>
      <c r="N55" s="99">
        <v>23</v>
      </c>
      <c r="O55" s="99"/>
    </row>
    <row r="56" spans="3:15" x14ac:dyDescent="0.2">
      <c r="C56" s="100" t="s">
        <v>9462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9462</v>
      </c>
      <c r="M56" s="99"/>
      <c r="N56" s="99">
        <v>24</v>
      </c>
      <c r="O56" s="99"/>
    </row>
    <row r="57" spans="3:15" x14ac:dyDescent="0.2">
      <c r="C57" s="100" t="s">
        <v>9463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9463</v>
      </c>
      <c r="M57" s="99"/>
      <c r="N57" s="99">
        <v>25</v>
      </c>
      <c r="O57" s="99"/>
    </row>
    <row r="58" spans="3:15" x14ac:dyDescent="0.2">
      <c r="C58" s="100" t="s">
        <v>9464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9464</v>
      </c>
      <c r="M58" s="99"/>
      <c r="N58" s="99">
        <v>26</v>
      </c>
      <c r="O58" s="99"/>
    </row>
    <row r="59" spans="3:15" x14ac:dyDescent="0.2">
      <c r="C59" s="100" t="s">
        <v>9465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9465</v>
      </c>
      <c r="M59" s="99"/>
      <c r="N59" s="99">
        <v>27</v>
      </c>
      <c r="O59" s="99"/>
    </row>
    <row r="60" spans="3:15" x14ac:dyDescent="0.2">
      <c r="C60" s="100" t="s">
        <v>9466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9466</v>
      </c>
      <c r="M60" s="99"/>
      <c r="N60" s="99">
        <v>28</v>
      </c>
      <c r="O60" s="99"/>
    </row>
    <row r="61" spans="3:15" x14ac:dyDescent="0.2">
      <c r="C61" s="100" t="s">
        <v>9467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9467</v>
      </c>
      <c r="M61" s="99"/>
      <c r="N61" s="99">
        <v>29</v>
      </c>
      <c r="O61" s="99"/>
    </row>
    <row r="62" spans="3:15" x14ac:dyDescent="0.2">
      <c r="C62" s="100" t="s">
        <v>9468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9468</v>
      </c>
      <c r="M62" s="99"/>
      <c r="N62" s="99">
        <v>30</v>
      </c>
      <c r="O62" s="99"/>
    </row>
    <row r="63" spans="3:15" x14ac:dyDescent="0.2">
      <c r="C63" s="100" t="s">
        <v>9469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9469</v>
      </c>
      <c r="M63" s="99"/>
      <c r="N63" s="99">
        <v>31</v>
      </c>
      <c r="O63" s="99"/>
    </row>
    <row r="64" spans="3:15" x14ac:dyDescent="0.2">
      <c r="C64" s="100" t="s">
        <v>9470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9470</v>
      </c>
      <c r="M64" s="99"/>
      <c r="N64" s="99">
        <v>32</v>
      </c>
      <c r="O64" s="99"/>
    </row>
    <row r="65" spans="3:15" x14ac:dyDescent="0.2">
      <c r="C65" s="100" t="s">
        <v>9471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9471</v>
      </c>
      <c r="M65" s="99"/>
      <c r="N65" s="99">
        <v>33</v>
      </c>
      <c r="O65" s="99"/>
    </row>
    <row r="66" spans="3:15" x14ac:dyDescent="0.2">
      <c r="C66" s="100" t="s">
        <v>9472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9472</v>
      </c>
      <c r="M66" s="99"/>
      <c r="N66" s="99">
        <v>34</v>
      </c>
      <c r="O66" s="99"/>
    </row>
    <row r="67" spans="3:15" x14ac:dyDescent="0.2">
      <c r="C67" s="100" t="s">
        <v>9473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9473</v>
      </c>
      <c r="M67" s="99"/>
      <c r="N67" s="99">
        <v>35</v>
      </c>
      <c r="O67" s="99"/>
    </row>
    <row r="68" spans="3:15" x14ac:dyDescent="0.2">
      <c r="C68" s="100" t="s">
        <v>9474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9474</v>
      </c>
      <c r="M68" s="99"/>
      <c r="N68" s="99">
        <v>36</v>
      </c>
      <c r="O68" s="99"/>
    </row>
    <row r="69" spans="3:15" x14ac:dyDescent="0.2">
      <c r="C69" s="100" t="s">
        <v>9475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9475</v>
      </c>
      <c r="M69" s="99"/>
      <c r="N69" s="99">
        <v>37</v>
      </c>
      <c r="O69" s="99"/>
    </row>
    <row r="70" spans="3:15" x14ac:dyDescent="0.2">
      <c r="C70" s="100" t="s">
        <v>9476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9476</v>
      </c>
      <c r="M70" s="99"/>
      <c r="N70" s="99">
        <v>38</v>
      </c>
      <c r="O70" s="99"/>
    </row>
    <row r="71" spans="3:15" x14ac:dyDescent="0.2">
      <c r="C71" s="100" t="s">
        <v>9477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9477</v>
      </c>
      <c r="M71" s="99"/>
      <c r="N71" s="99">
        <v>39</v>
      </c>
      <c r="O71" s="99"/>
    </row>
    <row r="72" spans="3:15" x14ac:dyDescent="0.2">
      <c r="C72" s="100" t="s">
        <v>9478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9478</v>
      </c>
      <c r="M72" s="99"/>
      <c r="N72" s="99">
        <v>40</v>
      </c>
      <c r="O72" s="99"/>
    </row>
    <row r="73" spans="3:15" x14ac:dyDescent="0.2">
      <c r="C73" s="100" t="s">
        <v>9479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9479</v>
      </c>
      <c r="M73" s="99"/>
      <c r="N73" s="99">
        <v>41</v>
      </c>
      <c r="O73" s="99"/>
    </row>
    <row r="74" spans="3:15" x14ac:dyDescent="0.2">
      <c r="C74" s="100" t="s">
        <v>9480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9480</v>
      </c>
      <c r="M74" s="99"/>
      <c r="N74" s="99">
        <v>42</v>
      </c>
      <c r="O74" s="99"/>
    </row>
    <row r="75" spans="3:15" x14ac:dyDescent="0.2">
      <c r="C75" s="100" t="s">
        <v>9481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9481</v>
      </c>
      <c r="M75" s="99"/>
      <c r="N75" s="99">
        <v>43</v>
      </c>
      <c r="O75" s="99"/>
    </row>
    <row r="76" spans="3:15" x14ac:dyDescent="0.2">
      <c r="C76" s="100" t="s">
        <v>9482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9482</v>
      </c>
      <c r="M76" s="99"/>
      <c r="N76" s="99">
        <v>44</v>
      </c>
      <c r="O76" s="99"/>
    </row>
    <row r="77" spans="3:15" x14ac:dyDescent="0.2">
      <c r="C77" s="100" t="s">
        <v>9483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9483</v>
      </c>
      <c r="M77" s="99"/>
      <c r="N77" s="99">
        <v>45</v>
      </c>
      <c r="O77" s="99"/>
    </row>
    <row r="78" spans="3:15" x14ac:dyDescent="0.2">
      <c r="C78" s="100" t="s">
        <v>9484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9484</v>
      </c>
      <c r="M78" s="99"/>
      <c r="N78" s="99">
        <v>46</v>
      </c>
      <c r="O78" s="99"/>
    </row>
    <row r="79" spans="3:15" x14ac:dyDescent="0.2">
      <c r="C79" s="100" t="s">
        <v>9485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9485</v>
      </c>
      <c r="M79" s="99"/>
      <c r="N79" s="99">
        <v>47</v>
      </c>
      <c r="O79" s="99"/>
    </row>
    <row r="80" spans="3:15" x14ac:dyDescent="0.2">
      <c r="C80" s="100" t="s">
        <v>9486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9486</v>
      </c>
      <c r="M80" s="99"/>
      <c r="N80" s="99">
        <v>48</v>
      </c>
      <c r="O80" s="99"/>
    </row>
    <row r="81" spans="3:15" x14ac:dyDescent="0.2">
      <c r="C81" s="100" t="s">
        <v>9487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9487</v>
      </c>
      <c r="M81" s="99"/>
      <c r="N81" s="99">
        <v>49</v>
      </c>
      <c r="O81" s="99"/>
    </row>
    <row r="82" spans="3:15" x14ac:dyDescent="0.2">
      <c r="C82" s="100" t="s">
        <v>9488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9488</v>
      </c>
      <c r="M82" s="99"/>
      <c r="N82" s="99">
        <v>50</v>
      </c>
      <c r="O82" s="99"/>
    </row>
    <row r="83" spans="3:15" x14ac:dyDescent="0.2">
      <c r="C83" s="100" t="s">
        <v>9489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9489</v>
      </c>
      <c r="M83" s="99"/>
      <c r="N83" s="99">
        <v>51</v>
      </c>
      <c r="O83" s="99"/>
    </row>
    <row r="84" spans="3:15" x14ac:dyDescent="0.2">
      <c r="C84" s="100" t="s">
        <v>9490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9490</v>
      </c>
      <c r="M84" s="99"/>
      <c r="N84" s="99">
        <v>52</v>
      </c>
      <c r="O84" s="99"/>
    </row>
    <row r="85" spans="3:15" x14ac:dyDescent="0.2">
      <c r="C85" s="100" t="s">
        <v>9491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9491</v>
      </c>
      <c r="M85" s="99"/>
      <c r="N85" s="99">
        <v>53</v>
      </c>
      <c r="O85" s="99"/>
    </row>
    <row r="86" spans="3:15" x14ac:dyDescent="0.2">
      <c r="C86" s="100" t="s">
        <v>9492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9492</v>
      </c>
      <c r="M86" s="99"/>
      <c r="N86" s="99">
        <v>54</v>
      </c>
      <c r="O86" s="99"/>
    </row>
    <row r="87" spans="3:15" x14ac:dyDescent="0.2">
      <c r="C87" s="100" t="s">
        <v>9493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9493</v>
      </c>
      <c r="M87" s="99"/>
      <c r="N87" s="99">
        <v>55</v>
      </c>
      <c r="O87" s="99"/>
    </row>
    <row r="88" spans="3:15" x14ac:dyDescent="0.2">
      <c r="C88" s="100" t="s">
        <v>9494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9494</v>
      </c>
      <c r="M88" s="99"/>
      <c r="N88" s="99">
        <v>56</v>
      </c>
      <c r="O88" s="99"/>
    </row>
    <row r="89" spans="3:15" x14ac:dyDescent="0.2">
      <c r="C89" s="100" t="s">
        <v>9495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9495</v>
      </c>
      <c r="M89" s="99"/>
      <c r="N89" s="99">
        <v>57</v>
      </c>
      <c r="O89" s="99"/>
    </row>
    <row r="90" spans="3:15" x14ac:dyDescent="0.2">
      <c r="C90" s="100" t="s">
        <v>6239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6239</v>
      </c>
      <c r="M90" s="99"/>
      <c r="N90" s="99">
        <v>58</v>
      </c>
      <c r="O90" s="99"/>
    </row>
    <row r="91" spans="3:15" x14ac:dyDescent="0.2">
      <c r="C91" s="100" t="s">
        <v>9496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9496</v>
      </c>
      <c r="M91" s="99"/>
      <c r="N91" s="99">
        <v>59</v>
      </c>
      <c r="O91" s="99"/>
    </row>
    <row r="92" spans="3:15" x14ac:dyDescent="0.2">
      <c r="C92" s="100" t="s">
        <v>9497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9497</v>
      </c>
      <c r="M92" s="99"/>
      <c r="N92" s="99">
        <v>60</v>
      </c>
      <c r="O92" s="99"/>
    </row>
    <row r="93" spans="3:15" x14ac:dyDescent="0.2">
      <c r="C93" s="100" t="s">
        <v>9498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9498</v>
      </c>
      <c r="M93" s="99"/>
      <c r="N93" s="99">
        <v>61</v>
      </c>
      <c r="O93" s="99"/>
    </row>
    <row r="94" spans="3:15" x14ac:dyDescent="0.2">
      <c r="C94" s="100" t="s">
        <v>9499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9499</v>
      </c>
      <c r="M94" s="99"/>
      <c r="N94" s="99">
        <v>62</v>
      </c>
      <c r="O94" s="99"/>
    </row>
    <row r="95" spans="3:15" x14ac:dyDescent="0.2">
      <c r="C95" s="100" t="s">
        <v>9500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9500</v>
      </c>
      <c r="M95" s="99"/>
      <c r="N95" s="99">
        <v>63</v>
      </c>
      <c r="O95" s="99"/>
    </row>
    <row r="96" spans="3:15" x14ac:dyDescent="0.2">
      <c r="C96" s="100" t="s">
        <v>9501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9501</v>
      </c>
      <c r="M96" s="99"/>
      <c r="N96" s="99">
        <v>64</v>
      </c>
      <c r="O96" s="99"/>
    </row>
    <row r="97" spans="3:15" x14ac:dyDescent="0.2">
      <c r="C97" s="100" t="s">
        <v>9502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9502</v>
      </c>
      <c r="M97" s="99"/>
      <c r="N97" s="99">
        <v>65</v>
      </c>
      <c r="O97" s="99"/>
    </row>
    <row r="98" spans="3:15" x14ac:dyDescent="0.2">
      <c r="C98" s="100" t="s">
        <v>9503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9503</v>
      </c>
      <c r="M98" s="99"/>
      <c r="N98" s="99">
        <v>66</v>
      </c>
      <c r="O98" s="99"/>
    </row>
    <row r="99" spans="3:15" x14ac:dyDescent="0.2">
      <c r="C99" s="100" t="s">
        <v>9504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9504</v>
      </c>
      <c r="M99" s="99"/>
      <c r="N99" s="99">
        <v>67</v>
      </c>
      <c r="O99" s="99"/>
    </row>
    <row r="100" spans="3:15" x14ac:dyDescent="0.2">
      <c r="C100" s="100" t="s">
        <v>9505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9505</v>
      </c>
      <c r="M100" s="99"/>
      <c r="N100" s="99">
        <v>68</v>
      </c>
      <c r="O100" s="99"/>
    </row>
    <row r="101" spans="3:15" x14ac:dyDescent="0.2">
      <c r="C101" s="100" t="s">
        <v>9506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9506</v>
      </c>
      <c r="M101" s="99"/>
      <c r="N101" s="99">
        <v>69</v>
      </c>
      <c r="O101" s="99"/>
    </row>
    <row r="102" spans="3:15" x14ac:dyDescent="0.2">
      <c r="C102" s="100" t="s">
        <v>9507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9507</v>
      </c>
      <c r="M102" s="99"/>
      <c r="N102" s="99">
        <v>70</v>
      </c>
      <c r="O102" s="99"/>
    </row>
    <row r="103" spans="3:15" x14ac:dyDescent="0.2">
      <c r="C103" s="100" t="s">
        <v>107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107</v>
      </c>
      <c r="M103" s="99"/>
      <c r="N103" s="99">
        <v>71</v>
      </c>
      <c r="O103" s="99"/>
    </row>
    <row r="104" spans="3:15" x14ac:dyDescent="0.2">
      <c r="C104" s="100" t="s">
        <v>9508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9508</v>
      </c>
      <c r="M104" s="99"/>
      <c r="N104" s="99">
        <v>72</v>
      </c>
      <c r="O104" s="99"/>
    </row>
    <row r="105" spans="3:15" x14ac:dyDescent="0.2">
      <c r="C105" s="100" t="s">
        <v>9509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9509</v>
      </c>
      <c r="M105" s="99"/>
      <c r="N105" s="99">
        <v>73</v>
      </c>
      <c r="O105" s="99"/>
    </row>
    <row r="106" spans="3:15" x14ac:dyDescent="0.2">
      <c r="C106" s="100" t="s">
        <v>9510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9510</v>
      </c>
      <c r="M106" s="99"/>
      <c r="N106" s="99">
        <v>74</v>
      </c>
      <c r="O106" s="99"/>
    </row>
    <row r="107" spans="3:15" x14ac:dyDescent="0.2">
      <c r="C107" s="100" t="s">
        <v>9511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9511</v>
      </c>
      <c r="M107" s="99"/>
      <c r="N107" s="99">
        <v>75</v>
      </c>
      <c r="O107" s="99"/>
    </row>
    <row r="108" spans="3:15" x14ac:dyDescent="0.2">
      <c r="C108" s="100" t="s">
        <v>9512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9512</v>
      </c>
      <c r="M108" s="99"/>
      <c r="N108" s="99">
        <v>76</v>
      </c>
      <c r="O108" s="99"/>
    </row>
    <row r="109" spans="3:15" x14ac:dyDescent="0.2">
      <c r="C109" s="100" t="s">
        <v>9513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9513</v>
      </c>
      <c r="M109" s="99"/>
      <c r="N109" s="99">
        <v>77</v>
      </c>
      <c r="O109" s="99"/>
    </row>
    <row r="110" spans="3:15" x14ac:dyDescent="0.2">
      <c r="C110" s="100" t="s">
        <v>9514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9514</v>
      </c>
      <c r="M110" s="99"/>
      <c r="N110" s="99">
        <v>78</v>
      </c>
      <c r="O110" s="99"/>
    </row>
    <row r="111" spans="3:15" x14ac:dyDescent="0.2">
      <c r="C111" s="100" t="s">
        <v>9515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9515</v>
      </c>
      <c r="M111" s="99"/>
      <c r="N111" s="99">
        <v>79</v>
      </c>
      <c r="O111" s="99"/>
    </row>
    <row r="112" spans="3:15" x14ac:dyDescent="0.2">
      <c r="C112" s="100" t="s">
        <v>9516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9516</v>
      </c>
      <c r="M112" s="99"/>
      <c r="N112" s="99">
        <v>80</v>
      </c>
      <c r="O112" s="99"/>
    </row>
    <row r="113" spans="3:15" x14ac:dyDescent="0.2">
      <c r="C113" s="100" t="s">
        <v>9517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9517</v>
      </c>
      <c r="M113" s="99"/>
      <c r="N113" s="99">
        <v>81</v>
      </c>
      <c r="O113" s="99"/>
    </row>
    <row r="114" spans="3:15" x14ac:dyDescent="0.2">
      <c r="C114" s="100" t="s">
        <v>9518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9518</v>
      </c>
      <c r="M114" s="99"/>
      <c r="N114" s="99">
        <v>82</v>
      </c>
      <c r="O114" s="99"/>
    </row>
    <row r="115" spans="3:15" x14ac:dyDescent="0.2">
      <c r="C115" s="100" t="s">
        <v>9519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9519</v>
      </c>
      <c r="M115" s="99"/>
      <c r="N115" s="99">
        <v>83</v>
      </c>
      <c r="O115" s="99"/>
    </row>
    <row r="116" spans="3:15" x14ac:dyDescent="0.2">
      <c r="C116" s="100" t="s">
        <v>9520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9520</v>
      </c>
      <c r="M116" s="99"/>
      <c r="N116" s="99">
        <v>84</v>
      </c>
      <c r="O116" s="99"/>
    </row>
    <row r="117" spans="3:15" x14ac:dyDescent="0.2">
      <c r="C117" s="100" t="s">
        <v>9521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9521</v>
      </c>
      <c r="M117" s="99"/>
      <c r="N117" s="99">
        <v>85</v>
      </c>
      <c r="O117" s="99"/>
    </row>
    <row r="118" spans="3:15" x14ac:dyDescent="0.2">
      <c r="C118" s="100" t="s">
        <v>9522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9522</v>
      </c>
      <c r="M118" s="99"/>
      <c r="N118" s="99">
        <v>86</v>
      </c>
      <c r="O118" s="99"/>
    </row>
    <row r="119" spans="3:15" x14ac:dyDescent="0.2">
      <c r="C119" s="100" t="s">
        <v>9523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9523</v>
      </c>
      <c r="M119" s="99"/>
      <c r="N119" s="99">
        <v>87</v>
      </c>
      <c r="O119" s="99"/>
    </row>
    <row r="120" spans="3:15" x14ac:dyDescent="0.2">
      <c r="C120" s="100" t="s">
        <v>9524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9524</v>
      </c>
      <c r="M120" s="99"/>
      <c r="N120" s="99">
        <v>88</v>
      </c>
      <c r="O120" s="99"/>
    </row>
    <row r="121" spans="3:15" x14ac:dyDescent="0.2">
      <c r="C121" s="100" t="s">
        <v>9525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9525</v>
      </c>
      <c r="M121" s="99"/>
      <c r="N121" s="99">
        <v>89</v>
      </c>
      <c r="O121" s="99"/>
    </row>
    <row r="122" spans="3:15" x14ac:dyDescent="0.2">
      <c r="C122" s="100" t="s">
        <v>9526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9526</v>
      </c>
      <c r="M122" s="99"/>
      <c r="N122" s="99">
        <v>90</v>
      </c>
      <c r="O122" s="99"/>
    </row>
    <row r="123" spans="3:15" x14ac:dyDescent="0.2">
      <c r="C123" s="100" t="s">
        <v>9527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9527</v>
      </c>
      <c r="M123" s="99"/>
      <c r="N123" s="99">
        <v>91</v>
      </c>
      <c r="O123" s="99"/>
    </row>
    <row r="124" spans="3:15" x14ac:dyDescent="0.2">
      <c r="C124" s="100" t="s">
        <v>9528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9528</v>
      </c>
      <c r="M124" s="99"/>
      <c r="N124" s="99">
        <v>92</v>
      </c>
      <c r="O124" s="99"/>
    </row>
    <row r="125" spans="3:15" x14ac:dyDescent="0.2">
      <c r="C125" s="100" t="s">
        <v>9529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9529</v>
      </c>
      <c r="M125" s="99"/>
      <c r="N125" s="99">
        <v>93</v>
      </c>
      <c r="O125" s="99"/>
    </row>
    <row r="126" spans="3:15" x14ac:dyDescent="0.2">
      <c r="C126" s="100" t="s">
        <v>9530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9530</v>
      </c>
      <c r="M126" s="99"/>
      <c r="N126" s="99">
        <v>94</v>
      </c>
      <c r="O126" s="99"/>
    </row>
    <row r="127" spans="3:15" x14ac:dyDescent="0.2">
      <c r="C127" s="100" t="s">
        <v>9531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9531</v>
      </c>
      <c r="M127" s="99"/>
      <c r="N127" s="99">
        <v>95</v>
      </c>
      <c r="O127" s="99"/>
    </row>
    <row r="128" spans="3:15" x14ac:dyDescent="0.2">
      <c r="C128" s="100" t="s">
        <v>9532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9532</v>
      </c>
      <c r="M128" s="99"/>
      <c r="N128" s="99">
        <v>96</v>
      </c>
      <c r="O128" s="99"/>
    </row>
    <row r="129" spans="3:15" x14ac:dyDescent="0.2">
      <c r="C129" s="100" t="s">
        <v>9533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9533</v>
      </c>
      <c r="M129" s="99"/>
      <c r="N129" s="99">
        <v>97</v>
      </c>
      <c r="O129" s="99"/>
    </row>
    <row r="130" spans="3:15" x14ac:dyDescent="0.2">
      <c r="C130" s="100" t="s">
        <v>9534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9534</v>
      </c>
      <c r="M130" s="99"/>
      <c r="N130" s="99">
        <v>98</v>
      </c>
      <c r="O130" s="99"/>
    </row>
    <row r="131" spans="3:15" x14ac:dyDescent="0.2">
      <c r="C131" s="100" t="s">
        <v>9535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9535</v>
      </c>
      <c r="M131" s="99"/>
      <c r="N131" s="99">
        <v>99</v>
      </c>
      <c r="O131" s="99"/>
    </row>
    <row r="132" spans="3:15" x14ac:dyDescent="0.2">
      <c r="C132" s="100" t="s">
        <v>9536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9536</v>
      </c>
      <c r="M132" s="99"/>
      <c r="N132" s="99">
        <v>100</v>
      </c>
      <c r="O132" s="99"/>
    </row>
    <row r="133" spans="3:15" x14ac:dyDescent="0.2">
      <c r="C133" s="100" t="s">
        <v>9537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9537</v>
      </c>
      <c r="M133" s="99"/>
      <c r="N133" s="99">
        <v>101</v>
      </c>
      <c r="O133" s="99"/>
    </row>
    <row r="134" spans="3:15" x14ac:dyDescent="0.2">
      <c r="C134" s="100" t="s">
        <v>9538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9538</v>
      </c>
      <c r="M134" s="99"/>
      <c r="N134" s="99">
        <v>102</v>
      </c>
      <c r="O134" s="99"/>
    </row>
    <row r="135" spans="3:15" x14ac:dyDescent="0.2">
      <c r="C135" s="100" t="s">
        <v>9539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9539</v>
      </c>
      <c r="M135" s="99"/>
      <c r="N135" s="99">
        <v>103</v>
      </c>
      <c r="O135" s="99"/>
    </row>
    <row r="136" spans="3:15" x14ac:dyDescent="0.2">
      <c r="C136" s="100" t="s">
        <v>9540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9540</v>
      </c>
      <c r="M136" s="99"/>
      <c r="N136" s="99">
        <v>104</v>
      </c>
      <c r="O136" s="99"/>
    </row>
    <row r="137" spans="3:15" x14ac:dyDescent="0.2">
      <c r="C137" s="100" t="s">
        <v>9541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9541</v>
      </c>
      <c r="M137" s="99"/>
      <c r="N137" s="99">
        <v>105</v>
      </c>
      <c r="O137" s="99"/>
    </row>
    <row r="138" spans="3:15" x14ac:dyDescent="0.2">
      <c r="C138" s="100" t="s">
        <v>9542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9542</v>
      </c>
      <c r="M138" s="99"/>
      <c r="N138" s="99">
        <v>106</v>
      </c>
      <c r="O138" s="99"/>
    </row>
    <row r="139" spans="3:15" x14ac:dyDescent="0.2">
      <c r="C139" s="100" t="s">
        <v>9543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9543</v>
      </c>
      <c r="M139" s="99"/>
      <c r="N139" s="99">
        <v>107</v>
      </c>
      <c r="O139" s="99"/>
    </row>
    <row r="140" spans="3:15" x14ac:dyDescent="0.2">
      <c r="C140" s="100" t="s">
        <v>9544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9544</v>
      </c>
      <c r="M140" s="99"/>
      <c r="N140" s="99">
        <v>108</v>
      </c>
      <c r="O140" s="99"/>
    </row>
    <row r="141" spans="3:15" x14ac:dyDescent="0.2">
      <c r="C141" s="100" t="s">
        <v>9545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9545</v>
      </c>
      <c r="M141" s="99"/>
      <c r="N141" s="99">
        <v>109</v>
      </c>
      <c r="O141" s="99"/>
    </row>
    <row r="142" spans="3:15" x14ac:dyDescent="0.2">
      <c r="C142" s="100" t="s">
        <v>9546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9546</v>
      </c>
      <c r="M142" s="99"/>
      <c r="N142" s="99">
        <v>110</v>
      </c>
      <c r="O142" s="99"/>
    </row>
    <row r="143" spans="3:15" x14ac:dyDescent="0.2">
      <c r="C143" s="100" t="s">
        <v>9547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9547</v>
      </c>
      <c r="M143" s="99"/>
      <c r="N143" s="99">
        <v>111</v>
      </c>
      <c r="O143" s="99"/>
    </row>
    <row r="144" spans="3:15" x14ac:dyDescent="0.2">
      <c r="C144" s="100" t="s">
        <v>9548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9548</v>
      </c>
      <c r="M144" s="99"/>
      <c r="N144" s="99">
        <v>112</v>
      </c>
      <c r="O144" s="99"/>
    </row>
    <row r="145" spans="3:15" x14ac:dyDescent="0.2">
      <c r="C145" s="100" t="s">
        <v>9549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9549</v>
      </c>
      <c r="M145" s="99"/>
      <c r="N145" s="99">
        <v>113</v>
      </c>
      <c r="O145" s="99"/>
    </row>
    <row r="146" spans="3:15" x14ac:dyDescent="0.2">
      <c r="C146" s="100" t="s">
        <v>9550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9550</v>
      </c>
      <c r="M146" s="99"/>
      <c r="N146" s="99">
        <v>114</v>
      </c>
      <c r="O146" s="99"/>
    </row>
    <row r="147" spans="3:15" x14ac:dyDescent="0.2">
      <c r="C147" s="100" t="s">
        <v>9551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9551</v>
      </c>
      <c r="M147" s="99"/>
      <c r="N147" s="99">
        <v>115</v>
      </c>
      <c r="O147" s="99"/>
    </row>
    <row r="148" spans="3:15" x14ac:dyDescent="0.2">
      <c r="C148" s="100" t="s">
        <v>9552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9552</v>
      </c>
      <c r="M148" s="99"/>
      <c r="N148" s="99">
        <v>116</v>
      </c>
      <c r="O148" s="99"/>
    </row>
    <row r="149" spans="3:15" x14ac:dyDescent="0.2">
      <c r="C149" s="100" t="s">
        <v>9553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9553</v>
      </c>
      <c r="M149" s="99"/>
      <c r="N149" s="99">
        <v>117</v>
      </c>
      <c r="O149" s="99"/>
    </row>
    <row r="150" spans="3:15" x14ac:dyDescent="0.2">
      <c r="C150" s="100" t="s">
        <v>9554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9554</v>
      </c>
      <c r="M150" s="99"/>
      <c r="N150" s="99">
        <v>118</v>
      </c>
      <c r="O150" s="99"/>
    </row>
    <row r="151" spans="3:15" x14ac:dyDescent="0.2">
      <c r="C151" s="100" t="s">
        <v>9555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9555</v>
      </c>
      <c r="M151" s="99"/>
      <c r="N151" s="99">
        <v>119</v>
      </c>
      <c r="O151" s="99"/>
    </row>
    <row r="152" spans="3:15" x14ac:dyDescent="0.2">
      <c r="C152" s="100" t="s">
        <v>9556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9556</v>
      </c>
      <c r="M152" s="99"/>
      <c r="N152" s="99">
        <v>120</v>
      </c>
      <c r="O152" s="99"/>
    </row>
    <row r="153" spans="3:15" x14ac:dyDescent="0.2">
      <c r="C153" s="100" t="s">
        <v>9557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9557</v>
      </c>
      <c r="M153" s="99"/>
      <c r="N153" s="99">
        <v>121</v>
      </c>
      <c r="O153" s="99"/>
    </row>
    <row r="154" spans="3:15" x14ac:dyDescent="0.2">
      <c r="C154" s="100" t="s">
        <v>9558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9558</v>
      </c>
      <c r="M154" s="99"/>
      <c r="N154" s="99">
        <v>122</v>
      </c>
      <c r="O154" s="99"/>
    </row>
    <row r="155" spans="3:15" x14ac:dyDescent="0.2">
      <c r="C155" s="100" t="s">
        <v>9559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9559</v>
      </c>
      <c r="M155" s="99"/>
      <c r="N155" s="99">
        <v>123</v>
      </c>
      <c r="O155" s="99"/>
    </row>
    <row r="156" spans="3:15" x14ac:dyDescent="0.2">
      <c r="C156" s="100" t="s">
        <v>9560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9560</v>
      </c>
      <c r="M156" s="99"/>
      <c r="N156" s="99">
        <v>124</v>
      </c>
      <c r="O156" s="99"/>
    </row>
    <row r="157" spans="3:15" x14ac:dyDescent="0.2">
      <c r="C157" s="100" t="s">
        <v>9561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9561</v>
      </c>
      <c r="M157" s="99"/>
      <c r="N157" s="99">
        <v>125</v>
      </c>
      <c r="O157" s="99"/>
    </row>
    <row r="158" spans="3:15" x14ac:dyDescent="0.2">
      <c r="C158" s="100" t="s">
        <v>9562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9562</v>
      </c>
      <c r="M158" s="99"/>
      <c r="N158" s="99">
        <v>126</v>
      </c>
      <c r="O158" s="99"/>
    </row>
    <row r="159" spans="3:15" x14ac:dyDescent="0.2">
      <c r="C159" s="100" t="s">
        <v>9563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9563</v>
      </c>
      <c r="M159" s="99"/>
      <c r="N159" s="99">
        <v>127</v>
      </c>
      <c r="O159" s="99"/>
    </row>
    <row r="160" spans="3:15" x14ac:dyDescent="0.2">
      <c r="C160" s="100" t="s">
        <v>9564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9564</v>
      </c>
      <c r="M160" s="99"/>
      <c r="N160" s="99">
        <v>128</v>
      </c>
      <c r="O160" s="99"/>
    </row>
    <row r="161" spans="3:15" x14ac:dyDescent="0.2">
      <c r="C161" s="100" t="s">
        <v>9565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9565</v>
      </c>
      <c r="M161" s="99"/>
      <c r="N161" s="99">
        <v>129</v>
      </c>
      <c r="O161" s="99"/>
    </row>
    <row r="162" spans="3:15" x14ac:dyDescent="0.2">
      <c r="C162" s="100" t="s">
        <v>9566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9566</v>
      </c>
      <c r="M162" s="99"/>
      <c r="N162" s="99">
        <v>130</v>
      </c>
      <c r="O162" s="99"/>
    </row>
    <row r="163" spans="3:15" x14ac:dyDescent="0.2">
      <c r="C163" s="100" t="s">
        <v>9567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9567</v>
      </c>
      <c r="M163" s="99"/>
      <c r="N163" s="99">
        <v>131</v>
      </c>
      <c r="O163" s="99"/>
    </row>
    <row r="164" spans="3:15" x14ac:dyDescent="0.2">
      <c r="C164" s="100" t="s">
        <v>9568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9568</v>
      </c>
      <c r="M164" s="99"/>
      <c r="N164" s="99">
        <v>132</v>
      </c>
      <c r="O164" s="99"/>
    </row>
    <row r="165" spans="3:15" x14ac:dyDescent="0.2">
      <c r="C165" s="100" t="s">
        <v>9569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9569</v>
      </c>
      <c r="M165" s="99"/>
      <c r="N165" s="99">
        <v>133</v>
      </c>
      <c r="O165" s="99"/>
    </row>
    <row r="166" spans="3:15" x14ac:dyDescent="0.2">
      <c r="C166" s="100" t="s">
        <v>9570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9570</v>
      </c>
      <c r="M166" s="99"/>
      <c r="N166" s="99">
        <v>134</v>
      </c>
      <c r="O166" s="99"/>
    </row>
    <row r="167" spans="3:15" x14ac:dyDescent="0.2">
      <c r="C167" s="100" t="s">
        <v>9571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9571</v>
      </c>
      <c r="M167" s="99"/>
      <c r="N167" s="99">
        <v>135</v>
      </c>
      <c r="O167" s="99"/>
    </row>
    <row r="168" spans="3:15" x14ac:dyDescent="0.2">
      <c r="C168" s="100" t="s">
        <v>9572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9572</v>
      </c>
      <c r="M168" s="99"/>
      <c r="N168" s="99">
        <v>136</v>
      </c>
      <c r="O168" s="99"/>
    </row>
    <row r="169" spans="3:15" x14ac:dyDescent="0.2">
      <c r="C169" s="100" t="s">
        <v>9573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9573</v>
      </c>
      <c r="M169" s="99"/>
      <c r="N169" s="99">
        <v>137</v>
      </c>
      <c r="O169" s="99"/>
    </row>
    <row r="170" spans="3:15" x14ac:dyDescent="0.2">
      <c r="C170" s="100" t="s">
        <v>9574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9574</v>
      </c>
      <c r="M170" s="99"/>
      <c r="N170" s="99">
        <v>138</v>
      </c>
      <c r="O170" s="99"/>
    </row>
    <row r="171" spans="3:15" x14ac:dyDescent="0.2">
      <c r="C171" s="100" t="s">
        <v>9575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9575</v>
      </c>
      <c r="M171" s="99"/>
      <c r="N171" s="99">
        <v>139</v>
      </c>
      <c r="O171" s="99"/>
    </row>
    <row r="172" spans="3:15" x14ac:dyDescent="0.2">
      <c r="C172" s="100" t="s">
        <v>9576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9576</v>
      </c>
      <c r="M172" s="99"/>
      <c r="N172" s="99">
        <v>140</v>
      </c>
      <c r="O172" s="99"/>
    </row>
    <row r="173" spans="3:15" x14ac:dyDescent="0.2">
      <c r="C173" s="100" t="s">
        <v>9577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9577</v>
      </c>
      <c r="M173" s="99"/>
      <c r="N173" s="99">
        <v>141</v>
      </c>
      <c r="O173" s="99"/>
    </row>
    <row r="174" spans="3:15" x14ac:dyDescent="0.2">
      <c r="C174" s="100" t="s">
        <v>9578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9578</v>
      </c>
      <c r="M174" s="99"/>
      <c r="N174" s="99">
        <v>142</v>
      </c>
      <c r="O174" s="99"/>
    </row>
    <row r="175" spans="3:15" x14ac:dyDescent="0.2">
      <c r="C175" s="100" t="s">
        <v>9579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9579</v>
      </c>
      <c r="M175" s="99"/>
      <c r="N175" s="99">
        <v>143</v>
      </c>
      <c r="O175" s="99"/>
    </row>
    <row r="176" spans="3:15" x14ac:dyDescent="0.2">
      <c r="C176" s="100" t="s">
        <v>9580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9580</v>
      </c>
      <c r="M176" s="99"/>
      <c r="N176" s="99">
        <v>144</v>
      </c>
      <c r="O176" s="99"/>
    </row>
    <row r="177" spans="3:15" x14ac:dyDescent="0.2">
      <c r="C177" s="100" t="s">
        <v>9581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9581</v>
      </c>
      <c r="M177" s="99"/>
      <c r="N177" s="99">
        <v>145</v>
      </c>
      <c r="O177" s="99"/>
    </row>
    <row r="178" spans="3:15" x14ac:dyDescent="0.2">
      <c r="C178" s="100" t="s">
        <v>9582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9582</v>
      </c>
      <c r="M178" s="99"/>
      <c r="N178" s="99">
        <v>146</v>
      </c>
      <c r="O178" s="99"/>
    </row>
    <row r="179" spans="3:15" x14ac:dyDescent="0.2">
      <c r="C179" s="100" t="s">
        <v>9583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9583</v>
      </c>
      <c r="M179" s="99"/>
      <c r="N179" s="99">
        <v>147</v>
      </c>
      <c r="O179" s="99"/>
    </row>
    <row r="180" spans="3:15" x14ac:dyDescent="0.2">
      <c r="C180" s="100" t="s">
        <v>9584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9584</v>
      </c>
      <c r="M180" s="99"/>
      <c r="N180" s="99">
        <v>148</v>
      </c>
      <c r="O180" s="99"/>
    </row>
    <row r="181" spans="3:15" x14ac:dyDescent="0.2">
      <c r="C181" s="100" t="s">
        <v>9585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9585</v>
      </c>
      <c r="M181" s="99"/>
      <c r="N181" s="99">
        <v>149</v>
      </c>
      <c r="O181" s="99"/>
    </row>
    <row r="182" spans="3:15" x14ac:dyDescent="0.2">
      <c r="C182" s="100" t="s">
        <v>9586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9586</v>
      </c>
      <c r="M182" s="99"/>
      <c r="N182" s="99">
        <v>150</v>
      </c>
      <c r="O182" s="99"/>
    </row>
    <row r="183" spans="3:15" x14ac:dyDescent="0.2">
      <c r="C183" s="100" t="s">
        <v>9587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9587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9588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9588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9588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9588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9588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9588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9588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9588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9588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9588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9588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9588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9588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9588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9588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9588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9588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9588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9588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9588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9588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9588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9588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9588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9588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9588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9588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9588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9588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7814</v>
      </c>
      <c r="B1" s="26" t="s">
        <v>58</v>
      </c>
      <c r="C1" s="26" t="s">
        <v>9309</v>
      </c>
      <c r="D1" s="26" t="s">
        <v>9307</v>
      </c>
      <c r="E1" s="26" t="s">
        <v>9308</v>
      </c>
    </row>
    <row r="2" spans="1:5" x14ac:dyDescent="0.2">
      <c r="A2" t="str">
        <f>IFERROR(B2*1,"")</f>
        <v/>
      </c>
      <c r="B2" t="s">
        <v>7815</v>
      </c>
      <c r="C2" t="s">
        <v>62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7816</v>
      </c>
      <c r="C3" t="s">
        <v>62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60</v>
      </c>
      <c r="C4" t="s">
        <v>61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63</v>
      </c>
      <c r="C5" t="s">
        <v>9589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64</v>
      </c>
      <c r="C6" t="s">
        <v>62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66</v>
      </c>
      <c r="C7" t="s">
        <v>62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67</v>
      </c>
      <c r="C8" t="s">
        <v>62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68</v>
      </c>
      <c r="C9" t="s">
        <v>62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70</v>
      </c>
      <c r="C10" t="s">
        <v>62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71</v>
      </c>
      <c r="C11" t="s">
        <v>62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72</v>
      </c>
      <c r="C12" t="s">
        <v>62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73</v>
      </c>
      <c r="C13" t="s">
        <v>62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74</v>
      </c>
      <c r="C14" t="s">
        <v>62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75</v>
      </c>
      <c r="C15" t="s">
        <v>62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76</v>
      </c>
      <c r="C16" t="s">
        <v>77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78</v>
      </c>
      <c r="C17" t="s">
        <v>62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79</v>
      </c>
      <c r="C18" t="s">
        <v>62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80</v>
      </c>
      <c r="C19" t="s">
        <v>62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81</v>
      </c>
      <c r="C20" t="s">
        <v>62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82</v>
      </c>
      <c r="C21" t="s">
        <v>62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83</v>
      </c>
      <c r="C22" t="s">
        <v>62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7817</v>
      </c>
      <c r="C23" t="s">
        <v>62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84</v>
      </c>
      <c r="C24" t="s">
        <v>85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7818</v>
      </c>
      <c r="C25" t="s">
        <v>62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87</v>
      </c>
      <c r="C26" t="s">
        <v>88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7819</v>
      </c>
      <c r="C27" t="s">
        <v>62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89</v>
      </c>
      <c r="C28" t="s">
        <v>90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7820</v>
      </c>
      <c r="C29" t="s">
        <v>7821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7822</v>
      </c>
      <c r="C30" t="s">
        <v>62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91</v>
      </c>
      <c r="C31" t="s">
        <v>92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7823</v>
      </c>
      <c r="C32" t="s">
        <v>62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93</v>
      </c>
      <c r="C33" t="s">
        <v>94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7824</v>
      </c>
      <c r="C34" t="s">
        <v>62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95</v>
      </c>
      <c r="C35" t="s">
        <v>96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7825</v>
      </c>
      <c r="C36" t="s">
        <v>62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97</v>
      </c>
      <c r="C37" t="s">
        <v>98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7826</v>
      </c>
      <c r="C38" t="s">
        <v>62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99</v>
      </c>
      <c r="C39" t="s">
        <v>100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102</v>
      </c>
      <c r="C40" t="s">
        <v>103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7827</v>
      </c>
      <c r="C41" t="s">
        <v>62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104</v>
      </c>
      <c r="C42" t="s">
        <v>105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106</v>
      </c>
      <c r="C43" t="s">
        <v>62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107</v>
      </c>
      <c r="C44" t="s">
        <v>108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109</v>
      </c>
      <c r="C45" t="s">
        <v>62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110</v>
      </c>
      <c r="C46" t="s">
        <v>111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7828</v>
      </c>
      <c r="C47" t="s">
        <v>62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112</v>
      </c>
      <c r="C48" t="s">
        <v>113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7829</v>
      </c>
      <c r="C49" t="s">
        <v>62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114</v>
      </c>
      <c r="C50" t="s">
        <v>115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116</v>
      </c>
      <c r="C51" t="s">
        <v>117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7830</v>
      </c>
      <c r="C52" t="s">
        <v>62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119</v>
      </c>
      <c r="C53" t="s">
        <v>120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121</v>
      </c>
      <c r="C54" t="s">
        <v>62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122</v>
      </c>
      <c r="C55" t="s">
        <v>123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125</v>
      </c>
      <c r="C56" t="s">
        <v>62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126</v>
      </c>
      <c r="C57" t="s">
        <v>127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128</v>
      </c>
      <c r="C58" t="s">
        <v>129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131</v>
      </c>
      <c r="C59" t="s">
        <v>132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133</v>
      </c>
      <c r="C60" t="s">
        <v>134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135</v>
      </c>
      <c r="C61" t="s">
        <v>136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7831</v>
      </c>
      <c r="C62" t="s">
        <v>62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137</v>
      </c>
      <c r="C63" t="s">
        <v>138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139</v>
      </c>
      <c r="C64" t="s">
        <v>140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141</v>
      </c>
      <c r="C65" t="s">
        <v>142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7832</v>
      </c>
      <c r="C66" t="s">
        <v>62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143</v>
      </c>
      <c r="C67" t="s">
        <v>144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7833</v>
      </c>
      <c r="C68" t="s">
        <v>62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145</v>
      </c>
      <c r="C69" t="s">
        <v>146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7834</v>
      </c>
      <c r="C70" t="s">
        <v>62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147</v>
      </c>
      <c r="C71" t="s">
        <v>148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149</v>
      </c>
      <c r="C72" t="s">
        <v>62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150</v>
      </c>
      <c r="C73" t="s">
        <v>151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7835</v>
      </c>
      <c r="C74" t="s">
        <v>62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152</v>
      </c>
      <c r="C75" t="s">
        <v>153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7836</v>
      </c>
      <c r="C76" t="s">
        <v>62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154</v>
      </c>
      <c r="C77" t="s">
        <v>155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7837</v>
      </c>
      <c r="C78" t="s">
        <v>62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156</v>
      </c>
      <c r="C79" t="s">
        <v>157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7838</v>
      </c>
      <c r="C80" t="s">
        <v>7839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158</v>
      </c>
      <c r="C81" t="s">
        <v>62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7840</v>
      </c>
      <c r="C82" t="s">
        <v>7841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159</v>
      </c>
      <c r="C83" t="s">
        <v>160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161</v>
      </c>
      <c r="C84" t="s">
        <v>162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163</v>
      </c>
      <c r="C85" t="s">
        <v>164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165</v>
      </c>
      <c r="C86" t="s">
        <v>62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166</v>
      </c>
      <c r="C87" t="s">
        <v>167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168</v>
      </c>
      <c r="C88" t="s">
        <v>162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169</v>
      </c>
      <c r="C89" t="s">
        <v>62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170</v>
      </c>
      <c r="C90" t="s">
        <v>171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7842</v>
      </c>
      <c r="C91" t="s">
        <v>7843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172</v>
      </c>
      <c r="C92" t="s">
        <v>62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7844</v>
      </c>
      <c r="C93" t="s">
        <v>7845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7846</v>
      </c>
      <c r="C94" t="s">
        <v>7847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173</v>
      </c>
      <c r="C95" t="s">
        <v>174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177</v>
      </c>
      <c r="C96" t="s">
        <v>62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178</v>
      </c>
      <c r="C97" t="s">
        <v>62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179</v>
      </c>
      <c r="C98" t="s">
        <v>180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181</v>
      </c>
      <c r="C99" t="s">
        <v>182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183</v>
      </c>
      <c r="C100" t="s">
        <v>184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185</v>
      </c>
      <c r="C101" t="s">
        <v>186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187</v>
      </c>
      <c r="C102" t="s">
        <v>188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189</v>
      </c>
      <c r="C103" t="s">
        <v>190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191</v>
      </c>
      <c r="C104" t="s">
        <v>192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7848</v>
      </c>
      <c r="C105" t="s">
        <v>62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193</v>
      </c>
      <c r="C106" t="s">
        <v>194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195</v>
      </c>
      <c r="C107" t="s">
        <v>196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197</v>
      </c>
      <c r="C108" t="s">
        <v>198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7849</v>
      </c>
      <c r="C109" t="s">
        <v>62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199</v>
      </c>
      <c r="C110" t="s">
        <v>200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201</v>
      </c>
      <c r="C111" t="s">
        <v>202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7850</v>
      </c>
      <c r="C112" t="s">
        <v>62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203</v>
      </c>
      <c r="C113" t="s">
        <v>204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7851</v>
      </c>
      <c r="C114" t="s">
        <v>62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205</v>
      </c>
      <c r="C115" t="s">
        <v>206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7852</v>
      </c>
      <c r="C116" t="s">
        <v>62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207</v>
      </c>
      <c r="C117" t="s">
        <v>208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7853</v>
      </c>
      <c r="C118" t="s">
        <v>62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209</v>
      </c>
      <c r="C119" t="s">
        <v>210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7854</v>
      </c>
      <c r="C120" t="s">
        <v>62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211</v>
      </c>
      <c r="C121" t="s">
        <v>212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213</v>
      </c>
      <c r="C122" t="s">
        <v>214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7855</v>
      </c>
      <c r="C123" t="s">
        <v>62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215</v>
      </c>
      <c r="C124" t="s">
        <v>216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7856</v>
      </c>
      <c r="C125" t="s">
        <v>62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217</v>
      </c>
      <c r="C126" t="s">
        <v>218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9590</v>
      </c>
      <c r="C127" t="s">
        <v>9591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9592</v>
      </c>
      <c r="C128" t="s">
        <v>9593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9594</v>
      </c>
      <c r="C129" t="s">
        <v>9595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219</v>
      </c>
      <c r="C130" t="s">
        <v>220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7857</v>
      </c>
      <c r="C131" t="s">
        <v>62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221</v>
      </c>
      <c r="C132" t="s">
        <v>222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7858</v>
      </c>
      <c r="C133" t="s">
        <v>62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223</v>
      </c>
      <c r="C134" t="s">
        <v>224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7859</v>
      </c>
      <c r="C135" t="s">
        <v>62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225</v>
      </c>
      <c r="C136" t="s">
        <v>226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7860</v>
      </c>
      <c r="C137" t="s">
        <v>62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227</v>
      </c>
      <c r="C138" t="s">
        <v>228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229</v>
      </c>
      <c r="C139" t="s">
        <v>230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7861</v>
      </c>
      <c r="C140" t="s">
        <v>62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231</v>
      </c>
      <c r="C141" t="s">
        <v>232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7862</v>
      </c>
      <c r="C142" t="s">
        <v>62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233</v>
      </c>
      <c r="C143" t="s">
        <v>234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235</v>
      </c>
      <c r="C144" t="s">
        <v>236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237</v>
      </c>
      <c r="C145" t="s">
        <v>238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239</v>
      </c>
      <c r="C146" t="s">
        <v>240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7863</v>
      </c>
      <c r="C147" t="s">
        <v>62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241</v>
      </c>
      <c r="C148" t="s">
        <v>242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7864</v>
      </c>
      <c r="C149" t="s">
        <v>62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243</v>
      </c>
      <c r="C150" t="s">
        <v>244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7865</v>
      </c>
      <c r="C151" t="s">
        <v>62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245</v>
      </c>
      <c r="C152" t="s">
        <v>246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7866</v>
      </c>
      <c r="C153" t="s">
        <v>62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247</v>
      </c>
      <c r="C154" t="s">
        <v>248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7867</v>
      </c>
      <c r="C155" t="s">
        <v>62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249</v>
      </c>
      <c r="C156" t="s">
        <v>250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7868</v>
      </c>
      <c r="C157" t="s">
        <v>62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251</v>
      </c>
      <c r="C158" t="s">
        <v>252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7869</v>
      </c>
      <c r="C159" t="s">
        <v>62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253</v>
      </c>
      <c r="C160" t="s">
        <v>254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7870</v>
      </c>
      <c r="C161" t="s">
        <v>62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255</v>
      </c>
      <c r="C162" t="s">
        <v>256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7871</v>
      </c>
      <c r="C163" t="s">
        <v>62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257</v>
      </c>
      <c r="C164" t="s">
        <v>258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259</v>
      </c>
      <c r="C165" t="s">
        <v>260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7872</v>
      </c>
      <c r="C166" t="s">
        <v>62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261</v>
      </c>
      <c r="C167" t="s">
        <v>262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7873</v>
      </c>
      <c r="C168" t="s">
        <v>62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263</v>
      </c>
      <c r="C169" t="s">
        <v>264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7874</v>
      </c>
      <c r="C170" t="s">
        <v>62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265</v>
      </c>
      <c r="C171" t="s">
        <v>266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267</v>
      </c>
      <c r="C172" t="s">
        <v>268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269</v>
      </c>
      <c r="C173" t="s">
        <v>270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271</v>
      </c>
      <c r="C174" t="s">
        <v>272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273</v>
      </c>
      <c r="C175" t="s">
        <v>274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275</v>
      </c>
      <c r="C176" t="s">
        <v>276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277</v>
      </c>
      <c r="C177" t="s">
        <v>278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279</v>
      </c>
      <c r="C178" t="s">
        <v>280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281</v>
      </c>
      <c r="C179" t="s">
        <v>282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7875</v>
      </c>
      <c r="C180" t="s">
        <v>62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283</v>
      </c>
      <c r="C181" t="s">
        <v>284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285</v>
      </c>
      <c r="C182" t="s">
        <v>286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287</v>
      </c>
      <c r="C183" t="s">
        <v>288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7876</v>
      </c>
      <c r="C184" t="s">
        <v>62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289</v>
      </c>
      <c r="C185" t="s">
        <v>290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291</v>
      </c>
      <c r="C186" t="s">
        <v>292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293</v>
      </c>
      <c r="C187" t="s">
        <v>294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7877</v>
      </c>
      <c r="C188" t="s">
        <v>62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295</v>
      </c>
      <c r="C189" t="s">
        <v>296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297</v>
      </c>
      <c r="C190" t="s">
        <v>298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299</v>
      </c>
      <c r="C191" t="s">
        <v>300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9596</v>
      </c>
      <c r="C192" t="s">
        <v>9597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9598</v>
      </c>
      <c r="C193" t="s">
        <v>9599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9600</v>
      </c>
      <c r="C194" t="s">
        <v>9601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9602</v>
      </c>
      <c r="C195" t="s">
        <v>9603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7878</v>
      </c>
      <c r="C196" t="s">
        <v>62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301</v>
      </c>
      <c r="C197" t="s">
        <v>302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7879</v>
      </c>
      <c r="C198" t="s">
        <v>62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303</v>
      </c>
      <c r="C199" t="s">
        <v>304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7880</v>
      </c>
      <c r="C200" t="s">
        <v>62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305</v>
      </c>
      <c r="C201" t="s">
        <v>306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307</v>
      </c>
      <c r="C202" t="s">
        <v>308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9604</v>
      </c>
      <c r="C203" t="s">
        <v>9605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9606</v>
      </c>
      <c r="C204" t="s">
        <v>9607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9608</v>
      </c>
      <c r="C205" t="s">
        <v>9609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309</v>
      </c>
      <c r="C206" t="s">
        <v>310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7881</v>
      </c>
      <c r="C207" t="s">
        <v>62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311</v>
      </c>
      <c r="C208" t="s">
        <v>312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313</v>
      </c>
      <c r="C209" t="s">
        <v>314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315</v>
      </c>
      <c r="C210" t="s">
        <v>316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317</v>
      </c>
      <c r="C211" t="s">
        <v>318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319</v>
      </c>
      <c r="C212" t="s">
        <v>320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321</v>
      </c>
      <c r="C213" t="s">
        <v>322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323</v>
      </c>
      <c r="C214" t="s">
        <v>324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7882</v>
      </c>
      <c r="C215" t="s">
        <v>62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325</v>
      </c>
      <c r="C216" t="s">
        <v>326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327</v>
      </c>
      <c r="C217" t="s">
        <v>328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329</v>
      </c>
      <c r="C218" t="s">
        <v>330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331</v>
      </c>
      <c r="C219" t="s">
        <v>332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333</v>
      </c>
      <c r="C220" t="s">
        <v>334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335</v>
      </c>
      <c r="C221" t="s">
        <v>336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337</v>
      </c>
      <c r="C222" t="s">
        <v>338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339</v>
      </c>
      <c r="C223" t="s">
        <v>340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341</v>
      </c>
      <c r="C224" t="s">
        <v>342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343</v>
      </c>
      <c r="C225" t="s">
        <v>344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7883</v>
      </c>
      <c r="C226" t="s">
        <v>62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345</v>
      </c>
      <c r="C227" t="s">
        <v>346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347</v>
      </c>
      <c r="C228" t="s">
        <v>348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7884</v>
      </c>
      <c r="C229" t="s">
        <v>62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349</v>
      </c>
      <c r="C230" t="s">
        <v>350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7885</v>
      </c>
      <c r="C231" t="s">
        <v>62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351</v>
      </c>
      <c r="C232" t="s">
        <v>352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7886</v>
      </c>
      <c r="C233" t="s">
        <v>62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353</v>
      </c>
      <c r="C234" t="s">
        <v>354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7887</v>
      </c>
      <c r="C235" t="s">
        <v>62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355</v>
      </c>
      <c r="C236" t="s">
        <v>356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357</v>
      </c>
      <c r="C237" t="s">
        <v>358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359</v>
      </c>
      <c r="C238" t="s">
        <v>360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361</v>
      </c>
      <c r="C239" t="s">
        <v>362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363</v>
      </c>
      <c r="C240" t="s">
        <v>364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365</v>
      </c>
      <c r="C241" t="s">
        <v>366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7888</v>
      </c>
      <c r="C242" t="s">
        <v>62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367</v>
      </c>
      <c r="C243" t="s">
        <v>368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369</v>
      </c>
      <c r="C244" t="s">
        <v>370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371</v>
      </c>
      <c r="C245" t="s">
        <v>372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373</v>
      </c>
      <c r="C246" t="s">
        <v>374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7889</v>
      </c>
      <c r="C247" t="s">
        <v>62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375</v>
      </c>
      <c r="C248" t="s">
        <v>376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7890</v>
      </c>
      <c r="C249" t="s">
        <v>62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377</v>
      </c>
      <c r="C250" t="s">
        <v>378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379</v>
      </c>
      <c r="C251" t="s">
        <v>380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381</v>
      </c>
      <c r="C252" t="s">
        <v>382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383</v>
      </c>
      <c r="C253" t="s">
        <v>384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7891</v>
      </c>
      <c r="C254" t="s">
        <v>62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385</v>
      </c>
      <c r="C255" t="s">
        <v>386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387</v>
      </c>
      <c r="C256" t="s">
        <v>388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389</v>
      </c>
      <c r="C257" t="s">
        <v>390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391</v>
      </c>
      <c r="C258" t="s">
        <v>392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393</v>
      </c>
      <c r="C259" t="s">
        <v>394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7892</v>
      </c>
      <c r="C260" t="s">
        <v>62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395</v>
      </c>
      <c r="C261" t="s">
        <v>396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7893</v>
      </c>
      <c r="C262" t="s">
        <v>62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397</v>
      </c>
      <c r="C263" t="s">
        <v>398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7894</v>
      </c>
      <c r="C264" t="s">
        <v>62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399</v>
      </c>
      <c r="C265" t="s">
        <v>400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7895</v>
      </c>
      <c r="C266" t="s">
        <v>62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401</v>
      </c>
      <c r="C267" t="s">
        <v>402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403</v>
      </c>
      <c r="C268" t="s">
        <v>404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7896</v>
      </c>
      <c r="C269" t="s">
        <v>62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405</v>
      </c>
      <c r="C270" t="s">
        <v>406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7897</v>
      </c>
      <c r="C271" t="s">
        <v>62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407</v>
      </c>
      <c r="C272" t="s">
        <v>408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7898</v>
      </c>
      <c r="C273" t="s">
        <v>62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409</v>
      </c>
      <c r="C274" t="s">
        <v>410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411</v>
      </c>
      <c r="C275" t="s">
        <v>412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413</v>
      </c>
      <c r="C276" t="s">
        <v>414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415</v>
      </c>
      <c r="C277" t="s">
        <v>416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7899</v>
      </c>
      <c r="C278" t="s">
        <v>62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417</v>
      </c>
      <c r="C279" t="s">
        <v>418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9610</v>
      </c>
      <c r="C280" t="s">
        <v>9611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9612</v>
      </c>
      <c r="C281" t="s">
        <v>9613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419</v>
      </c>
      <c r="C282" t="s">
        <v>420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421</v>
      </c>
      <c r="C283" t="s">
        <v>422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423</v>
      </c>
      <c r="C284" t="s">
        <v>424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425</v>
      </c>
      <c r="C285" t="s">
        <v>426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7900</v>
      </c>
      <c r="C286" t="s">
        <v>62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427</v>
      </c>
      <c r="C287" t="s">
        <v>428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7901</v>
      </c>
      <c r="C288" t="s">
        <v>62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429</v>
      </c>
      <c r="C289" t="s">
        <v>430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7902</v>
      </c>
      <c r="C290" t="s">
        <v>62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431</v>
      </c>
      <c r="C291" t="s">
        <v>432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433</v>
      </c>
      <c r="C292" t="s">
        <v>434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7903</v>
      </c>
      <c r="C293" t="s">
        <v>62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435</v>
      </c>
      <c r="C294" t="s">
        <v>436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7904</v>
      </c>
      <c r="C295" t="s">
        <v>62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437</v>
      </c>
      <c r="C296" t="s">
        <v>438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439</v>
      </c>
      <c r="C297" t="s">
        <v>440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441</v>
      </c>
      <c r="C298" t="s">
        <v>442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7905</v>
      </c>
      <c r="C299" t="s">
        <v>62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443</v>
      </c>
      <c r="C300" t="s">
        <v>444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445</v>
      </c>
      <c r="C301" t="s">
        <v>446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7906</v>
      </c>
      <c r="C302" t="s">
        <v>7907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447</v>
      </c>
      <c r="C303" t="s">
        <v>448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7908</v>
      </c>
      <c r="C304" t="s">
        <v>7909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449</v>
      </c>
      <c r="C305" t="s">
        <v>450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451</v>
      </c>
      <c r="C306" t="s">
        <v>452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453</v>
      </c>
      <c r="C307" t="s">
        <v>454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455</v>
      </c>
      <c r="C308" t="s">
        <v>456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457</v>
      </c>
      <c r="C309" t="s">
        <v>458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459</v>
      </c>
      <c r="C310" t="s">
        <v>460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461</v>
      </c>
      <c r="C311" t="s">
        <v>462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463</v>
      </c>
      <c r="C312" t="s">
        <v>464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7910</v>
      </c>
      <c r="C313" t="s">
        <v>62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465</v>
      </c>
      <c r="C314" t="s">
        <v>466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7911</v>
      </c>
      <c r="C315" t="s">
        <v>62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467</v>
      </c>
      <c r="C316" t="s">
        <v>468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469</v>
      </c>
      <c r="C317" t="s">
        <v>470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471</v>
      </c>
      <c r="C318" t="s">
        <v>472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7912</v>
      </c>
      <c r="C319" t="s">
        <v>62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473</v>
      </c>
      <c r="C320" t="s">
        <v>474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7913</v>
      </c>
      <c r="C321" t="s">
        <v>62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475</v>
      </c>
      <c r="C322" t="s">
        <v>476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477</v>
      </c>
      <c r="C323" t="s">
        <v>478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479</v>
      </c>
      <c r="C324" t="s">
        <v>480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7914</v>
      </c>
      <c r="C325" t="s">
        <v>62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481</v>
      </c>
      <c r="C326" t="s">
        <v>482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7915</v>
      </c>
      <c r="C327" t="s">
        <v>62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483</v>
      </c>
      <c r="C328" t="s">
        <v>484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485</v>
      </c>
      <c r="C329" t="s">
        <v>486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487</v>
      </c>
      <c r="C330" t="s">
        <v>488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7916</v>
      </c>
      <c r="C331" t="s">
        <v>62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489</v>
      </c>
      <c r="C332" t="s">
        <v>490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7917</v>
      </c>
      <c r="C333" t="s">
        <v>62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491</v>
      </c>
      <c r="C334" t="s">
        <v>492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493</v>
      </c>
      <c r="C335" t="s">
        <v>494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495</v>
      </c>
      <c r="C336" t="s">
        <v>496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7918</v>
      </c>
      <c r="C337" t="s">
        <v>7919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497</v>
      </c>
      <c r="C338" t="s">
        <v>498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499</v>
      </c>
      <c r="C339" t="s">
        <v>500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501</v>
      </c>
      <c r="C340" t="s">
        <v>502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503</v>
      </c>
      <c r="C341" t="s">
        <v>504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7920</v>
      </c>
      <c r="C342" t="s">
        <v>62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505</v>
      </c>
      <c r="C343" t="s">
        <v>506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7921</v>
      </c>
      <c r="C344" t="s">
        <v>62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507</v>
      </c>
      <c r="C345" t="s">
        <v>508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7922</v>
      </c>
      <c r="C346" t="s">
        <v>62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509</v>
      </c>
      <c r="C347" t="s">
        <v>510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7923</v>
      </c>
      <c r="C348" t="s">
        <v>62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511</v>
      </c>
      <c r="C349" t="s">
        <v>512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7924</v>
      </c>
      <c r="C350" t="s">
        <v>62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513</v>
      </c>
      <c r="C351" t="s">
        <v>514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7925</v>
      </c>
      <c r="C352" t="s">
        <v>62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515</v>
      </c>
      <c r="C353" t="s">
        <v>516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7926</v>
      </c>
      <c r="C354" t="s">
        <v>62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517</v>
      </c>
      <c r="C355" t="s">
        <v>518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7927</v>
      </c>
      <c r="C356" t="s">
        <v>62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519</v>
      </c>
      <c r="C357" t="s">
        <v>520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521</v>
      </c>
      <c r="C358" t="s">
        <v>522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523</v>
      </c>
      <c r="C359" t="s">
        <v>524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525</v>
      </c>
      <c r="C360" t="s">
        <v>526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527</v>
      </c>
      <c r="C361" t="s">
        <v>528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7928</v>
      </c>
      <c r="C362" t="s">
        <v>62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529</v>
      </c>
      <c r="C363" t="s">
        <v>530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7929</v>
      </c>
      <c r="C364" t="s">
        <v>62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531</v>
      </c>
      <c r="C365" t="s">
        <v>532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7930</v>
      </c>
      <c r="C366" t="s">
        <v>62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533</v>
      </c>
      <c r="C367" t="s">
        <v>284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534</v>
      </c>
      <c r="C368" t="s">
        <v>535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536</v>
      </c>
      <c r="C369" t="s">
        <v>537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538</v>
      </c>
      <c r="C370" t="s">
        <v>539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7931</v>
      </c>
      <c r="C371" t="s">
        <v>62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540</v>
      </c>
      <c r="C372" t="s">
        <v>541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7932</v>
      </c>
      <c r="C373" t="s">
        <v>62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542</v>
      </c>
      <c r="C374" t="s">
        <v>543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7933</v>
      </c>
      <c r="C375" t="s">
        <v>62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544</v>
      </c>
      <c r="C376" t="s">
        <v>545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7934</v>
      </c>
      <c r="C377" t="s">
        <v>62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546</v>
      </c>
      <c r="C378" t="s">
        <v>547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7935</v>
      </c>
      <c r="C379" t="s">
        <v>62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548</v>
      </c>
      <c r="C380" t="s">
        <v>549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7936</v>
      </c>
      <c r="C381" t="s">
        <v>62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550</v>
      </c>
      <c r="C382" t="s">
        <v>551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552</v>
      </c>
      <c r="C383" t="s">
        <v>553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7937</v>
      </c>
      <c r="C384" t="s">
        <v>62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554</v>
      </c>
      <c r="C385" t="s">
        <v>555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556</v>
      </c>
      <c r="C386" t="s">
        <v>557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7938</v>
      </c>
      <c r="C387" t="s">
        <v>62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558</v>
      </c>
      <c r="C388" t="s">
        <v>559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7939</v>
      </c>
      <c r="C389" t="s">
        <v>62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560</v>
      </c>
      <c r="C390" t="s">
        <v>561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7940</v>
      </c>
      <c r="C391" t="s">
        <v>62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562</v>
      </c>
      <c r="C392" t="s">
        <v>563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7941</v>
      </c>
      <c r="C393" t="s">
        <v>62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564</v>
      </c>
      <c r="C394" t="s">
        <v>565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7942</v>
      </c>
      <c r="C395" t="s">
        <v>62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566</v>
      </c>
      <c r="C396" t="s">
        <v>567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568</v>
      </c>
      <c r="C397" t="s">
        <v>569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570</v>
      </c>
      <c r="C398" t="s">
        <v>571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572</v>
      </c>
      <c r="C399" t="s">
        <v>573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7943</v>
      </c>
      <c r="C400" t="s">
        <v>62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574</v>
      </c>
      <c r="C401" t="s">
        <v>575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576</v>
      </c>
      <c r="C402" t="s">
        <v>577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578</v>
      </c>
      <c r="C403" t="s">
        <v>579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580</v>
      </c>
      <c r="C404" t="s">
        <v>581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582</v>
      </c>
      <c r="C405" t="s">
        <v>583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584</v>
      </c>
      <c r="C406" t="s">
        <v>585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586</v>
      </c>
      <c r="C407" t="s">
        <v>587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588</v>
      </c>
      <c r="C408" t="s">
        <v>589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7944</v>
      </c>
      <c r="C409" t="s">
        <v>62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590</v>
      </c>
      <c r="C410" t="s">
        <v>591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7945</v>
      </c>
      <c r="C411" t="s">
        <v>62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592</v>
      </c>
      <c r="C412" t="s">
        <v>593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594</v>
      </c>
      <c r="C413" t="s">
        <v>595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7946</v>
      </c>
      <c r="C414" t="s">
        <v>62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596</v>
      </c>
      <c r="C415" t="s">
        <v>597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7947</v>
      </c>
      <c r="C416" t="s">
        <v>62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598</v>
      </c>
      <c r="C417" t="s">
        <v>599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7948</v>
      </c>
      <c r="C418" t="s">
        <v>62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600</v>
      </c>
      <c r="C419" t="s">
        <v>601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602</v>
      </c>
      <c r="C420" t="s">
        <v>603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604</v>
      </c>
      <c r="C421" t="s">
        <v>605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606</v>
      </c>
      <c r="C422" t="s">
        <v>607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7949</v>
      </c>
      <c r="C423" t="s">
        <v>62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608</v>
      </c>
      <c r="C424" t="s">
        <v>609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610</v>
      </c>
      <c r="C425" t="s">
        <v>611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612</v>
      </c>
      <c r="C426" t="s">
        <v>613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614</v>
      </c>
      <c r="C427" t="s">
        <v>615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7950</v>
      </c>
      <c r="C428" t="s">
        <v>62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616</v>
      </c>
      <c r="C429" t="s">
        <v>617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618</v>
      </c>
      <c r="C430" t="s">
        <v>619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7951</v>
      </c>
      <c r="C431" t="s">
        <v>62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620</v>
      </c>
      <c r="C432" t="s">
        <v>621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7952</v>
      </c>
      <c r="C433" t="s">
        <v>62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622</v>
      </c>
      <c r="C434" t="s">
        <v>623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7953</v>
      </c>
      <c r="C435" t="s">
        <v>62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624</v>
      </c>
      <c r="C436" t="s">
        <v>625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7954</v>
      </c>
      <c r="C437" t="s">
        <v>62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626</v>
      </c>
      <c r="C438" t="s">
        <v>627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628</v>
      </c>
      <c r="C439" t="s">
        <v>629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630</v>
      </c>
      <c r="C440" t="s">
        <v>631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7955</v>
      </c>
      <c r="C441" t="s">
        <v>62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632</v>
      </c>
      <c r="C442" t="s">
        <v>633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7956</v>
      </c>
      <c r="C443" t="s">
        <v>62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634</v>
      </c>
      <c r="C444" t="s">
        <v>635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636</v>
      </c>
      <c r="C445" t="s">
        <v>637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638</v>
      </c>
      <c r="C446" t="s">
        <v>639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640</v>
      </c>
      <c r="C447" t="s">
        <v>641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7957</v>
      </c>
      <c r="C448" t="s">
        <v>62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642</v>
      </c>
      <c r="C449" t="s">
        <v>643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7958</v>
      </c>
      <c r="C450" t="s">
        <v>62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644</v>
      </c>
      <c r="C451" t="s">
        <v>645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7959</v>
      </c>
      <c r="C452" t="s">
        <v>62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646</v>
      </c>
      <c r="C453" t="s">
        <v>647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648</v>
      </c>
      <c r="C454" t="s">
        <v>649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7960</v>
      </c>
      <c r="C455" t="s">
        <v>62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650</v>
      </c>
      <c r="C456" t="s">
        <v>651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652</v>
      </c>
      <c r="C457" t="s">
        <v>653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7961</v>
      </c>
      <c r="C458" t="s">
        <v>62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654</v>
      </c>
      <c r="C459" t="s">
        <v>655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7962</v>
      </c>
      <c r="C460" t="s">
        <v>62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656</v>
      </c>
      <c r="C461" t="s">
        <v>657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658</v>
      </c>
      <c r="C462" t="s">
        <v>659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660</v>
      </c>
      <c r="C463" t="s">
        <v>661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662</v>
      </c>
      <c r="C464" t="s">
        <v>663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7963</v>
      </c>
      <c r="C465" t="s">
        <v>62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664</v>
      </c>
      <c r="C466" t="s">
        <v>665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7964</v>
      </c>
      <c r="C467" t="s">
        <v>62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666</v>
      </c>
      <c r="C468" t="s">
        <v>667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7965</v>
      </c>
      <c r="C469" t="s">
        <v>62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668</v>
      </c>
      <c r="C470" t="s">
        <v>669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7966</v>
      </c>
      <c r="C471" t="s">
        <v>62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670</v>
      </c>
      <c r="C472" t="s">
        <v>671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7967</v>
      </c>
      <c r="C473" t="s">
        <v>62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672</v>
      </c>
      <c r="C474" t="s">
        <v>673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7968</v>
      </c>
      <c r="C475" t="s">
        <v>62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674</v>
      </c>
      <c r="C476" t="s">
        <v>675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676</v>
      </c>
      <c r="C477" t="s">
        <v>677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678</v>
      </c>
      <c r="C478" t="s">
        <v>679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680</v>
      </c>
      <c r="C479" t="s">
        <v>681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682</v>
      </c>
      <c r="C480" t="s">
        <v>683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7969</v>
      </c>
      <c r="C481" t="s">
        <v>62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684</v>
      </c>
      <c r="C482" t="s">
        <v>685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7970</v>
      </c>
      <c r="C483" t="s">
        <v>62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686</v>
      </c>
      <c r="C484" t="s">
        <v>687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7971</v>
      </c>
      <c r="C485" t="s">
        <v>7972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7973</v>
      </c>
      <c r="C486" t="s">
        <v>62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688</v>
      </c>
      <c r="C487" t="s">
        <v>689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7974</v>
      </c>
      <c r="C488" t="s">
        <v>62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690</v>
      </c>
      <c r="C489" t="s">
        <v>691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7975</v>
      </c>
      <c r="C490" t="s">
        <v>62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692</v>
      </c>
      <c r="C491" t="s">
        <v>693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7976</v>
      </c>
      <c r="C492" t="s">
        <v>62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694</v>
      </c>
      <c r="C493" t="s">
        <v>695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7977</v>
      </c>
      <c r="C494" t="s">
        <v>62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696</v>
      </c>
      <c r="C495" t="s">
        <v>697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698</v>
      </c>
      <c r="C496" t="s">
        <v>699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700</v>
      </c>
      <c r="C497" t="s">
        <v>701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702</v>
      </c>
      <c r="C498" t="s">
        <v>703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7978</v>
      </c>
      <c r="C499" t="s">
        <v>62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704</v>
      </c>
      <c r="C500" t="s">
        <v>705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706</v>
      </c>
      <c r="C501" t="s">
        <v>707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708</v>
      </c>
      <c r="C502" t="s">
        <v>709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710</v>
      </c>
      <c r="C503" t="s">
        <v>711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712</v>
      </c>
      <c r="C504" t="s">
        <v>713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715</v>
      </c>
      <c r="C505" t="s">
        <v>713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9614</v>
      </c>
      <c r="C506" t="s">
        <v>9615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9616</v>
      </c>
      <c r="C507" t="s">
        <v>9617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9618</v>
      </c>
      <c r="C508" t="s">
        <v>9619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7979</v>
      </c>
      <c r="C509" t="s">
        <v>62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716</v>
      </c>
      <c r="C510" t="s">
        <v>717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7980</v>
      </c>
      <c r="C511" t="s">
        <v>62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718</v>
      </c>
      <c r="C512" t="s">
        <v>719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7981</v>
      </c>
      <c r="C513" t="s">
        <v>62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720</v>
      </c>
      <c r="C514" t="s">
        <v>721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7982</v>
      </c>
      <c r="C515" t="s">
        <v>62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722</v>
      </c>
      <c r="C516" t="s">
        <v>723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7983</v>
      </c>
      <c r="C517" t="s">
        <v>62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724</v>
      </c>
      <c r="C518" t="s">
        <v>725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726</v>
      </c>
      <c r="C519" t="s">
        <v>298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727</v>
      </c>
      <c r="C520" t="s">
        <v>728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729</v>
      </c>
      <c r="C521" t="s">
        <v>730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731</v>
      </c>
      <c r="C522" t="s">
        <v>732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733</v>
      </c>
      <c r="C523" t="s">
        <v>734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735</v>
      </c>
      <c r="C524" t="s">
        <v>736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737</v>
      </c>
      <c r="C525" t="s">
        <v>738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739</v>
      </c>
      <c r="C526" t="s">
        <v>740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741</v>
      </c>
      <c r="C527" t="s">
        <v>742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7984</v>
      </c>
      <c r="C528" t="s">
        <v>62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743</v>
      </c>
      <c r="C529" t="s">
        <v>744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7985</v>
      </c>
      <c r="C530" t="s">
        <v>62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745</v>
      </c>
      <c r="C531" t="s">
        <v>746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7986</v>
      </c>
      <c r="C532" t="s">
        <v>62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747</v>
      </c>
      <c r="C533" t="s">
        <v>748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7987</v>
      </c>
      <c r="C534" t="s">
        <v>62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749</v>
      </c>
      <c r="C535" t="s">
        <v>750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7988</v>
      </c>
      <c r="C536" t="s">
        <v>62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751</v>
      </c>
      <c r="C537" t="s">
        <v>752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7989</v>
      </c>
      <c r="C538" t="s">
        <v>62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753</v>
      </c>
      <c r="C539" t="s">
        <v>754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7990</v>
      </c>
      <c r="C540" t="s">
        <v>62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756</v>
      </c>
      <c r="C541" t="s">
        <v>757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7991</v>
      </c>
      <c r="C542" t="s">
        <v>62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758</v>
      </c>
      <c r="C543" t="s">
        <v>759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760</v>
      </c>
      <c r="C544" t="s">
        <v>761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7992</v>
      </c>
      <c r="C545" t="s">
        <v>62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762</v>
      </c>
      <c r="C546" t="s">
        <v>763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7993</v>
      </c>
      <c r="C547" t="s">
        <v>62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764</v>
      </c>
      <c r="C548" t="s">
        <v>765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7994</v>
      </c>
      <c r="C549" t="s">
        <v>62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766</v>
      </c>
      <c r="C550" t="s">
        <v>767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768</v>
      </c>
      <c r="C551" t="s">
        <v>769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770</v>
      </c>
      <c r="C552" t="s">
        <v>771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772</v>
      </c>
      <c r="C553" t="s">
        <v>773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774</v>
      </c>
      <c r="C554" t="s">
        <v>775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776</v>
      </c>
      <c r="C555" t="s">
        <v>777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778</v>
      </c>
      <c r="C556" t="s">
        <v>779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7995</v>
      </c>
      <c r="C557" t="s">
        <v>62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780</v>
      </c>
      <c r="C558" t="s">
        <v>781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7996</v>
      </c>
      <c r="C559" t="s">
        <v>62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782</v>
      </c>
      <c r="C560" t="s">
        <v>783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784</v>
      </c>
      <c r="C561" t="s">
        <v>785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786</v>
      </c>
      <c r="C562" t="s">
        <v>787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788</v>
      </c>
      <c r="C563" t="s">
        <v>789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790</v>
      </c>
      <c r="C564" t="s">
        <v>791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7997</v>
      </c>
      <c r="C565" t="s">
        <v>62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792</v>
      </c>
      <c r="C566" t="s">
        <v>793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7998</v>
      </c>
      <c r="C567" t="s">
        <v>62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794</v>
      </c>
      <c r="C568" t="s">
        <v>795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7999</v>
      </c>
      <c r="C569" t="s">
        <v>62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796</v>
      </c>
      <c r="C570" t="s">
        <v>797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798</v>
      </c>
      <c r="C571" t="s">
        <v>799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9620</v>
      </c>
      <c r="C572" t="s">
        <v>9621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9622</v>
      </c>
      <c r="C573" t="s">
        <v>9623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9624</v>
      </c>
      <c r="C574" t="s">
        <v>9625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8000</v>
      </c>
      <c r="C575" t="s">
        <v>8001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800</v>
      </c>
      <c r="C576" t="s">
        <v>801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802</v>
      </c>
      <c r="C577" t="s">
        <v>803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8002</v>
      </c>
      <c r="C578" t="s">
        <v>62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804</v>
      </c>
      <c r="C579" t="s">
        <v>805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8003</v>
      </c>
      <c r="C580" t="s">
        <v>62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806</v>
      </c>
      <c r="C581" t="s">
        <v>807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808</v>
      </c>
      <c r="C582" t="s">
        <v>809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810</v>
      </c>
      <c r="C583" t="s">
        <v>811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812</v>
      </c>
      <c r="C584" t="s">
        <v>813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8004</v>
      </c>
      <c r="C585" t="s">
        <v>62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814</v>
      </c>
      <c r="C586" t="s">
        <v>815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816</v>
      </c>
      <c r="C587" t="s">
        <v>817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818</v>
      </c>
      <c r="C588" t="s">
        <v>819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820</v>
      </c>
      <c r="C589" t="s">
        <v>821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8005</v>
      </c>
      <c r="C590" t="s">
        <v>62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822</v>
      </c>
      <c r="C591" t="s">
        <v>823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8006</v>
      </c>
      <c r="C592" t="s">
        <v>62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824</v>
      </c>
      <c r="C593" t="s">
        <v>825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8007</v>
      </c>
      <c r="C594" t="s">
        <v>62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826</v>
      </c>
      <c r="C595" t="s">
        <v>827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8008</v>
      </c>
      <c r="C596" t="s">
        <v>62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828</v>
      </c>
      <c r="C597" t="s">
        <v>829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8009</v>
      </c>
      <c r="C598" t="s">
        <v>62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830</v>
      </c>
      <c r="C599" t="s">
        <v>831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832</v>
      </c>
      <c r="C600" t="s">
        <v>833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834</v>
      </c>
      <c r="C601" t="s">
        <v>835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836</v>
      </c>
      <c r="C602" t="s">
        <v>837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8010</v>
      </c>
      <c r="C603" t="s">
        <v>62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838</v>
      </c>
      <c r="C604" t="s">
        <v>839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8011</v>
      </c>
      <c r="C605" t="s">
        <v>62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840</v>
      </c>
      <c r="C606" t="s">
        <v>841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9626</v>
      </c>
      <c r="C607" t="s">
        <v>9627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9628</v>
      </c>
      <c r="C608" t="s">
        <v>9629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9630</v>
      </c>
      <c r="C609" t="s">
        <v>9631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9632</v>
      </c>
      <c r="C610" t="s">
        <v>9633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9634</v>
      </c>
      <c r="C611" t="s">
        <v>9635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9636</v>
      </c>
      <c r="C612" t="s">
        <v>9637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9638</v>
      </c>
      <c r="C613" t="s">
        <v>9639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9640</v>
      </c>
      <c r="C614" t="s">
        <v>9641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8012</v>
      </c>
      <c r="C615" t="s">
        <v>62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842</v>
      </c>
      <c r="C616" t="s">
        <v>843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8013</v>
      </c>
      <c r="C617" t="s">
        <v>62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844</v>
      </c>
      <c r="C618" t="s">
        <v>845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8014</v>
      </c>
      <c r="C619" t="s">
        <v>62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846</v>
      </c>
      <c r="C620" t="s">
        <v>847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8015</v>
      </c>
      <c r="C621" t="s">
        <v>62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848</v>
      </c>
      <c r="C622" t="s">
        <v>849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850</v>
      </c>
      <c r="C623" t="s">
        <v>851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852</v>
      </c>
      <c r="C624" t="s">
        <v>853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854</v>
      </c>
      <c r="C625" t="s">
        <v>855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856</v>
      </c>
      <c r="C626" t="s">
        <v>857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8016</v>
      </c>
      <c r="C627" t="s">
        <v>62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858</v>
      </c>
      <c r="C628" t="s">
        <v>859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8017</v>
      </c>
      <c r="C629" t="s">
        <v>62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860</v>
      </c>
      <c r="C630" t="s">
        <v>861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862</v>
      </c>
      <c r="C631" t="s">
        <v>863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864</v>
      </c>
      <c r="C632" t="s">
        <v>865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866</v>
      </c>
      <c r="C633" t="s">
        <v>867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8018</v>
      </c>
      <c r="C634" t="s">
        <v>62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868</v>
      </c>
      <c r="C635" t="s">
        <v>869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870</v>
      </c>
      <c r="C636" t="s">
        <v>871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872</v>
      </c>
      <c r="C637" t="s">
        <v>873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8019</v>
      </c>
      <c r="C638" t="s">
        <v>62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874</v>
      </c>
      <c r="C639" t="s">
        <v>875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876</v>
      </c>
      <c r="C640" t="s">
        <v>877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878</v>
      </c>
      <c r="C641" t="s">
        <v>879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8020</v>
      </c>
      <c r="C642" t="s">
        <v>62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880</v>
      </c>
      <c r="C643" t="s">
        <v>881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8021</v>
      </c>
      <c r="C644" t="s">
        <v>62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882</v>
      </c>
      <c r="C645" t="s">
        <v>883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8022</v>
      </c>
      <c r="C646" t="s">
        <v>62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884</v>
      </c>
      <c r="C647" t="s">
        <v>885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886</v>
      </c>
      <c r="C648" t="s">
        <v>887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8023</v>
      </c>
      <c r="C649" t="s">
        <v>62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888</v>
      </c>
      <c r="C650" t="s">
        <v>889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8024</v>
      </c>
      <c r="C651" t="s">
        <v>62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890</v>
      </c>
      <c r="C652" t="s">
        <v>891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892</v>
      </c>
      <c r="C653" t="s">
        <v>893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894</v>
      </c>
      <c r="C654" t="s">
        <v>895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896</v>
      </c>
      <c r="C655" t="s">
        <v>897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8025</v>
      </c>
      <c r="C656" t="s">
        <v>62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898</v>
      </c>
      <c r="C657" t="s">
        <v>899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900</v>
      </c>
      <c r="C658" t="s">
        <v>901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902</v>
      </c>
      <c r="C659" t="s">
        <v>903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904</v>
      </c>
      <c r="C660" t="s">
        <v>905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8026</v>
      </c>
      <c r="C661" t="s">
        <v>62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906</v>
      </c>
      <c r="C662" t="s">
        <v>907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8027</v>
      </c>
      <c r="C663" t="s">
        <v>62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908</v>
      </c>
      <c r="C664" t="s">
        <v>909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8028</v>
      </c>
      <c r="C665" t="s">
        <v>62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910</v>
      </c>
      <c r="C666" t="s">
        <v>911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8029</v>
      </c>
      <c r="C667" t="s">
        <v>62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912</v>
      </c>
      <c r="C668" t="s">
        <v>913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8030</v>
      </c>
      <c r="C669" t="s">
        <v>62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914</v>
      </c>
      <c r="C670" t="s">
        <v>915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8031</v>
      </c>
      <c r="C671" t="s">
        <v>62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916</v>
      </c>
      <c r="C672" t="s">
        <v>841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8032</v>
      </c>
      <c r="C673" t="s">
        <v>62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917</v>
      </c>
      <c r="C674" t="s">
        <v>918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919</v>
      </c>
      <c r="C675" t="s">
        <v>920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921</v>
      </c>
      <c r="C676" t="s">
        <v>922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923</v>
      </c>
      <c r="C677" t="s">
        <v>924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925</v>
      </c>
      <c r="C678" t="s">
        <v>926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927</v>
      </c>
      <c r="C679" t="s">
        <v>928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929</v>
      </c>
      <c r="C680" t="s">
        <v>930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8033</v>
      </c>
      <c r="C681" t="s">
        <v>62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931</v>
      </c>
      <c r="C682" t="s">
        <v>932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933</v>
      </c>
      <c r="C683" t="s">
        <v>934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935</v>
      </c>
      <c r="C684" t="s">
        <v>936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937</v>
      </c>
      <c r="C685" t="s">
        <v>938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8034</v>
      </c>
      <c r="C686" t="s">
        <v>62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939</v>
      </c>
      <c r="C687" t="s">
        <v>940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941</v>
      </c>
      <c r="C688" t="s">
        <v>942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943</v>
      </c>
      <c r="C689" t="s">
        <v>944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945</v>
      </c>
      <c r="C690" t="s">
        <v>946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947</v>
      </c>
      <c r="C691" t="s">
        <v>948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949</v>
      </c>
      <c r="C692" t="s">
        <v>950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951</v>
      </c>
      <c r="C693" t="s">
        <v>952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953</v>
      </c>
      <c r="C694" t="s">
        <v>954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955</v>
      </c>
      <c r="C695" t="s">
        <v>956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8035</v>
      </c>
      <c r="C696" t="s">
        <v>62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957</v>
      </c>
      <c r="C697" t="s">
        <v>958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959</v>
      </c>
      <c r="C698" t="s">
        <v>960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961</v>
      </c>
      <c r="C699" t="s">
        <v>962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963</v>
      </c>
      <c r="C700" t="s">
        <v>964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965</v>
      </c>
      <c r="C701" t="s">
        <v>966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967</v>
      </c>
      <c r="C702" t="s">
        <v>968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969</v>
      </c>
      <c r="C703" t="s">
        <v>970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8036</v>
      </c>
      <c r="C704" t="s">
        <v>62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971</v>
      </c>
      <c r="C705" t="s">
        <v>972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8037</v>
      </c>
      <c r="C706" t="s">
        <v>62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973</v>
      </c>
      <c r="C707" t="s">
        <v>974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8038</v>
      </c>
      <c r="C708" t="s">
        <v>62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975</v>
      </c>
      <c r="C709" t="s">
        <v>976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8039</v>
      </c>
      <c r="C710" t="s">
        <v>62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977</v>
      </c>
      <c r="C711" t="s">
        <v>978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8040</v>
      </c>
      <c r="C712" t="s">
        <v>62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979</v>
      </c>
      <c r="C713" t="s">
        <v>980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8041</v>
      </c>
      <c r="C714" t="s">
        <v>62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981</v>
      </c>
      <c r="C715" t="s">
        <v>982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983</v>
      </c>
      <c r="C716" t="s">
        <v>984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985</v>
      </c>
      <c r="C717" t="s">
        <v>986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8042</v>
      </c>
      <c r="C718" t="s">
        <v>62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987</v>
      </c>
      <c r="C719" t="s">
        <v>988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8043</v>
      </c>
      <c r="C720" t="s">
        <v>62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989</v>
      </c>
      <c r="C721" t="s">
        <v>990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8044</v>
      </c>
      <c r="C722" t="s">
        <v>62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991</v>
      </c>
      <c r="C723" t="s">
        <v>992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993</v>
      </c>
      <c r="C724" t="s">
        <v>994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8045</v>
      </c>
      <c r="C725" t="s">
        <v>62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995</v>
      </c>
      <c r="C726" t="s">
        <v>996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9642</v>
      </c>
      <c r="C727" t="s">
        <v>9643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9644</v>
      </c>
      <c r="C728" t="s">
        <v>9645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997</v>
      </c>
      <c r="C729" t="s">
        <v>998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8046</v>
      </c>
      <c r="C730" t="s">
        <v>62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8047</v>
      </c>
      <c r="C731" t="s">
        <v>8048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8049</v>
      </c>
      <c r="C732" t="s">
        <v>62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8050</v>
      </c>
      <c r="C733" t="s">
        <v>8051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8052</v>
      </c>
      <c r="C734" t="s">
        <v>62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8053</v>
      </c>
      <c r="C735" t="s">
        <v>8054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8055</v>
      </c>
      <c r="C736" t="s">
        <v>62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8056</v>
      </c>
      <c r="C737" t="s">
        <v>8057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8058</v>
      </c>
      <c r="C738" t="s">
        <v>62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8059</v>
      </c>
      <c r="C739" t="s">
        <v>7972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8060</v>
      </c>
      <c r="C740" t="s">
        <v>62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8061</v>
      </c>
      <c r="C741" t="s">
        <v>8062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8063</v>
      </c>
      <c r="C742" t="s">
        <v>62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8064</v>
      </c>
      <c r="C743" t="s">
        <v>8065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8066</v>
      </c>
      <c r="C744" t="s">
        <v>62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8067</v>
      </c>
      <c r="C745" t="s">
        <v>8068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999</v>
      </c>
      <c r="C746" t="s">
        <v>1000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8069</v>
      </c>
      <c r="C747" t="s">
        <v>62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8070</v>
      </c>
      <c r="C748" t="s">
        <v>8071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8072</v>
      </c>
      <c r="C749" t="s">
        <v>62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8073</v>
      </c>
      <c r="C750" t="s">
        <v>8074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8075</v>
      </c>
      <c r="C751" t="s">
        <v>62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8076</v>
      </c>
      <c r="C752" t="s">
        <v>8077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8078</v>
      </c>
      <c r="C753" t="s">
        <v>62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1001</v>
      </c>
      <c r="C754" t="s">
        <v>1002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8079</v>
      </c>
      <c r="C755" t="s">
        <v>62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8080</v>
      </c>
      <c r="C756" t="s">
        <v>8081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8082</v>
      </c>
      <c r="C757" t="s">
        <v>62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8083</v>
      </c>
      <c r="C758" t="s">
        <v>8084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8085</v>
      </c>
      <c r="C759" t="s">
        <v>62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8086</v>
      </c>
      <c r="C760" t="s">
        <v>8087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8088</v>
      </c>
      <c r="C761" t="s">
        <v>62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1003</v>
      </c>
      <c r="C762" t="s">
        <v>1004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8089</v>
      </c>
      <c r="C763" t="s">
        <v>62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1005</v>
      </c>
      <c r="C764" t="s">
        <v>1006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8090</v>
      </c>
      <c r="C765" t="s">
        <v>62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1007</v>
      </c>
      <c r="C766" t="s">
        <v>1008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8091</v>
      </c>
      <c r="C767" t="s">
        <v>62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1009</v>
      </c>
      <c r="C768" t="s">
        <v>1010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8092</v>
      </c>
      <c r="C769" t="s">
        <v>62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1011</v>
      </c>
      <c r="C770" t="s">
        <v>1012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1013</v>
      </c>
      <c r="C771" t="s">
        <v>1014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1015</v>
      </c>
      <c r="C772" t="s">
        <v>1016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1017</v>
      </c>
      <c r="C773" t="s">
        <v>1018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8093</v>
      </c>
      <c r="C774" t="s">
        <v>62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1019</v>
      </c>
      <c r="C775" t="s">
        <v>1020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1021</v>
      </c>
      <c r="C776" t="s">
        <v>175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1022</v>
      </c>
      <c r="C777" t="s">
        <v>1023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9646</v>
      </c>
      <c r="C778" t="s">
        <v>9647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8094</v>
      </c>
      <c r="C779" t="s">
        <v>62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1024</v>
      </c>
      <c r="C780" t="s">
        <v>1025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9648</v>
      </c>
      <c r="C781" t="s">
        <v>9649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1026</v>
      </c>
      <c r="C782" t="s">
        <v>1027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1028</v>
      </c>
      <c r="C783" t="s">
        <v>1029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8095</v>
      </c>
      <c r="C784" t="s">
        <v>62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1030</v>
      </c>
      <c r="C785" t="s">
        <v>1031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1032</v>
      </c>
      <c r="C786" t="s">
        <v>1033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9650</v>
      </c>
      <c r="C787" t="s">
        <v>9651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8096</v>
      </c>
      <c r="C788" t="s">
        <v>62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1034</v>
      </c>
      <c r="C789" t="s">
        <v>1035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1036</v>
      </c>
      <c r="C790" t="s">
        <v>1037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1038</v>
      </c>
      <c r="C791" t="s">
        <v>1039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1040</v>
      </c>
      <c r="C792" t="s">
        <v>1041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1042</v>
      </c>
      <c r="C793" t="s">
        <v>1043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1044</v>
      </c>
      <c r="C794" t="s">
        <v>1045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1046</v>
      </c>
      <c r="C795" t="s">
        <v>1047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1048</v>
      </c>
      <c r="C796" t="s">
        <v>1049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1050</v>
      </c>
      <c r="C797" t="s">
        <v>62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1051</v>
      </c>
      <c r="C798" t="s">
        <v>1052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8097</v>
      </c>
      <c r="C799" t="s">
        <v>62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1053</v>
      </c>
      <c r="C800" t="s">
        <v>1054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1055</v>
      </c>
      <c r="C801" t="s">
        <v>1056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1057</v>
      </c>
      <c r="C802" t="s">
        <v>1058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1059</v>
      </c>
      <c r="C803" t="s">
        <v>1060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8098</v>
      </c>
      <c r="C804" t="s">
        <v>62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1061</v>
      </c>
      <c r="C805" t="s">
        <v>1062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1063</v>
      </c>
      <c r="C806" t="s">
        <v>1064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8099</v>
      </c>
      <c r="C807" t="s">
        <v>8100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8101</v>
      </c>
      <c r="C808" t="s">
        <v>8102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1065</v>
      </c>
      <c r="C809" t="s">
        <v>1066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1067</v>
      </c>
      <c r="C810" t="s">
        <v>1068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8103</v>
      </c>
      <c r="C811" t="s">
        <v>62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1069</v>
      </c>
      <c r="C812" t="s">
        <v>1070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8104</v>
      </c>
      <c r="C813" t="s">
        <v>62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1071</v>
      </c>
      <c r="C814" t="s">
        <v>1072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8105</v>
      </c>
      <c r="C815" t="s">
        <v>62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1073</v>
      </c>
      <c r="C816" t="s">
        <v>1074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8106</v>
      </c>
      <c r="C817" t="s">
        <v>62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1075</v>
      </c>
      <c r="C818" t="s">
        <v>1076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1077</v>
      </c>
      <c r="C819" t="s">
        <v>1078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1079</v>
      </c>
      <c r="C820" t="s">
        <v>62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1080</v>
      </c>
      <c r="C821" t="s">
        <v>1081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1082</v>
      </c>
      <c r="C822" t="s">
        <v>62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1083</v>
      </c>
      <c r="C823" t="s">
        <v>62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1084</v>
      </c>
      <c r="C824" t="s">
        <v>1085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1086</v>
      </c>
      <c r="C825" t="s">
        <v>62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1087</v>
      </c>
      <c r="C826" t="s">
        <v>1088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1089</v>
      </c>
      <c r="C827" t="s">
        <v>1033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1090</v>
      </c>
      <c r="C828" t="s">
        <v>62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1091</v>
      </c>
      <c r="C829" t="s">
        <v>1092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1093</v>
      </c>
      <c r="C830" t="s">
        <v>62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1094</v>
      </c>
      <c r="C831" t="s">
        <v>1095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1096</v>
      </c>
      <c r="C832" t="s">
        <v>62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1097</v>
      </c>
      <c r="C833" t="s">
        <v>1098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1099</v>
      </c>
      <c r="C834" t="s">
        <v>62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1100</v>
      </c>
      <c r="C835" t="s">
        <v>1101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1102</v>
      </c>
      <c r="C836" t="s">
        <v>62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1103</v>
      </c>
      <c r="C837" t="s">
        <v>1104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1105</v>
      </c>
      <c r="C838" t="s">
        <v>62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1106</v>
      </c>
      <c r="C839" t="s">
        <v>1107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1108</v>
      </c>
      <c r="C840" t="s">
        <v>62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1109</v>
      </c>
      <c r="C841" t="s">
        <v>1110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1111</v>
      </c>
      <c r="C842" t="s">
        <v>62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1112</v>
      </c>
      <c r="C843" t="s">
        <v>1113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1114</v>
      </c>
      <c r="C844" t="s">
        <v>62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1115</v>
      </c>
      <c r="C845" t="s">
        <v>1116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1117</v>
      </c>
      <c r="C846" t="s">
        <v>62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1118</v>
      </c>
      <c r="C847" t="s">
        <v>1119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1120</v>
      </c>
      <c r="C848" t="s">
        <v>62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1121</v>
      </c>
      <c r="C849" t="s">
        <v>1122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1123</v>
      </c>
      <c r="C850" t="s">
        <v>1124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8107</v>
      </c>
      <c r="C851" t="s">
        <v>8107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1125</v>
      </c>
      <c r="C852" t="s">
        <v>1126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1127</v>
      </c>
      <c r="C853" t="s">
        <v>1128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1129</v>
      </c>
      <c r="C854" t="s">
        <v>1130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1131</v>
      </c>
      <c r="C855" t="s">
        <v>62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1132</v>
      </c>
      <c r="C856" t="s">
        <v>1133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8108</v>
      </c>
      <c r="C857" t="s">
        <v>62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1134</v>
      </c>
      <c r="C858" t="s">
        <v>1135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1136</v>
      </c>
      <c r="C859" t="s">
        <v>1137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1138</v>
      </c>
      <c r="C860" t="s">
        <v>62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1139</v>
      </c>
      <c r="C861" t="s">
        <v>1140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1141</v>
      </c>
      <c r="C862" t="s">
        <v>62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1142</v>
      </c>
      <c r="C863" t="s">
        <v>1143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1144</v>
      </c>
      <c r="C864" t="s">
        <v>1145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1146</v>
      </c>
      <c r="C865" t="s">
        <v>1147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1148</v>
      </c>
      <c r="C866" t="s">
        <v>1149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8109</v>
      </c>
      <c r="C867" t="s">
        <v>62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1150</v>
      </c>
      <c r="C868" t="s">
        <v>1151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1152</v>
      </c>
      <c r="C869" t="s">
        <v>62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1153</v>
      </c>
      <c r="C870" t="s">
        <v>1154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1155</v>
      </c>
      <c r="C871" t="s">
        <v>1156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1157</v>
      </c>
      <c r="C872" t="s">
        <v>1158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8110</v>
      </c>
      <c r="C873" t="s">
        <v>62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1159</v>
      </c>
      <c r="C874" t="s">
        <v>1160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1161</v>
      </c>
      <c r="C875" t="s">
        <v>1162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8111</v>
      </c>
      <c r="C876" t="s">
        <v>62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1163</v>
      </c>
      <c r="C877" t="s">
        <v>1164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8112</v>
      </c>
      <c r="C878" t="s">
        <v>62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1165</v>
      </c>
      <c r="C879" t="s">
        <v>1166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8113</v>
      </c>
      <c r="C880" t="s">
        <v>62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1167</v>
      </c>
      <c r="C881" t="s">
        <v>1168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8114</v>
      </c>
      <c r="C882" t="s">
        <v>62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1169</v>
      </c>
      <c r="C883" t="s">
        <v>1170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1171</v>
      </c>
      <c r="C884" t="s">
        <v>1172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1173</v>
      </c>
      <c r="C885" t="s">
        <v>1174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8115</v>
      </c>
      <c r="C886" t="s">
        <v>62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1175</v>
      </c>
      <c r="C887" t="s">
        <v>1176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8116</v>
      </c>
      <c r="C888" t="s">
        <v>62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1177</v>
      </c>
      <c r="C889" t="s">
        <v>1178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8117</v>
      </c>
      <c r="C890" t="s">
        <v>62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1179</v>
      </c>
      <c r="C891" t="s">
        <v>1180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8118</v>
      </c>
      <c r="C892" t="s">
        <v>62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1181</v>
      </c>
      <c r="C893" t="s">
        <v>1182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8119</v>
      </c>
      <c r="C894" t="s">
        <v>62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1183</v>
      </c>
      <c r="C895" t="s">
        <v>1184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8120</v>
      </c>
      <c r="C896" t="s">
        <v>62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1185</v>
      </c>
      <c r="C897" t="s">
        <v>1186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8121</v>
      </c>
      <c r="C898" t="s">
        <v>62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1187</v>
      </c>
      <c r="C899" t="s">
        <v>1188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1189</v>
      </c>
      <c r="C900" t="s">
        <v>1190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1191</v>
      </c>
      <c r="C901" t="s">
        <v>1192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8122</v>
      </c>
      <c r="C902" t="s">
        <v>62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1193</v>
      </c>
      <c r="C903" t="s">
        <v>1194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1195</v>
      </c>
      <c r="C904" t="s">
        <v>1196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1197</v>
      </c>
      <c r="C905" t="s">
        <v>1198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1199</v>
      </c>
      <c r="C906" t="s">
        <v>1200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1201</v>
      </c>
      <c r="C907" t="s">
        <v>1202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1203</v>
      </c>
      <c r="C908" t="s">
        <v>1204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8123</v>
      </c>
      <c r="C909" t="s">
        <v>62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1205</v>
      </c>
      <c r="C910" t="s">
        <v>1206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8124</v>
      </c>
      <c r="C911" t="s">
        <v>62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1207</v>
      </c>
      <c r="C912" t="s">
        <v>1208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1209</v>
      </c>
      <c r="C913" t="s">
        <v>1210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8125</v>
      </c>
      <c r="C914" t="s">
        <v>62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1211</v>
      </c>
      <c r="C915" t="s">
        <v>1212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8126</v>
      </c>
      <c r="C916" t="s">
        <v>62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1213</v>
      </c>
      <c r="C917" t="s">
        <v>1214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8127</v>
      </c>
      <c r="C918" t="s">
        <v>62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1215</v>
      </c>
      <c r="C919" t="s">
        <v>1216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1217</v>
      </c>
      <c r="C920" t="s">
        <v>1218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8128</v>
      </c>
      <c r="C921" t="s">
        <v>62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1219</v>
      </c>
      <c r="C922" t="s">
        <v>1220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1221</v>
      </c>
      <c r="C923" t="s">
        <v>1222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1223</v>
      </c>
      <c r="C924" t="s">
        <v>1224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8129</v>
      </c>
      <c r="C925" t="s">
        <v>62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1225</v>
      </c>
      <c r="C926" t="s">
        <v>1226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8130</v>
      </c>
      <c r="C927" t="s">
        <v>62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1227</v>
      </c>
      <c r="C928" t="s">
        <v>1228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8131</v>
      </c>
      <c r="C929" t="s">
        <v>62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1229</v>
      </c>
      <c r="C930" t="s">
        <v>1230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1232</v>
      </c>
      <c r="C931" t="s">
        <v>1233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1234</v>
      </c>
      <c r="C932" t="s">
        <v>1235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1236</v>
      </c>
      <c r="C933" t="s">
        <v>1237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1238</v>
      </c>
      <c r="C934" t="s">
        <v>1239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8132</v>
      </c>
      <c r="C935" t="s">
        <v>62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1240</v>
      </c>
      <c r="C936" t="s">
        <v>1241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8133</v>
      </c>
      <c r="C937" t="s">
        <v>62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1242</v>
      </c>
      <c r="C938" t="s">
        <v>1243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1244</v>
      </c>
      <c r="C939" t="s">
        <v>1245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1246</v>
      </c>
      <c r="C940" t="s">
        <v>1247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8134</v>
      </c>
      <c r="C941" t="s">
        <v>62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1248</v>
      </c>
      <c r="C942" t="s">
        <v>1249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1250</v>
      </c>
      <c r="C943" t="s">
        <v>1251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8135</v>
      </c>
      <c r="C944" t="s">
        <v>62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1252</v>
      </c>
      <c r="C945" t="s">
        <v>1253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8136</v>
      </c>
      <c r="C946" t="s">
        <v>62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1254</v>
      </c>
      <c r="C947" t="s">
        <v>1255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1256</v>
      </c>
      <c r="C948" t="s">
        <v>1257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8137</v>
      </c>
      <c r="C949" t="s">
        <v>62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1258</v>
      </c>
      <c r="C950" t="s">
        <v>1259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1260</v>
      </c>
      <c r="C951" t="s">
        <v>1261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1262</v>
      </c>
      <c r="C952" t="s">
        <v>62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1263</v>
      </c>
      <c r="C953" t="s">
        <v>1264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8138</v>
      </c>
      <c r="C954" t="s">
        <v>62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1265</v>
      </c>
      <c r="C955" t="s">
        <v>1266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1267</v>
      </c>
      <c r="C956" t="s">
        <v>1268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1269</v>
      </c>
      <c r="C957" t="s">
        <v>1270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8139</v>
      </c>
      <c r="C958" t="s">
        <v>62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1271</v>
      </c>
      <c r="C959" t="s">
        <v>1272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1273</v>
      </c>
      <c r="C960" t="s">
        <v>1274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1275</v>
      </c>
      <c r="C961" t="s">
        <v>1276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1277</v>
      </c>
      <c r="C962" t="s">
        <v>1278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8140</v>
      </c>
      <c r="C963" t="s">
        <v>62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1279</v>
      </c>
      <c r="C964" t="s">
        <v>1280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1281</v>
      </c>
      <c r="C965" t="s">
        <v>1282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1283</v>
      </c>
      <c r="C966" t="s">
        <v>1284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8141</v>
      </c>
      <c r="C967" t="s">
        <v>62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1285</v>
      </c>
      <c r="C968" t="s">
        <v>1286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8142</v>
      </c>
      <c r="C969" t="s">
        <v>62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1287</v>
      </c>
      <c r="C970" t="s">
        <v>1288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8143</v>
      </c>
      <c r="C971" t="s">
        <v>62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1289</v>
      </c>
      <c r="C972" t="s">
        <v>1290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8144</v>
      </c>
      <c r="C973" t="s">
        <v>62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1291</v>
      </c>
      <c r="C974" t="s">
        <v>1292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9652</v>
      </c>
      <c r="C975" t="s">
        <v>9653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9654</v>
      </c>
      <c r="C976" t="s">
        <v>9655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9656</v>
      </c>
      <c r="C977" t="s">
        <v>9657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9658</v>
      </c>
      <c r="C978" t="s">
        <v>9659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9660</v>
      </c>
      <c r="C979" t="s">
        <v>9661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9662</v>
      </c>
      <c r="C980" t="s">
        <v>9663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9664</v>
      </c>
      <c r="C981" t="s">
        <v>9665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9666</v>
      </c>
      <c r="C982" t="s">
        <v>9667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1293</v>
      </c>
      <c r="C983" t="s">
        <v>1294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1295</v>
      </c>
      <c r="C984" t="s">
        <v>1296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1297</v>
      </c>
      <c r="C985" t="s">
        <v>1298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1299</v>
      </c>
      <c r="C986" t="s">
        <v>1300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1301</v>
      </c>
      <c r="C987" t="s">
        <v>1302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1303</v>
      </c>
      <c r="C988" t="s">
        <v>1304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1305</v>
      </c>
      <c r="C989" t="s">
        <v>1306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1307</v>
      </c>
      <c r="C990" t="s">
        <v>1308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1309</v>
      </c>
      <c r="C991" t="s">
        <v>9668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1310</v>
      </c>
      <c r="C992" t="s">
        <v>9669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1311</v>
      </c>
      <c r="C993" t="s">
        <v>1312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1313</v>
      </c>
      <c r="C994" t="s">
        <v>1314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1315</v>
      </c>
      <c r="C995" t="s">
        <v>1316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1317</v>
      </c>
      <c r="C996" t="s">
        <v>1318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1319</v>
      </c>
      <c r="C997" t="s">
        <v>1320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8145</v>
      </c>
      <c r="C998" t="s">
        <v>62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1321</v>
      </c>
      <c r="C999" t="s">
        <v>1322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8146</v>
      </c>
      <c r="C1000" t="s">
        <v>62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1323</v>
      </c>
      <c r="C1001" t="s">
        <v>1324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1325</v>
      </c>
      <c r="C1002" t="s">
        <v>1326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1327</v>
      </c>
      <c r="C1003" t="s">
        <v>1328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1329</v>
      </c>
      <c r="C1004" t="s">
        <v>1330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1331</v>
      </c>
      <c r="C1005" t="s">
        <v>1332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1333</v>
      </c>
      <c r="C1006" t="s">
        <v>1334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1335</v>
      </c>
      <c r="C1007" t="s">
        <v>1336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1337</v>
      </c>
      <c r="C1008" t="s">
        <v>1338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1339</v>
      </c>
      <c r="C1009" t="s">
        <v>1340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8147</v>
      </c>
      <c r="C1010" t="s">
        <v>62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1341</v>
      </c>
      <c r="C1011" t="s">
        <v>1342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1343</v>
      </c>
      <c r="C1012" t="s">
        <v>1344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1345</v>
      </c>
      <c r="C1013" t="s">
        <v>62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1346</v>
      </c>
      <c r="C1014" t="s">
        <v>1347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1348</v>
      </c>
      <c r="C1015" t="s">
        <v>1349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1350</v>
      </c>
      <c r="C1016" t="s">
        <v>1351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1352</v>
      </c>
      <c r="C1017" t="s">
        <v>1353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9670</v>
      </c>
      <c r="C1018" t="s">
        <v>9671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9672</v>
      </c>
      <c r="C1019" t="s">
        <v>9673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1354</v>
      </c>
      <c r="C1020" t="s">
        <v>1355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8148</v>
      </c>
      <c r="C1021" t="s">
        <v>62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1356</v>
      </c>
      <c r="C1022" t="s">
        <v>1357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8149</v>
      </c>
      <c r="C1023" t="s">
        <v>62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1358</v>
      </c>
      <c r="C1024" t="s">
        <v>1359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1360</v>
      </c>
      <c r="C1025" t="s">
        <v>1361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8150</v>
      </c>
      <c r="C1026" t="s">
        <v>62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1362</v>
      </c>
      <c r="C1027" t="s">
        <v>1363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1364</v>
      </c>
      <c r="C1028" t="s">
        <v>1365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1366</v>
      </c>
      <c r="C1029" t="s">
        <v>1367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8151</v>
      </c>
      <c r="C1030" t="s">
        <v>62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1368</v>
      </c>
      <c r="C1031" t="s">
        <v>1369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1370</v>
      </c>
      <c r="C1032" t="s">
        <v>1371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1372</v>
      </c>
      <c r="C1033" t="s">
        <v>1373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1374</v>
      </c>
      <c r="C1034" t="s">
        <v>1375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8152</v>
      </c>
      <c r="C1035" t="s">
        <v>62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8153</v>
      </c>
      <c r="C1036" t="s">
        <v>8154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1376</v>
      </c>
      <c r="C1037" t="s">
        <v>1377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8155</v>
      </c>
      <c r="C1038" t="s">
        <v>62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1378</v>
      </c>
      <c r="C1039" t="s">
        <v>1379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8156</v>
      </c>
      <c r="C1040" t="s">
        <v>62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1380</v>
      </c>
      <c r="C1041" t="s">
        <v>1381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8157</v>
      </c>
      <c r="C1042" t="s">
        <v>62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1382</v>
      </c>
      <c r="C1043" t="s">
        <v>1383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8158</v>
      </c>
      <c r="C1044" t="s">
        <v>62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1384</v>
      </c>
      <c r="C1045" t="s">
        <v>1385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1386</v>
      </c>
      <c r="C1046" t="s">
        <v>1387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8159</v>
      </c>
      <c r="C1047" t="s">
        <v>62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1388</v>
      </c>
      <c r="C1048" t="s">
        <v>1389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1390</v>
      </c>
      <c r="C1049" t="s">
        <v>1391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1392</v>
      </c>
      <c r="C1050" t="s">
        <v>1393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1394</v>
      </c>
      <c r="C1051" t="s">
        <v>1395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1396</v>
      </c>
      <c r="C1052" t="s">
        <v>1397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1398</v>
      </c>
      <c r="C1053" t="s">
        <v>1399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1400</v>
      </c>
      <c r="C1054" t="s">
        <v>1401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1402</v>
      </c>
      <c r="C1055" t="s">
        <v>1403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1404</v>
      </c>
      <c r="C1056" t="s">
        <v>1405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1406</v>
      </c>
      <c r="C1057" t="s">
        <v>1407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1408</v>
      </c>
      <c r="C1058" t="s">
        <v>1409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8160</v>
      </c>
      <c r="C1059" t="s">
        <v>62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1410</v>
      </c>
      <c r="C1060" t="s">
        <v>1411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1412</v>
      </c>
      <c r="C1061" t="s">
        <v>1413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8161</v>
      </c>
      <c r="C1062" t="s">
        <v>62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1414</v>
      </c>
      <c r="C1063" t="s">
        <v>1415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8162</v>
      </c>
      <c r="C1064" t="s">
        <v>62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1416</v>
      </c>
      <c r="C1065" t="s">
        <v>1417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1418</v>
      </c>
      <c r="C1066" t="s">
        <v>1419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8163</v>
      </c>
      <c r="C1067" t="s">
        <v>62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1420</v>
      </c>
      <c r="C1068" t="s">
        <v>1421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1422</v>
      </c>
      <c r="C1069" t="s">
        <v>1423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8164</v>
      </c>
      <c r="C1070" t="s">
        <v>62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1424</v>
      </c>
      <c r="C1071" t="s">
        <v>1425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1426</v>
      </c>
      <c r="C1072" t="s">
        <v>1427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8165</v>
      </c>
      <c r="C1073" t="s">
        <v>62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1428</v>
      </c>
      <c r="C1074" t="s">
        <v>1429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1430</v>
      </c>
      <c r="C1075" t="s">
        <v>1431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8166</v>
      </c>
      <c r="C1076" t="s">
        <v>8167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8168</v>
      </c>
      <c r="C1077" t="s">
        <v>62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1432</v>
      </c>
      <c r="C1078" t="s">
        <v>1433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1434</v>
      </c>
      <c r="C1079" t="s">
        <v>1435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1436</v>
      </c>
      <c r="C1080" t="s">
        <v>1437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1438</v>
      </c>
      <c r="C1081" t="s">
        <v>1439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1440</v>
      </c>
      <c r="C1082" t="s">
        <v>1441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1442</v>
      </c>
      <c r="C1083" t="s">
        <v>162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1443</v>
      </c>
      <c r="C1084" t="s">
        <v>1444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1445</v>
      </c>
      <c r="C1085" t="s">
        <v>1446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1447</v>
      </c>
      <c r="C1086" t="s">
        <v>1448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1449</v>
      </c>
      <c r="C1087" t="s">
        <v>1450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1451</v>
      </c>
      <c r="C1088" t="s">
        <v>1452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1453</v>
      </c>
      <c r="C1089" t="s">
        <v>1454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1455</v>
      </c>
      <c r="C1090" t="s">
        <v>1456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1457</v>
      </c>
      <c r="C1091" t="s">
        <v>1458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1459</v>
      </c>
      <c r="C1092" t="s">
        <v>1460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1461</v>
      </c>
      <c r="C1093" t="s">
        <v>1462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1463</v>
      </c>
      <c r="C1094" t="s">
        <v>1464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1465</v>
      </c>
      <c r="C1095" t="s">
        <v>1466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1467</v>
      </c>
      <c r="C1096" t="s">
        <v>1468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1469</v>
      </c>
      <c r="C1097" t="s">
        <v>1470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1471</v>
      </c>
      <c r="C1098" t="s">
        <v>1472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1473</v>
      </c>
      <c r="C1099" t="s">
        <v>1474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1475</v>
      </c>
      <c r="C1100" t="s">
        <v>1476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1477</v>
      </c>
      <c r="C1101" t="s">
        <v>1478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1479</v>
      </c>
      <c r="C1102" t="s">
        <v>1480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1481</v>
      </c>
      <c r="C1103" t="s">
        <v>1482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1483</v>
      </c>
      <c r="C1104" t="s">
        <v>1484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1485</v>
      </c>
      <c r="C1105" t="s">
        <v>1486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8169</v>
      </c>
      <c r="C1106" t="s">
        <v>62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1487</v>
      </c>
      <c r="C1107" t="s">
        <v>1488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1489</v>
      </c>
      <c r="C1108" t="s">
        <v>1490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1491</v>
      </c>
      <c r="C1109" t="s">
        <v>1492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8170</v>
      </c>
      <c r="C1110" t="s">
        <v>62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1493</v>
      </c>
      <c r="C1111" t="s">
        <v>1494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8171</v>
      </c>
      <c r="C1112" t="s">
        <v>62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1495</v>
      </c>
      <c r="C1113" t="s">
        <v>1496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1497</v>
      </c>
      <c r="C1114" t="s">
        <v>1498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8172</v>
      </c>
      <c r="C1115" t="s">
        <v>62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1499</v>
      </c>
      <c r="C1116" t="s">
        <v>1500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1501</v>
      </c>
      <c r="C1117" t="s">
        <v>1502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1503</v>
      </c>
      <c r="C1118" t="s">
        <v>1504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8173</v>
      </c>
      <c r="C1119" t="s">
        <v>62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1505</v>
      </c>
      <c r="C1120" t="s">
        <v>1506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8174</v>
      </c>
      <c r="C1121" t="s">
        <v>62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1507</v>
      </c>
      <c r="C1122" t="s">
        <v>1508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1509</v>
      </c>
      <c r="C1123" t="s">
        <v>1510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1511</v>
      </c>
      <c r="C1124" t="s">
        <v>1512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8175</v>
      </c>
      <c r="C1125" t="s">
        <v>62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1513</v>
      </c>
      <c r="C1126" t="s">
        <v>1514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1515</v>
      </c>
      <c r="C1127" t="s">
        <v>1516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1517</v>
      </c>
      <c r="C1128" t="s">
        <v>1518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1519</v>
      </c>
      <c r="C1129" t="s">
        <v>1520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1521</v>
      </c>
      <c r="C1130" t="s">
        <v>1522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1524</v>
      </c>
      <c r="C1131" t="s">
        <v>1525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1526</v>
      </c>
      <c r="C1132" t="s">
        <v>1527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8176</v>
      </c>
      <c r="C1133" t="s">
        <v>62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1528</v>
      </c>
      <c r="C1134" t="s">
        <v>1529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1530</v>
      </c>
      <c r="C1135" t="s">
        <v>1531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1532</v>
      </c>
      <c r="C1136" t="s">
        <v>1533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1534</v>
      </c>
      <c r="C1137" t="s">
        <v>1535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1536</v>
      </c>
      <c r="C1138" t="s">
        <v>1537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1538</v>
      </c>
      <c r="C1139" t="s">
        <v>1539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1540</v>
      </c>
      <c r="C1140" t="s">
        <v>1541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1542</v>
      </c>
      <c r="C1141" t="s">
        <v>1543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1544</v>
      </c>
      <c r="C1142" t="s">
        <v>1545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8177</v>
      </c>
      <c r="C1143" t="s">
        <v>62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1546</v>
      </c>
      <c r="C1144" t="s">
        <v>1547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8178</v>
      </c>
      <c r="C1145" t="s">
        <v>62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1548</v>
      </c>
      <c r="C1146" t="s">
        <v>1549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1550</v>
      </c>
      <c r="C1147" t="s">
        <v>1551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1552</v>
      </c>
      <c r="C1148" t="s">
        <v>1553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1554</v>
      </c>
      <c r="C1149" t="s">
        <v>1555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1556</v>
      </c>
      <c r="C1150" t="s">
        <v>1557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1558</v>
      </c>
      <c r="C1151" t="s">
        <v>1559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1560</v>
      </c>
      <c r="C1152" t="s">
        <v>1561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1562</v>
      </c>
      <c r="C1153" t="s">
        <v>1563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1564</v>
      </c>
      <c r="C1154" t="s">
        <v>1565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1566</v>
      </c>
      <c r="C1155" t="s">
        <v>1567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1568</v>
      </c>
      <c r="C1156" t="s">
        <v>1569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8179</v>
      </c>
      <c r="C1157" t="s">
        <v>62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1570</v>
      </c>
      <c r="C1158" t="s">
        <v>1571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1572</v>
      </c>
      <c r="C1159" t="s">
        <v>1573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1574</v>
      </c>
      <c r="C1160" t="s">
        <v>1575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1576</v>
      </c>
      <c r="C1161" t="s">
        <v>1577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1578</v>
      </c>
      <c r="C1162" t="s">
        <v>1579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1580</v>
      </c>
      <c r="C1163" t="s">
        <v>1581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1582</v>
      </c>
      <c r="C1164" t="s">
        <v>1583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8180</v>
      </c>
      <c r="C1165" t="s">
        <v>62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1584</v>
      </c>
      <c r="C1166" t="s">
        <v>1585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8181</v>
      </c>
      <c r="C1167" t="s">
        <v>62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1586</v>
      </c>
      <c r="C1168" t="s">
        <v>1587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1588</v>
      </c>
      <c r="C1169" t="s">
        <v>1589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8182</v>
      </c>
      <c r="C1170" t="s">
        <v>62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1590</v>
      </c>
      <c r="C1171" t="s">
        <v>1591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1592</v>
      </c>
      <c r="C1172" t="s">
        <v>1593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8183</v>
      </c>
      <c r="C1173" t="s">
        <v>62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1594</v>
      </c>
      <c r="C1174" t="s">
        <v>1595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1596</v>
      </c>
      <c r="C1175" t="s">
        <v>1597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8184</v>
      </c>
      <c r="C1176" t="s">
        <v>62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1598</v>
      </c>
      <c r="C1177" t="s">
        <v>1599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8185</v>
      </c>
      <c r="C1178" t="s">
        <v>62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1600</v>
      </c>
      <c r="C1179" t="s">
        <v>1601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8186</v>
      </c>
      <c r="C1180" t="s">
        <v>62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1602</v>
      </c>
      <c r="C1181" t="s">
        <v>1603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1604</v>
      </c>
      <c r="C1182" t="s">
        <v>1605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1606</v>
      </c>
      <c r="C1183" t="s">
        <v>1607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1608</v>
      </c>
      <c r="C1184" t="s">
        <v>1609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1610</v>
      </c>
      <c r="C1185" t="s">
        <v>1611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8187</v>
      </c>
      <c r="C1186" t="s">
        <v>62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1612</v>
      </c>
      <c r="C1187" t="s">
        <v>1613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1614</v>
      </c>
      <c r="C1188" t="s">
        <v>1615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1616</v>
      </c>
      <c r="C1189" t="s">
        <v>1617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8188</v>
      </c>
      <c r="C1190" t="s">
        <v>62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8189</v>
      </c>
      <c r="C1191" t="s">
        <v>8190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1618</v>
      </c>
      <c r="C1192" t="s">
        <v>1619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1620</v>
      </c>
      <c r="C1193" t="s">
        <v>1621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1622</v>
      </c>
      <c r="C1194" t="s">
        <v>1623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1624</v>
      </c>
      <c r="C1195" t="s">
        <v>1625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1626</v>
      </c>
      <c r="C1196" t="s">
        <v>62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1627</v>
      </c>
      <c r="C1197" t="s">
        <v>1628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1629</v>
      </c>
      <c r="C1198" t="s">
        <v>1630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1631</v>
      </c>
      <c r="C1199" t="s">
        <v>1632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1633</v>
      </c>
      <c r="C1200" t="s">
        <v>1634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1635</v>
      </c>
      <c r="C1201" t="s">
        <v>1636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1637</v>
      </c>
      <c r="C1202" t="s">
        <v>1638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1639</v>
      </c>
      <c r="C1203" t="s">
        <v>1640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8191</v>
      </c>
      <c r="C1204" t="s">
        <v>62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1641</v>
      </c>
      <c r="C1205" t="s">
        <v>1642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1643</v>
      </c>
      <c r="C1206" t="s">
        <v>1644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1645</v>
      </c>
      <c r="C1207" t="s">
        <v>1646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8192</v>
      </c>
      <c r="C1208" t="s">
        <v>62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1647</v>
      </c>
      <c r="C1209" t="s">
        <v>1648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8193</v>
      </c>
      <c r="C1210" t="s">
        <v>62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1649</v>
      </c>
      <c r="C1211" t="s">
        <v>1650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1651</v>
      </c>
      <c r="C1212" t="s">
        <v>1652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1653</v>
      </c>
      <c r="C1213" t="s">
        <v>1654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1655</v>
      </c>
      <c r="C1214" t="s">
        <v>1656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1657</v>
      </c>
      <c r="C1215" t="s">
        <v>1658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8194</v>
      </c>
      <c r="C1216" t="s">
        <v>62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1659</v>
      </c>
      <c r="C1217" t="s">
        <v>1660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8195</v>
      </c>
      <c r="C1218" t="s">
        <v>62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1661</v>
      </c>
      <c r="C1219" t="s">
        <v>1662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8196</v>
      </c>
      <c r="C1220" t="s">
        <v>62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1663</v>
      </c>
      <c r="C1221" t="s">
        <v>1664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8197</v>
      </c>
      <c r="C1222" t="s">
        <v>62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1665</v>
      </c>
      <c r="C1223" t="s">
        <v>1666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8198</v>
      </c>
      <c r="C1224" t="s">
        <v>62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1667</v>
      </c>
      <c r="C1225" t="s">
        <v>1668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8199</v>
      </c>
      <c r="C1226" t="s">
        <v>62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1669</v>
      </c>
      <c r="C1227" t="s">
        <v>1670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8200</v>
      </c>
      <c r="C1228" t="s">
        <v>62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1671</v>
      </c>
      <c r="C1229" t="s">
        <v>1672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8201</v>
      </c>
      <c r="C1230" t="s">
        <v>62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1673</v>
      </c>
      <c r="C1231" t="s">
        <v>1674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8202</v>
      </c>
      <c r="C1232" t="s">
        <v>62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1675</v>
      </c>
      <c r="C1233" t="s">
        <v>1676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8203</v>
      </c>
      <c r="C1234" t="s">
        <v>62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1677</v>
      </c>
      <c r="C1235" t="s">
        <v>1678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8204</v>
      </c>
      <c r="C1236" t="s">
        <v>62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1679</v>
      </c>
      <c r="C1237" t="s">
        <v>1680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8205</v>
      </c>
      <c r="C1238" t="s">
        <v>62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1681</v>
      </c>
      <c r="C1239" t="s">
        <v>1682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8206</v>
      </c>
      <c r="C1240" t="s">
        <v>62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1683</v>
      </c>
      <c r="C1241" t="s">
        <v>1684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8207</v>
      </c>
      <c r="C1242" t="s">
        <v>62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1685</v>
      </c>
      <c r="C1243" t="s">
        <v>1686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8208</v>
      </c>
      <c r="C1244" t="s">
        <v>62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1687</v>
      </c>
      <c r="C1245" t="s">
        <v>1688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8209</v>
      </c>
      <c r="C1246" t="s">
        <v>62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1689</v>
      </c>
      <c r="C1247" t="s">
        <v>1690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8210</v>
      </c>
      <c r="C1248" t="s">
        <v>62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1691</v>
      </c>
      <c r="C1249" t="s">
        <v>1692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8211</v>
      </c>
      <c r="C1250" t="s">
        <v>62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1693</v>
      </c>
      <c r="C1251" t="s">
        <v>1694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8212</v>
      </c>
      <c r="C1252" t="s">
        <v>62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1695</v>
      </c>
      <c r="C1253" t="s">
        <v>1696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8213</v>
      </c>
      <c r="C1254" t="s">
        <v>62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1697</v>
      </c>
      <c r="C1255" t="s">
        <v>1698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8214</v>
      </c>
      <c r="C1256" t="s">
        <v>62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1699</v>
      </c>
      <c r="C1257" t="s">
        <v>1700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8215</v>
      </c>
      <c r="C1258" t="s">
        <v>62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1701</v>
      </c>
      <c r="C1259" t="s">
        <v>1702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1703</v>
      </c>
      <c r="C1260" t="s">
        <v>1704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8216</v>
      </c>
      <c r="C1261" t="s">
        <v>62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1705</v>
      </c>
      <c r="C1262" t="s">
        <v>1706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8217</v>
      </c>
      <c r="C1263" t="s">
        <v>62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1707</v>
      </c>
      <c r="C1264" t="s">
        <v>1708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8218</v>
      </c>
      <c r="C1265" t="s">
        <v>62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1709</v>
      </c>
      <c r="C1266" t="s">
        <v>1710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8219</v>
      </c>
      <c r="C1267" t="s">
        <v>62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1711</v>
      </c>
      <c r="C1268" t="s">
        <v>1712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8220</v>
      </c>
      <c r="C1269" t="s">
        <v>62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1713</v>
      </c>
      <c r="C1270" t="s">
        <v>1714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1715</v>
      </c>
      <c r="C1271" t="s">
        <v>1716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1717</v>
      </c>
      <c r="C1272" t="s">
        <v>1718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1719</v>
      </c>
      <c r="C1273" t="s">
        <v>1720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8221</v>
      </c>
      <c r="C1274" t="s">
        <v>62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1721</v>
      </c>
      <c r="C1275" t="s">
        <v>1722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8222</v>
      </c>
      <c r="C1276" t="s">
        <v>62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1723</v>
      </c>
      <c r="C1277" t="s">
        <v>1724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1725</v>
      </c>
      <c r="C1278" t="s">
        <v>1726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1727</v>
      </c>
      <c r="C1279" t="s">
        <v>1728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1729</v>
      </c>
      <c r="C1280" t="s">
        <v>1730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1731</v>
      </c>
      <c r="C1281" t="s">
        <v>1732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1733</v>
      </c>
      <c r="C1282" t="s">
        <v>1734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1735</v>
      </c>
      <c r="C1283" t="s">
        <v>1736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1737</v>
      </c>
      <c r="C1284" t="s">
        <v>1738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1739</v>
      </c>
      <c r="C1285" t="s">
        <v>1740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1741</v>
      </c>
      <c r="C1286" t="s">
        <v>1742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9674</v>
      </c>
      <c r="C1287" t="s">
        <v>9675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1743</v>
      </c>
      <c r="C1288" t="s">
        <v>1744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1745</v>
      </c>
      <c r="C1289" t="s">
        <v>1746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1747</v>
      </c>
      <c r="C1290" t="s">
        <v>1748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1749</v>
      </c>
      <c r="C1291" t="s">
        <v>1750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1751</v>
      </c>
      <c r="C1292" t="s">
        <v>1752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9676</v>
      </c>
      <c r="C1293" t="s">
        <v>9677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1753</v>
      </c>
      <c r="C1294" t="s">
        <v>1754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1755</v>
      </c>
      <c r="C1295" t="s">
        <v>1756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1757</v>
      </c>
      <c r="C1296" t="s">
        <v>62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1758</v>
      </c>
      <c r="C1297" t="s">
        <v>1759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1760</v>
      </c>
      <c r="C1298" t="s">
        <v>62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1761</v>
      </c>
      <c r="C1299" t="s">
        <v>1762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1763</v>
      </c>
      <c r="C1300" t="s">
        <v>62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1764</v>
      </c>
      <c r="C1301" t="s">
        <v>1765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1766</v>
      </c>
      <c r="C1302" t="s">
        <v>62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1767</v>
      </c>
      <c r="C1303" t="s">
        <v>1768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1769</v>
      </c>
      <c r="C1304" t="s">
        <v>62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1770</v>
      </c>
      <c r="C1305" t="s">
        <v>1771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8223</v>
      </c>
      <c r="C1306" t="s">
        <v>62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1772</v>
      </c>
      <c r="C1307" t="s">
        <v>1773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8224</v>
      </c>
      <c r="C1308" t="s">
        <v>62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1774</v>
      </c>
      <c r="C1309" t="s">
        <v>1775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1776</v>
      </c>
      <c r="C1310" t="s">
        <v>62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1777</v>
      </c>
      <c r="C1311" t="s">
        <v>9678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1778</v>
      </c>
      <c r="C1312" t="s">
        <v>1779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1780</v>
      </c>
      <c r="C1313" t="s">
        <v>1781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1782</v>
      </c>
      <c r="C1314" t="s">
        <v>1783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1784</v>
      </c>
      <c r="C1315" t="s">
        <v>1785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1786</v>
      </c>
      <c r="C1316" t="s">
        <v>1787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1788</v>
      </c>
      <c r="C1317" t="s">
        <v>1789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1790</v>
      </c>
      <c r="C1318" t="s">
        <v>1791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1792</v>
      </c>
      <c r="C1319" t="s">
        <v>1793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1794</v>
      </c>
      <c r="C1320" t="s">
        <v>1795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1796</v>
      </c>
      <c r="C1321" t="s">
        <v>1797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1798</v>
      </c>
      <c r="C1322" t="s">
        <v>1799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1800</v>
      </c>
      <c r="C1323" t="s">
        <v>1801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1802</v>
      </c>
      <c r="C1324" t="s">
        <v>1803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1804</v>
      </c>
      <c r="C1325" t="s">
        <v>1805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1806</v>
      </c>
      <c r="C1326" t="s">
        <v>1807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1808</v>
      </c>
      <c r="C1327" t="s">
        <v>1809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1810</v>
      </c>
      <c r="C1328" t="s">
        <v>1811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8225</v>
      </c>
      <c r="C1329" t="s">
        <v>62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1812</v>
      </c>
      <c r="C1330" t="s">
        <v>1813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1814</v>
      </c>
      <c r="C1331" t="s">
        <v>1815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1816</v>
      </c>
      <c r="C1332" t="s">
        <v>1817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8226</v>
      </c>
      <c r="C1333" t="s">
        <v>62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1818</v>
      </c>
      <c r="C1334" t="s">
        <v>1819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8227</v>
      </c>
      <c r="C1335" t="s">
        <v>62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1820</v>
      </c>
      <c r="C1336" t="s">
        <v>1821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1822</v>
      </c>
      <c r="C1337" t="s">
        <v>1823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1824</v>
      </c>
      <c r="C1338" t="s">
        <v>1825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8228</v>
      </c>
      <c r="C1339" t="s">
        <v>62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1826</v>
      </c>
      <c r="C1340" t="s">
        <v>1827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8229</v>
      </c>
      <c r="C1341" t="s">
        <v>62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1828</v>
      </c>
      <c r="C1342" t="s">
        <v>1829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8230</v>
      </c>
      <c r="C1343" t="s">
        <v>62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1830</v>
      </c>
      <c r="C1344" t="s">
        <v>1829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1831</v>
      </c>
      <c r="C1345" t="s">
        <v>1829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8231</v>
      </c>
      <c r="C1346" t="s">
        <v>62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1832</v>
      </c>
      <c r="C1347" t="s">
        <v>1829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8232</v>
      </c>
      <c r="C1348" t="s">
        <v>62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1833</v>
      </c>
      <c r="C1349" t="s">
        <v>1834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8233</v>
      </c>
      <c r="C1350" t="s">
        <v>62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1835</v>
      </c>
      <c r="C1351" t="s">
        <v>1836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8234</v>
      </c>
      <c r="C1352" t="s">
        <v>62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1837</v>
      </c>
      <c r="C1353" t="s">
        <v>1838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8235</v>
      </c>
      <c r="C1354" t="s">
        <v>62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1839</v>
      </c>
      <c r="C1355" t="s">
        <v>1840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8236</v>
      </c>
      <c r="C1356" t="s">
        <v>62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1841</v>
      </c>
      <c r="C1357" t="s">
        <v>1842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8237</v>
      </c>
      <c r="C1358" t="s">
        <v>62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1843</v>
      </c>
      <c r="C1359" t="s">
        <v>1844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8238</v>
      </c>
      <c r="C1360" t="s">
        <v>62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1845</v>
      </c>
      <c r="C1361" t="s">
        <v>1846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1847</v>
      </c>
      <c r="C1362" t="s">
        <v>1848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1849</v>
      </c>
      <c r="C1363" t="s">
        <v>1850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1851</v>
      </c>
      <c r="C1364" t="s">
        <v>1852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8239</v>
      </c>
      <c r="C1365" t="s">
        <v>62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1853</v>
      </c>
      <c r="C1366" t="s">
        <v>1854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8240</v>
      </c>
      <c r="C1367" t="s">
        <v>62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1855</v>
      </c>
      <c r="C1368" t="s">
        <v>1856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1857</v>
      </c>
      <c r="C1369" t="s">
        <v>62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1858</v>
      </c>
      <c r="C1370" t="s">
        <v>1859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8241</v>
      </c>
      <c r="C1371" t="s">
        <v>62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1860</v>
      </c>
      <c r="C1372" t="s">
        <v>1861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8242</v>
      </c>
      <c r="C1373" t="s">
        <v>62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1862</v>
      </c>
      <c r="C1374" t="s">
        <v>1863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8243</v>
      </c>
      <c r="C1375" t="s">
        <v>62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1864</v>
      </c>
      <c r="C1376" t="s">
        <v>1865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8244</v>
      </c>
      <c r="C1377" t="s">
        <v>62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1866</v>
      </c>
      <c r="C1378" t="s">
        <v>1867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8245</v>
      </c>
      <c r="C1379" t="s">
        <v>62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1868</v>
      </c>
      <c r="C1380" t="s">
        <v>1869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8246</v>
      </c>
      <c r="C1381" t="s">
        <v>62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1870</v>
      </c>
      <c r="C1382" t="s">
        <v>1871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8247</v>
      </c>
      <c r="C1383" t="s">
        <v>62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1872</v>
      </c>
      <c r="C1384" t="s">
        <v>1873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1874</v>
      </c>
      <c r="C1385" t="s">
        <v>1875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1876</v>
      </c>
      <c r="C1386" t="s">
        <v>1877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1878</v>
      </c>
      <c r="C1387" t="s">
        <v>1879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1880</v>
      </c>
      <c r="C1388" t="s">
        <v>1881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1882</v>
      </c>
      <c r="C1389" t="s">
        <v>1883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1884</v>
      </c>
      <c r="C1390" t="s">
        <v>1885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1886</v>
      </c>
      <c r="C1391" t="s">
        <v>1887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8248</v>
      </c>
      <c r="C1392" t="s">
        <v>62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1888</v>
      </c>
      <c r="C1393" t="s">
        <v>1889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1890</v>
      </c>
      <c r="C1394" t="s">
        <v>1891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1892</v>
      </c>
      <c r="C1395" t="s">
        <v>1893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1894</v>
      </c>
      <c r="C1396" t="s">
        <v>1895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1896</v>
      </c>
      <c r="C1397" t="s">
        <v>1897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1898</v>
      </c>
      <c r="C1398" t="s">
        <v>1899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1900</v>
      </c>
      <c r="C1399" t="s">
        <v>1901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1902</v>
      </c>
      <c r="C1400" t="s">
        <v>1903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1904</v>
      </c>
      <c r="C1401" t="s">
        <v>1905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1906</v>
      </c>
      <c r="C1402" t="s">
        <v>1907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1908</v>
      </c>
      <c r="C1403" t="s">
        <v>1909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1910</v>
      </c>
      <c r="C1404" t="s">
        <v>1911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1912</v>
      </c>
      <c r="C1405" t="s">
        <v>1913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1914</v>
      </c>
      <c r="C1406" t="s">
        <v>1915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1916</v>
      </c>
      <c r="C1407" t="s">
        <v>1917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1918</v>
      </c>
      <c r="C1408" t="s">
        <v>1919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1920</v>
      </c>
      <c r="C1409" t="s">
        <v>1921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1922</v>
      </c>
      <c r="C1410" t="s">
        <v>1923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1924</v>
      </c>
      <c r="C1411" t="s">
        <v>1925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1926</v>
      </c>
      <c r="C1412" t="s">
        <v>1927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1928</v>
      </c>
      <c r="C1413" t="s">
        <v>1929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1930</v>
      </c>
      <c r="C1414" t="s">
        <v>1931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1932</v>
      </c>
      <c r="C1415" t="s">
        <v>1933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1934</v>
      </c>
      <c r="C1416" t="s">
        <v>1935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1936</v>
      </c>
      <c r="C1417" t="s">
        <v>1937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1938</v>
      </c>
      <c r="C1418" t="s">
        <v>1939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1940</v>
      </c>
      <c r="C1419" t="s">
        <v>1941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1942</v>
      </c>
      <c r="C1420" t="s">
        <v>1943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1944</v>
      </c>
      <c r="C1421" t="s">
        <v>1945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1946</v>
      </c>
      <c r="C1422" t="s">
        <v>1947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1948</v>
      </c>
      <c r="C1423" t="s">
        <v>162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1949</v>
      </c>
      <c r="C1424" t="s">
        <v>162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1950</v>
      </c>
      <c r="C1425" t="s">
        <v>162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1951</v>
      </c>
      <c r="C1426" t="s">
        <v>1952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1953</v>
      </c>
      <c r="C1427" t="s">
        <v>1954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1955</v>
      </c>
      <c r="C1428" t="s">
        <v>1956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8249</v>
      </c>
      <c r="C1429" t="s">
        <v>62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1957</v>
      </c>
      <c r="C1430" t="s">
        <v>1958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1959</v>
      </c>
      <c r="C1431" t="s">
        <v>1960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1961</v>
      </c>
      <c r="C1432" t="s">
        <v>1962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8250</v>
      </c>
      <c r="C1433" t="s">
        <v>62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1963</v>
      </c>
      <c r="C1434" t="s">
        <v>1956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8251</v>
      </c>
      <c r="C1435" t="s">
        <v>62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1964</v>
      </c>
      <c r="C1436" t="s">
        <v>1956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1965</v>
      </c>
      <c r="C1437" t="s">
        <v>1966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1967</v>
      </c>
      <c r="C1438" t="s">
        <v>1968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1969</v>
      </c>
      <c r="C1439" t="s">
        <v>1970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1971</v>
      </c>
      <c r="C1440" t="s">
        <v>1972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1973</v>
      </c>
      <c r="C1441" t="s">
        <v>1974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8252</v>
      </c>
      <c r="C1442" t="s">
        <v>62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1975</v>
      </c>
      <c r="C1443" t="s">
        <v>1976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1977</v>
      </c>
      <c r="C1444" t="s">
        <v>1978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1979</v>
      </c>
      <c r="C1445" t="s">
        <v>1980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8253</v>
      </c>
      <c r="C1446" t="s">
        <v>62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1981</v>
      </c>
      <c r="C1447" t="s">
        <v>1982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8254</v>
      </c>
      <c r="C1448" t="s">
        <v>62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1983</v>
      </c>
      <c r="C1449" t="s">
        <v>1984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8255</v>
      </c>
      <c r="C1450" t="s">
        <v>62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1985</v>
      </c>
      <c r="C1451" t="s">
        <v>1986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8256</v>
      </c>
      <c r="C1452" t="s">
        <v>62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1987</v>
      </c>
      <c r="C1453" t="s">
        <v>1988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1989</v>
      </c>
      <c r="C1454" t="s">
        <v>1990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1991</v>
      </c>
      <c r="C1455" t="s">
        <v>1992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8257</v>
      </c>
      <c r="C1456" t="s">
        <v>8258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1993</v>
      </c>
      <c r="C1457" t="s">
        <v>1994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8259</v>
      </c>
      <c r="C1458" t="s">
        <v>62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1995</v>
      </c>
      <c r="C1459" t="s">
        <v>1996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8260</v>
      </c>
      <c r="C1460" t="s">
        <v>62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1997</v>
      </c>
      <c r="C1461" t="s">
        <v>1998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9679</v>
      </c>
      <c r="C1462" t="s">
        <v>9680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9681</v>
      </c>
      <c r="C1463" t="s">
        <v>9682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9683</v>
      </c>
      <c r="C1464" t="s">
        <v>9684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1999</v>
      </c>
      <c r="C1465" t="s">
        <v>2000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8261</v>
      </c>
      <c r="C1466" t="s">
        <v>62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2001</v>
      </c>
      <c r="C1467" t="s">
        <v>2002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8262</v>
      </c>
      <c r="C1468" t="s">
        <v>62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2003</v>
      </c>
      <c r="C1469" t="s">
        <v>2004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2005</v>
      </c>
      <c r="C1470" t="s">
        <v>2006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2007</v>
      </c>
      <c r="C1471" t="s">
        <v>2008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2009</v>
      </c>
      <c r="C1472" t="s">
        <v>162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2010</v>
      </c>
      <c r="C1473" t="s">
        <v>162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2011</v>
      </c>
      <c r="C1474" t="s">
        <v>162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2012</v>
      </c>
      <c r="C1475" t="s">
        <v>2013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2014</v>
      </c>
      <c r="C1476" t="s">
        <v>2015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2016</v>
      </c>
      <c r="C1477" t="s">
        <v>2017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2018</v>
      </c>
      <c r="C1478" t="s">
        <v>2019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8263</v>
      </c>
      <c r="C1479" t="s">
        <v>62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2020</v>
      </c>
      <c r="C1480" t="s">
        <v>2021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2022</v>
      </c>
      <c r="C1481" t="s">
        <v>2023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8264</v>
      </c>
      <c r="C1482" t="s">
        <v>62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2024</v>
      </c>
      <c r="C1483" t="s">
        <v>2025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2026</v>
      </c>
      <c r="C1484" t="s">
        <v>2027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2028</v>
      </c>
      <c r="C1485" t="s">
        <v>2029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2030</v>
      </c>
      <c r="C1486" t="s">
        <v>2031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2032</v>
      </c>
      <c r="C1487" t="s">
        <v>2033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2034</v>
      </c>
      <c r="C1488" t="s">
        <v>2035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2036</v>
      </c>
      <c r="C1489" t="s">
        <v>2037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8265</v>
      </c>
      <c r="C1490" t="s">
        <v>62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2038</v>
      </c>
      <c r="C1491" t="s">
        <v>2039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2040</v>
      </c>
      <c r="C1492" t="s">
        <v>2041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2042</v>
      </c>
      <c r="C1493" t="s">
        <v>2043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2044</v>
      </c>
      <c r="C1494" t="s">
        <v>2045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2046</v>
      </c>
      <c r="C1495" t="s">
        <v>2047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2048</v>
      </c>
      <c r="C1496" t="s">
        <v>2049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2050</v>
      </c>
      <c r="C1497" t="s">
        <v>2051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2052</v>
      </c>
      <c r="C1498" t="s">
        <v>2051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2053</v>
      </c>
      <c r="C1499" t="s">
        <v>2051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2054</v>
      </c>
      <c r="C1500" t="s">
        <v>2055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2056</v>
      </c>
      <c r="C1501" t="s">
        <v>2057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2058</v>
      </c>
      <c r="C1502" t="s">
        <v>2059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2060</v>
      </c>
      <c r="C1503" t="s">
        <v>2061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2062</v>
      </c>
      <c r="C1504" t="s">
        <v>2063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2064</v>
      </c>
      <c r="C1505" t="s">
        <v>2065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2066</v>
      </c>
      <c r="C1506" t="s">
        <v>2067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2068</v>
      </c>
      <c r="C1507" t="s">
        <v>2069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2070</v>
      </c>
      <c r="C1508" t="s">
        <v>2071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2072</v>
      </c>
      <c r="C1509" t="s">
        <v>2073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2074</v>
      </c>
      <c r="C1510" t="s">
        <v>2075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2076</v>
      </c>
      <c r="C1511" t="s">
        <v>2077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2078</v>
      </c>
      <c r="C1512" t="s">
        <v>2079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2080</v>
      </c>
      <c r="C1513" t="s">
        <v>2081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2082</v>
      </c>
      <c r="C1514" t="s">
        <v>2083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8266</v>
      </c>
      <c r="C1515" t="s">
        <v>62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2084</v>
      </c>
      <c r="C1516" t="s">
        <v>2085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8267</v>
      </c>
      <c r="C1517" t="s">
        <v>62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2086</v>
      </c>
      <c r="C1518" t="s">
        <v>2087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8268</v>
      </c>
      <c r="C1519" t="s">
        <v>62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2088</v>
      </c>
      <c r="C1520" t="s">
        <v>2089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8269</v>
      </c>
      <c r="C1521" t="s">
        <v>62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2090</v>
      </c>
      <c r="C1522" t="s">
        <v>2091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8270</v>
      </c>
      <c r="C1523" t="s">
        <v>62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2092</v>
      </c>
      <c r="C1524" t="s">
        <v>2093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8271</v>
      </c>
      <c r="C1525" t="s">
        <v>62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2094</v>
      </c>
      <c r="C1526" t="s">
        <v>2095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8272</v>
      </c>
      <c r="C1527" t="s">
        <v>62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2096</v>
      </c>
      <c r="C1528" t="s">
        <v>2097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8273</v>
      </c>
      <c r="C1529" t="s">
        <v>62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2098</v>
      </c>
      <c r="C1530" t="s">
        <v>2099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2100</v>
      </c>
      <c r="C1531" t="s">
        <v>2101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8274</v>
      </c>
      <c r="C1532" t="s">
        <v>62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2102</v>
      </c>
      <c r="C1533" t="s">
        <v>2103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8275</v>
      </c>
      <c r="C1534" t="s">
        <v>62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2104</v>
      </c>
      <c r="C1535" t="s">
        <v>2105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8276</v>
      </c>
      <c r="C1536" t="s">
        <v>62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2106</v>
      </c>
      <c r="C1537" t="s">
        <v>2107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8277</v>
      </c>
      <c r="C1538" t="s">
        <v>62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2108</v>
      </c>
      <c r="C1539" t="s">
        <v>2109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8278</v>
      </c>
      <c r="C1540" t="s">
        <v>62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2110</v>
      </c>
      <c r="C1541" t="s">
        <v>2111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8279</v>
      </c>
      <c r="C1542" t="s">
        <v>62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2112</v>
      </c>
      <c r="C1543" t="s">
        <v>2113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8280</v>
      </c>
      <c r="C1544" t="s">
        <v>62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2114</v>
      </c>
      <c r="C1545" t="s">
        <v>2115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8281</v>
      </c>
      <c r="C1546" t="s">
        <v>62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2116</v>
      </c>
      <c r="C1547" t="s">
        <v>2117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2118</v>
      </c>
      <c r="C1548" t="s">
        <v>2119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8282</v>
      </c>
      <c r="C1549" t="s">
        <v>62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2120</v>
      </c>
      <c r="C1550" t="s">
        <v>2121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8283</v>
      </c>
      <c r="C1551" t="s">
        <v>62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2122</v>
      </c>
      <c r="C1552" t="s">
        <v>2123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8284</v>
      </c>
      <c r="C1553" t="s">
        <v>62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2124</v>
      </c>
      <c r="C1554" t="s">
        <v>2125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8285</v>
      </c>
      <c r="C1555" t="s">
        <v>62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2126</v>
      </c>
      <c r="C1556" t="s">
        <v>2127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8286</v>
      </c>
      <c r="C1557" t="s">
        <v>62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2128</v>
      </c>
      <c r="C1558" t="s">
        <v>2129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8287</v>
      </c>
      <c r="C1559" t="s">
        <v>62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2130</v>
      </c>
      <c r="C1560" t="s">
        <v>2131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8288</v>
      </c>
      <c r="C1561" t="s">
        <v>62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2132</v>
      </c>
      <c r="C1562" t="s">
        <v>2133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8289</v>
      </c>
      <c r="C1563" t="s">
        <v>62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2134</v>
      </c>
      <c r="C1564" t="s">
        <v>2135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2136</v>
      </c>
      <c r="C1565" t="s">
        <v>2137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2138</v>
      </c>
      <c r="C1566" t="s">
        <v>2139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8290</v>
      </c>
      <c r="C1567" t="s">
        <v>62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2140</v>
      </c>
      <c r="C1568" t="s">
        <v>2141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2142</v>
      </c>
      <c r="C1569" t="s">
        <v>62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2143</v>
      </c>
      <c r="C1570" t="s">
        <v>2144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8291</v>
      </c>
      <c r="C1571" t="s">
        <v>62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2145</v>
      </c>
      <c r="C1572" t="s">
        <v>2146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8292</v>
      </c>
      <c r="C1573" t="s">
        <v>62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2147</v>
      </c>
      <c r="C1574" t="s">
        <v>2148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8293</v>
      </c>
      <c r="C1575" t="s">
        <v>62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2149</v>
      </c>
      <c r="C1576" t="s">
        <v>2150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2151</v>
      </c>
      <c r="C1577" t="s">
        <v>2152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2153</v>
      </c>
      <c r="C1578" t="s">
        <v>2154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2155</v>
      </c>
      <c r="C1579" t="s">
        <v>2156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2157</v>
      </c>
      <c r="C1580" t="s">
        <v>2158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2159</v>
      </c>
      <c r="C1581" t="s">
        <v>2160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8294</v>
      </c>
      <c r="C1582" t="s">
        <v>62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2161</v>
      </c>
      <c r="C1583" t="s">
        <v>2162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8295</v>
      </c>
      <c r="C1584" t="s">
        <v>62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2163</v>
      </c>
      <c r="C1585" t="s">
        <v>2164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2165</v>
      </c>
      <c r="C1586" t="s">
        <v>2166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2167</v>
      </c>
      <c r="C1587" t="s">
        <v>2168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2169</v>
      </c>
      <c r="C1588" t="s">
        <v>2170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8296</v>
      </c>
      <c r="C1589" t="s">
        <v>62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2171</v>
      </c>
      <c r="C1590" t="s">
        <v>2172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2173</v>
      </c>
      <c r="C1591" t="s">
        <v>2174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2175</v>
      </c>
      <c r="C1592" t="s">
        <v>2176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2177</v>
      </c>
      <c r="C1593" t="s">
        <v>2178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2179</v>
      </c>
      <c r="C1594" t="s">
        <v>2180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2181</v>
      </c>
      <c r="C1595" t="s">
        <v>2182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8297</v>
      </c>
      <c r="C1596" t="s">
        <v>62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2183</v>
      </c>
      <c r="C1597" t="s">
        <v>2184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2185</v>
      </c>
      <c r="C1598" t="s">
        <v>2186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2187</v>
      </c>
      <c r="C1599" t="s">
        <v>2188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8298</v>
      </c>
      <c r="C1600" t="s">
        <v>62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2189</v>
      </c>
      <c r="C1601" t="s">
        <v>2190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8299</v>
      </c>
      <c r="C1602" t="s">
        <v>62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2191</v>
      </c>
      <c r="C1603" t="s">
        <v>2192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2193</v>
      </c>
      <c r="C1604" t="s">
        <v>2194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2195</v>
      </c>
      <c r="C1605" t="s">
        <v>2196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2197</v>
      </c>
      <c r="C1606" t="s">
        <v>2198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8300</v>
      </c>
      <c r="C1607" t="s">
        <v>62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2199</v>
      </c>
      <c r="C1608" t="s">
        <v>2200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8301</v>
      </c>
      <c r="C1609" t="s">
        <v>62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2201</v>
      </c>
      <c r="C1610" t="s">
        <v>2202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8302</v>
      </c>
      <c r="C1611" t="s">
        <v>62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2203</v>
      </c>
      <c r="C1612" t="s">
        <v>2204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2205</v>
      </c>
      <c r="C1613" t="s">
        <v>2206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2207</v>
      </c>
      <c r="C1614" t="s">
        <v>2208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2209</v>
      </c>
      <c r="C1615" t="s">
        <v>2210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2211</v>
      </c>
      <c r="C1616" t="s">
        <v>2212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2213</v>
      </c>
      <c r="C1617" t="s">
        <v>2214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2215</v>
      </c>
      <c r="C1618" t="s">
        <v>2216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2217</v>
      </c>
      <c r="C1619" t="s">
        <v>2218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2219</v>
      </c>
      <c r="C1620" t="s">
        <v>2220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9685</v>
      </c>
      <c r="C1621" t="s">
        <v>9686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9687</v>
      </c>
      <c r="C1622" t="s">
        <v>9688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9689</v>
      </c>
      <c r="C1623" t="s">
        <v>9690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2221</v>
      </c>
      <c r="C1624" t="s">
        <v>2222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8303</v>
      </c>
      <c r="C1625" t="s">
        <v>62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2223</v>
      </c>
      <c r="C1626" t="s">
        <v>1771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2224</v>
      </c>
      <c r="C1627" t="s">
        <v>2225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8304</v>
      </c>
      <c r="C1628" t="s">
        <v>62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2226</v>
      </c>
      <c r="C1629" t="s">
        <v>2227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2228</v>
      </c>
      <c r="C1630" t="s">
        <v>2229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8305</v>
      </c>
      <c r="C1631" t="s">
        <v>62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2230</v>
      </c>
      <c r="C1632" t="s">
        <v>2231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2232</v>
      </c>
      <c r="C1633" t="s">
        <v>2233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2234</v>
      </c>
      <c r="C1634" t="s">
        <v>2235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2236</v>
      </c>
      <c r="C1635" t="s">
        <v>2237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2238</v>
      </c>
      <c r="C1636" t="s">
        <v>2239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2240</v>
      </c>
      <c r="C1637" t="s">
        <v>2241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2242</v>
      </c>
      <c r="C1638" t="s">
        <v>2243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2244</v>
      </c>
      <c r="C1639" t="s">
        <v>2245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2246</v>
      </c>
      <c r="C1640" t="s">
        <v>2247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8306</v>
      </c>
      <c r="C1641" t="s">
        <v>62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2248</v>
      </c>
      <c r="C1642" t="s">
        <v>2249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2250</v>
      </c>
      <c r="C1643" t="s">
        <v>2251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2252</v>
      </c>
      <c r="C1644" t="s">
        <v>2253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2254</v>
      </c>
      <c r="C1645" t="s">
        <v>2255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2256</v>
      </c>
      <c r="C1646" t="s">
        <v>2257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2258</v>
      </c>
      <c r="C1647" t="s">
        <v>2259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2260</v>
      </c>
      <c r="C1648" t="s">
        <v>2261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2262</v>
      </c>
      <c r="C1649" t="s">
        <v>2263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2264</v>
      </c>
      <c r="C1650" t="s">
        <v>2265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8307</v>
      </c>
      <c r="C1651" t="s">
        <v>62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2266</v>
      </c>
      <c r="C1652" t="s">
        <v>2267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8308</v>
      </c>
      <c r="C1653" t="s">
        <v>62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2268</v>
      </c>
      <c r="C1654" t="s">
        <v>2269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2270</v>
      </c>
      <c r="C1655" t="s">
        <v>2271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2272</v>
      </c>
      <c r="C1656" t="s">
        <v>2273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2274</v>
      </c>
      <c r="C1657" t="s">
        <v>2275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2276</v>
      </c>
      <c r="C1658" t="s">
        <v>2277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8309</v>
      </c>
      <c r="C1659" t="s">
        <v>62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2278</v>
      </c>
      <c r="C1660" t="s">
        <v>2279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2280</v>
      </c>
      <c r="C1661" t="s">
        <v>2281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2282</v>
      </c>
      <c r="C1662" t="s">
        <v>2283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2284</v>
      </c>
      <c r="C1663" t="s">
        <v>2285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2286</v>
      </c>
      <c r="C1664" t="s">
        <v>2287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8310</v>
      </c>
      <c r="C1665" t="s">
        <v>62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2288</v>
      </c>
      <c r="C1666" t="s">
        <v>2289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2290</v>
      </c>
      <c r="C1667" t="s">
        <v>2291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2292</v>
      </c>
      <c r="C1668" t="s">
        <v>2293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2294</v>
      </c>
      <c r="C1669" t="s">
        <v>2295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2296</v>
      </c>
      <c r="C1670" t="s">
        <v>2297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8311</v>
      </c>
      <c r="C1671" t="s">
        <v>62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2298</v>
      </c>
      <c r="C1672" t="s">
        <v>2299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2300</v>
      </c>
      <c r="C1673" t="s">
        <v>2301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8312</v>
      </c>
      <c r="C1674" t="s">
        <v>62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2302</v>
      </c>
      <c r="C1675" t="s">
        <v>2303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8313</v>
      </c>
      <c r="C1676" t="s">
        <v>62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2304</v>
      </c>
      <c r="C1677" t="s">
        <v>2305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8314</v>
      </c>
      <c r="C1678" t="s">
        <v>62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2306</v>
      </c>
      <c r="C1679" t="s">
        <v>2307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8315</v>
      </c>
      <c r="C1680" t="s">
        <v>62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2308</v>
      </c>
      <c r="C1681" t="s">
        <v>2309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8316</v>
      </c>
      <c r="C1682" t="s">
        <v>62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2310</v>
      </c>
      <c r="C1683" t="s">
        <v>2311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8317</v>
      </c>
      <c r="C1684" t="s">
        <v>62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2312</v>
      </c>
      <c r="C1685" t="s">
        <v>2313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2314</v>
      </c>
      <c r="C1686" t="s">
        <v>2315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8318</v>
      </c>
      <c r="C1687" t="s">
        <v>62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2316</v>
      </c>
      <c r="C1688" t="s">
        <v>2317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2318</v>
      </c>
      <c r="C1689" t="s">
        <v>2319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8319</v>
      </c>
      <c r="C1690" t="s">
        <v>62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2320</v>
      </c>
      <c r="C1691" t="s">
        <v>2321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2322</v>
      </c>
      <c r="C1692" t="s">
        <v>2323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8320</v>
      </c>
      <c r="C1693" t="s">
        <v>62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2324</v>
      </c>
      <c r="C1694" t="s">
        <v>2325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2326</v>
      </c>
      <c r="C1695" t="s">
        <v>2327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2328</v>
      </c>
      <c r="C1696" t="s">
        <v>2329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8321</v>
      </c>
      <c r="C1697" t="s">
        <v>62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2330</v>
      </c>
      <c r="C1698" t="s">
        <v>2331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8322</v>
      </c>
      <c r="C1699" t="s">
        <v>62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2332</v>
      </c>
      <c r="C1700" t="s">
        <v>1666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2333</v>
      </c>
      <c r="C1701" t="s">
        <v>2334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8323</v>
      </c>
      <c r="C1702" t="s">
        <v>62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2335</v>
      </c>
      <c r="C1703" t="s">
        <v>2336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2337</v>
      </c>
      <c r="C1704" t="s">
        <v>2338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2339</v>
      </c>
      <c r="C1705" t="s">
        <v>2340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2341</v>
      </c>
      <c r="C1706" t="s">
        <v>2342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2343</v>
      </c>
      <c r="C1707" t="s">
        <v>2344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2345</v>
      </c>
      <c r="C1708" t="s">
        <v>2346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8324</v>
      </c>
      <c r="C1709" t="s">
        <v>62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2347</v>
      </c>
      <c r="C1710" t="s">
        <v>2348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9691</v>
      </c>
      <c r="C1711" t="s">
        <v>9692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2349</v>
      </c>
      <c r="C1712" t="s">
        <v>2350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2351</v>
      </c>
      <c r="C1713" t="s">
        <v>2352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2353</v>
      </c>
      <c r="C1714" t="s">
        <v>2354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9693</v>
      </c>
      <c r="C1715" t="s">
        <v>9694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2355</v>
      </c>
      <c r="C1716" t="s">
        <v>2356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2357</v>
      </c>
      <c r="C1717" t="s">
        <v>2358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8325</v>
      </c>
      <c r="C1718" t="s">
        <v>62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2359</v>
      </c>
      <c r="C1719" t="s">
        <v>2360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2361</v>
      </c>
      <c r="C1720" t="s">
        <v>2362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2363</v>
      </c>
      <c r="C1721" t="s">
        <v>62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2364</v>
      </c>
      <c r="C1722" t="s">
        <v>2365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8326</v>
      </c>
      <c r="C1723" t="s">
        <v>62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2366</v>
      </c>
      <c r="C1724" t="s">
        <v>2367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2368</v>
      </c>
      <c r="C1725" t="s">
        <v>2369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2370</v>
      </c>
      <c r="C1726" t="s">
        <v>2371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8327</v>
      </c>
      <c r="C1727" t="s">
        <v>62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2372</v>
      </c>
      <c r="C1728" t="s">
        <v>2373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2374</v>
      </c>
      <c r="C1729" t="s">
        <v>2375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2376</v>
      </c>
      <c r="C1730" t="s">
        <v>2377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2378</v>
      </c>
      <c r="C1731" t="s">
        <v>2379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2380</v>
      </c>
      <c r="C1732" t="s">
        <v>2381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8328</v>
      </c>
      <c r="C1733" t="s">
        <v>62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2382</v>
      </c>
      <c r="C1734" t="s">
        <v>2383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2384</v>
      </c>
      <c r="C1735" t="s">
        <v>2385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8329</v>
      </c>
      <c r="C1736" t="s">
        <v>714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8330</v>
      </c>
      <c r="C1737" t="s">
        <v>714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2386</v>
      </c>
      <c r="C1738" t="s">
        <v>2387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8331</v>
      </c>
      <c r="C1739" t="s">
        <v>8332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8333</v>
      </c>
      <c r="C1740" t="s">
        <v>62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2388</v>
      </c>
      <c r="C1741" t="s">
        <v>2389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8334</v>
      </c>
      <c r="C1742" t="s">
        <v>62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2390</v>
      </c>
      <c r="C1743" t="s">
        <v>2391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8335</v>
      </c>
      <c r="C1744" t="s">
        <v>62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2392</v>
      </c>
      <c r="C1745" t="s">
        <v>2393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8336</v>
      </c>
      <c r="C1746" t="s">
        <v>62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2394</v>
      </c>
      <c r="C1747" t="s">
        <v>2395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8337</v>
      </c>
      <c r="C1748" t="s">
        <v>62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2396</v>
      </c>
      <c r="C1749" t="s">
        <v>2397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8338</v>
      </c>
      <c r="C1750" t="s">
        <v>62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2398</v>
      </c>
      <c r="C1751" t="s">
        <v>2399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8339</v>
      </c>
      <c r="C1752" t="s">
        <v>62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2400</v>
      </c>
      <c r="C1753" t="s">
        <v>2401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9695</v>
      </c>
      <c r="C1754" t="s">
        <v>9696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9697</v>
      </c>
      <c r="C1755" t="s">
        <v>9698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2402</v>
      </c>
      <c r="C1756" t="s">
        <v>2403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2404</v>
      </c>
      <c r="C1757" t="s">
        <v>2405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2406</v>
      </c>
      <c r="C1758" t="s">
        <v>2407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2408</v>
      </c>
      <c r="C1759" t="s">
        <v>2409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2410</v>
      </c>
      <c r="C1760" t="s">
        <v>2411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8340</v>
      </c>
      <c r="C1761" t="s">
        <v>62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2412</v>
      </c>
      <c r="C1762" t="s">
        <v>2413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2414</v>
      </c>
      <c r="C1763" t="s">
        <v>2415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2416</v>
      </c>
      <c r="C1764" t="s">
        <v>2417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2418</v>
      </c>
      <c r="C1765" t="s">
        <v>2419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8341</v>
      </c>
      <c r="C1766" t="s">
        <v>8342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2420</v>
      </c>
      <c r="C1767" t="s">
        <v>2421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2422</v>
      </c>
      <c r="C1768" t="s">
        <v>2423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2424</v>
      </c>
      <c r="C1769" t="s">
        <v>2425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2426</v>
      </c>
      <c r="C1770" t="s">
        <v>2427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2428</v>
      </c>
      <c r="C1771" t="s">
        <v>2429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8343</v>
      </c>
      <c r="C1772" t="s">
        <v>62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2430</v>
      </c>
      <c r="C1773" t="s">
        <v>2431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8344</v>
      </c>
      <c r="C1774" t="s">
        <v>62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2432</v>
      </c>
      <c r="C1775" t="s">
        <v>2433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2434</v>
      </c>
      <c r="C1776" t="s">
        <v>2435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2436</v>
      </c>
      <c r="C1777" t="s">
        <v>2437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2438</v>
      </c>
      <c r="C1778" t="s">
        <v>2439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2440</v>
      </c>
      <c r="C1779" t="s">
        <v>2441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2442</v>
      </c>
      <c r="C1780" t="s">
        <v>2443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2444</v>
      </c>
      <c r="C1781" t="s">
        <v>2445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2446</v>
      </c>
      <c r="C1782" t="s">
        <v>2447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2448</v>
      </c>
      <c r="C1783" t="s">
        <v>2449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8345</v>
      </c>
      <c r="C1784" t="s">
        <v>62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2450</v>
      </c>
      <c r="C1785" t="s">
        <v>2451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2452</v>
      </c>
      <c r="C1786" t="s">
        <v>2453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2454</v>
      </c>
      <c r="C1787" t="s">
        <v>2455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8346</v>
      </c>
      <c r="C1788" t="s">
        <v>62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2456</v>
      </c>
      <c r="C1789" t="s">
        <v>2457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8347</v>
      </c>
      <c r="C1790" t="s">
        <v>62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2458</v>
      </c>
      <c r="C1791" t="s">
        <v>2459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2460</v>
      </c>
      <c r="C1792" t="s">
        <v>2461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2462</v>
      </c>
      <c r="C1793" t="s">
        <v>2463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8348</v>
      </c>
      <c r="C1794" t="s">
        <v>62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2464</v>
      </c>
      <c r="C1795" t="s">
        <v>2465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8349</v>
      </c>
      <c r="C1796" t="s">
        <v>62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2466</v>
      </c>
      <c r="C1797" t="s">
        <v>2467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2468</v>
      </c>
      <c r="C1798" t="s">
        <v>2469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2470</v>
      </c>
      <c r="C1799" t="s">
        <v>2471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2472</v>
      </c>
      <c r="C1800" t="s">
        <v>2473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2474</v>
      </c>
      <c r="C1801" t="s">
        <v>2475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2476</v>
      </c>
      <c r="C1802" t="s">
        <v>2477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8350</v>
      </c>
      <c r="C1803" t="s">
        <v>62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2478</v>
      </c>
      <c r="C1804" t="s">
        <v>2479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8351</v>
      </c>
      <c r="C1805" t="s">
        <v>62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2480</v>
      </c>
      <c r="C1806" t="s">
        <v>2481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8352</v>
      </c>
      <c r="C1807" t="s">
        <v>62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2482</v>
      </c>
      <c r="C1808" t="s">
        <v>2483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2484</v>
      </c>
      <c r="C1809" t="s">
        <v>2485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2486</v>
      </c>
      <c r="C1810" t="s">
        <v>2487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2488</v>
      </c>
      <c r="C1811" t="s">
        <v>9699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8353</v>
      </c>
      <c r="C1812" t="s">
        <v>62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2489</v>
      </c>
      <c r="C1813" t="s">
        <v>2490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8354</v>
      </c>
      <c r="C1814" t="s">
        <v>62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2491</v>
      </c>
      <c r="C1815" t="s">
        <v>2492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8355</v>
      </c>
      <c r="C1816" t="s">
        <v>62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2493</v>
      </c>
      <c r="C1817" t="s">
        <v>2494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2495</v>
      </c>
      <c r="C1818" t="s">
        <v>2496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8356</v>
      </c>
      <c r="C1819" t="s">
        <v>62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2497</v>
      </c>
      <c r="C1820" t="s">
        <v>2498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2499</v>
      </c>
      <c r="C1821" t="s">
        <v>2500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2501</v>
      </c>
      <c r="C1822" t="s">
        <v>2502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2503</v>
      </c>
      <c r="C1823" t="s">
        <v>2504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2505</v>
      </c>
      <c r="C1824" t="s">
        <v>2506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2507</v>
      </c>
      <c r="C1825" t="s">
        <v>2508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2509</v>
      </c>
      <c r="C1826" t="s">
        <v>2510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2511</v>
      </c>
      <c r="C1827" t="s">
        <v>2512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2513</v>
      </c>
      <c r="C1828" t="s">
        <v>2514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2515</v>
      </c>
      <c r="C1829" t="s">
        <v>2516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2517</v>
      </c>
      <c r="C1830" t="s">
        <v>2518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2519</v>
      </c>
      <c r="C1831" t="s">
        <v>2520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2521</v>
      </c>
      <c r="C1832" t="s">
        <v>2522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2523</v>
      </c>
      <c r="C1833" t="s">
        <v>2524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2525</v>
      </c>
      <c r="C1834" t="s">
        <v>2526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2527</v>
      </c>
      <c r="C1835" t="s">
        <v>2528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2529</v>
      </c>
      <c r="C1836" t="s">
        <v>2530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8357</v>
      </c>
      <c r="C1837" t="s">
        <v>62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2531</v>
      </c>
      <c r="C1838" t="s">
        <v>2532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8358</v>
      </c>
      <c r="C1839" t="s">
        <v>62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2533</v>
      </c>
      <c r="C1840" t="s">
        <v>2534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2535</v>
      </c>
      <c r="C1841" t="s">
        <v>2536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2537</v>
      </c>
      <c r="C1842" t="s">
        <v>2538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8359</v>
      </c>
      <c r="C1843" t="s">
        <v>62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2539</v>
      </c>
      <c r="C1844" t="s">
        <v>2540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2541</v>
      </c>
      <c r="C1845" t="s">
        <v>2542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2543</v>
      </c>
      <c r="C1846" t="s">
        <v>2544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2545</v>
      </c>
      <c r="C1847" t="s">
        <v>2546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2547</v>
      </c>
      <c r="C1848" t="s">
        <v>2548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2549</v>
      </c>
      <c r="C1849" t="s">
        <v>2550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2551</v>
      </c>
      <c r="C1850" t="s">
        <v>2552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2553</v>
      </c>
      <c r="C1851" t="s">
        <v>2554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8360</v>
      </c>
      <c r="C1852" t="s">
        <v>62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2555</v>
      </c>
      <c r="C1853" t="s">
        <v>2556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2557</v>
      </c>
      <c r="C1854" t="s">
        <v>2558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2559</v>
      </c>
      <c r="C1855" t="s">
        <v>2560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8361</v>
      </c>
      <c r="C1856" t="s">
        <v>62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2561</v>
      </c>
      <c r="C1857" t="s">
        <v>2562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8362</v>
      </c>
      <c r="C1858" t="s">
        <v>62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2563</v>
      </c>
      <c r="C1859" t="s">
        <v>2564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8363</v>
      </c>
      <c r="C1860" t="s">
        <v>62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2565</v>
      </c>
      <c r="C1861" t="s">
        <v>2566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8364</v>
      </c>
      <c r="C1862" t="s">
        <v>62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2567</v>
      </c>
      <c r="C1863" t="s">
        <v>2568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8365</v>
      </c>
      <c r="C1864" t="s">
        <v>62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2569</v>
      </c>
      <c r="C1865" t="s">
        <v>2570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2571</v>
      </c>
      <c r="C1866" t="s">
        <v>2572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2573</v>
      </c>
      <c r="C1867" t="s">
        <v>2574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8366</v>
      </c>
      <c r="C1868" t="s">
        <v>62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2575</v>
      </c>
      <c r="C1869" t="s">
        <v>2576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8367</v>
      </c>
      <c r="C1870" t="s">
        <v>62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2577</v>
      </c>
      <c r="C1871" t="s">
        <v>2578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2579</v>
      </c>
      <c r="C1872" t="s">
        <v>2580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8368</v>
      </c>
      <c r="C1873" t="s">
        <v>62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2581</v>
      </c>
      <c r="C1874" t="s">
        <v>2582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8369</v>
      </c>
      <c r="C1875" t="s">
        <v>62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2583</v>
      </c>
      <c r="C1876" t="s">
        <v>2584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8370</v>
      </c>
      <c r="C1877" t="s">
        <v>62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2585</v>
      </c>
      <c r="C1878" t="s">
        <v>2586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2587</v>
      </c>
      <c r="C1879" t="s">
        <v>2588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8371</v>
      </c>
      <c r="C1880" t="s">
        <v>62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2589</v>
      </c>
      <c r="C1881" t="s">
        <v>2590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2591</v>
      </c>
      <c r="C1882" t="s">
        <v>2592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8372</v>
      </c>
      <c r="C1883" t="s">
        <v>62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2593</v>
      </c>
      <c r="C1884" t="s">
        <v>2594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8373</v>
      </c>
      <c r="C1885" t="s">
        <v>62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2595</v>
      </c>
      <c r="C1886" t="s">
        <v>2596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8374</v>
      </c>
      <c r="C1887" t="s">
        <v>62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2597</v>
      </c>
      <c r="C1888" t="s">
        <v>2598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8375</v>
      </c>
      <c r="C1889" t="s">
        <v>62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2599</v>
      </c>
      <c r="C1890" t="s">
        <v>2600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8376</v>
      </c>
      <c r="C1891" t="s">
        <v>62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2601</v>
      </c>
      <c r="C1892" t="s">
        <v>2602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2603</v>
      </c>
      <c r="C1893" t="s">
        <v>2604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2605</v>
      </c>
      <c r="C1894" t="s">
        <v>2606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8377</v>
      </c>
      <c r="C1895" t="s">
        <v>62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2607</v>
      </c>
      <c r="C1896" t="s">
        <v>2608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8378</v>
      </c>
      <c r="C1897" t="s">
        <v>62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2609</v>
      </c>
      <c r="C1898" t="s">
        <v>2610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8379</v>
      </c>
      <c r="C1899" t="s">
        <v>62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2611</v>
      </c>
      <c r="C1900" t="s">
        <v>2612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8380</v>
      </c>
      <c r="C1901" t="s">
        <v>62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2613</v>
      </c>
      <c r="C1902" t="s">
        <v>2614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8381</v>
      </c>
      <c r="C1903" t="s">
        <v>62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2615</v>
      </c>
      <c r="C1904" t="s">
        <v>2616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2617</v>
      </c>
      <c r="C1905" t="s">
        <v>2618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8382</v>
      </c>
      <c r="C1906" t="s">
        <v>62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2619</v>
      </c>
      <c r="C1907" t="s">
        <v>2620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2621</v>
      </c>
      <c r="C1908" t="s">
        <v>2622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2623</v>
      </c>
      <c r="C1909" t="s">
        <v>2624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8383</v>
      </c>
      <c r="C1910" t="s">
        <v>62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2625</v>
      </c>
      <c r="C1911" t="s">
        <v>2626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8384</v>
      </c>
      <c r="C1912" t="s">
        <v>62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2627</v>
      </c>
      <c r="C1913" t="s">
        <v>2628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8385</v>
      </c>
      <c r="C1914" t="s">
        <v>62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2629</v>
      </c>
      <c r="C1915" t="s">
        <v>2630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8386</v>
      </c>
      <c r="C1916" t="s">
        <v>62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2631</v>
      </c>
      <c r="C1917" t="s">
        <v>2632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8387</v>
      </c>
      <c r="C1918" t="s">
        <v>62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2633</v>
      </c>
      <c r="C1919" t="s">
        <v>2634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2635</v>
      </c>
      <c r="C1920" t="s">
        <v>2636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2637</v>
      </c>
      <c r="C1921" t="s">
        <v>2638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8388</v>
      </c>
      <c r="C1922" t="s">
        <v>62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2639</v>
      </c>
      <c r="C1923" t="s">
        <v>2640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2641</v>
      </c>
      <c r="C1924" t="s">
        <v>2642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2643</v>
      </c>
      <c r="C1925" t="s">
        <v>2644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8389</v>
      </c>
      <c r="C1926" t="s">
        <v>62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2645</v>
      </c>
      <c r="C1927" t="s">
        <v>2646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8390</v>
      </c>
      <c r="C1928" t="s">
        <v>62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2647</v>
      </c>
      <c r="C1929" t="s">
        <v>2648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8391</v>
      </c>
      <c r="C1930" t="s">
        <v>62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2649</v>
      </c>
      <c r="C1931" t="s">
        <v>2650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8392</v>
      </c>
      <c r="C1932" t="s">
        <v>62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2651</v>
      </c>
      <c r="C1933" t="s">
        <v>2652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8393</v>
      </c>
      <c r="C1934" t="s">
        <v>62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2653</v>
      </c>
      <c r="C1935" t="s">
        <v>2654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8394</v>
      </c>
      <c r="C1936" t="s">
        <v>62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2655</v>
      </c>
      <c r="C1937" t="s">
        <v>2656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8395</v>
      </c>
      <c r="C1938" t="s">
        <v>62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2657</v>
      </c>
      <c r="C1939" t="s">
        <v>2658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8396</v>
      </c>
      <c r="C1940" t="s">
        <v>62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2659</v>
      </c>
      <c r="C1941" t="s">
        <v>2660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8397</v>
      </c>
      <c r="C1942" t="s">
        <v>62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2661</v>
      </c>
      <c r="C1943" t="s">
        <v>2662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8398</v>
      </c>
      <c r="C1944" t="s">
        <v>62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2663</v>
      </c>
      <c r="C1945" t="s">
        <v>2664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2665</v>
      </c>
      <c r="C1946" t="s">
        <v>2666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2667</v>
      </c>
      <c r="C1947" t="s">
        <v>2668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2669</v>
      </c>
      <c r="C1948" t="s">
        <v>2670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2671</v>
      </c>
      <c r="C1949" t="s">
        <v>2672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2673</v>
      </c>
      <c r="C1950" t="s">
        <v>2674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8399</v>
      </c>
      <c r="C1951" t="s">
        <v>62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2675</v>
      </c>
      <c r="C1952" t="s">
        <v>2676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2677</v>
      </c>
      <c r="C1953" t="s">
        <v>2678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8400</v>
      </c>
      <c r="C1954" t="s">
        <v>62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2679</v>
      </c>
      <c r="C1955" t="s">
        <v>2680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2681</v>
      </c>
      <c r="C1956" t="s">
        <v>2682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2683</v>
      </c>
      <c r="C1957" t="s">
        <v>2684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2685</v>
      </c>
      <c r="C1958" t="s">
        <v>2686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2687</v>
      </c>
      <c r="C1959" t="s">
        <v>2688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2689</v>
      </c>
      <c r="C1960" t="s">
        <v>2690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8401</v>
      </c>
      <c r="C1961" t="s">
        <v>62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2691</v>
      </c>
      <c r="C1962" t="s">
        <v>2692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2693</v>
      </c>
      <c r="C1963" t="s">
        <v>2694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2695</v>
      </c>
      <c r="C1964" t="s">
        <v>2696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2697</v>
      </c>
      <c r="C1965" t="s">
        <v>2698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2699</v>
      </c>
      <c r="C1966" t="s">
        <v>2700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2701</v>
      </c>
      <c r="C1967" t="s">
        <v>2702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8402</v>
      </c>
      <c r="C1968" t="s">
        <v>62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2703</v>
      </c>
      <c r="C1969" t="s">
        <v>2704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2705</v>
      </c>
      <c r="C1970" t="s">
        <v>162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2706</v>
      </c>
      <c r="C1971" t="s">
        <v>2707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8403</v>
      </c>
      <c r="C1972" t="s">
        <v>62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2708</v>
      </c>
      <c r="C1973" t="s">
        <v>2709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2710</v>
      </c>
      <c r="C1974" t="s">
        <v>2711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8404</v>
      </c>
      <c r="C1975" t="s">
        <v>62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2712</v>
      </c>
      <c r="C1976" t="s">
        <v>2713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8405</v>
      </c>
      <c r="C1977" t="s">
        <v>62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2714</v>
      </c>
      <c r="C1978" t="s">
        <v>2715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8406</v>
      </c>
      <c r="C1979" t="s">
        <v>8407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2716</v>
      </c>
      <c r="C1980" t="s">
        <v>2717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2718</v>
      </c>
      <c r="C1981" t="s">
        <v>2719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2720</v>
      </c>
      <c r="C1982" t="s">
        <v>2721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2722</v>
      </c>
      <c r="C1983" t="s">
        <v>2723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8408</v>
      </c>
      <c r="C1984" t="s">
        <v>62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2724</v>
      </c>
      <c r="C1985" t="s">
        <v>2725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2726</v>
      </c>
      <c r="C1986" t="s">
        <v>2727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8409</v>
      </c>
      <c r="C1987" t="s">
        <v>8410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2728</v>
      </c>
      <c r="C1988" t="s">
        <v>2729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8411</v>
      </c>
      <c r="C1989" t="s">
        <v>62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2730</v>
      </c>
      <c r="C1990" t="s">
        <v>2731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8412</v>
      </c>
      <c r="C1991" t="s">
        <v>62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2732</v>
      </c>
      <c r="C1992" t="s">
        <v>2733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2734</v>
      </c>
      <c r="C1993" t="s">
        <v>2735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2736</v>
      </c>
      <c r="C1994" t="s">
        <v>2737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2738</v>
      </c>
      <c r="C1995" t="s">
        <v>2739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2740</v>
      </c>
      <c r="C1996" t="s">
        <v>2741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2742</v>
      </c>
      <c r="C1997" t="s">
        <v>2743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2744</v>
      </c>
      <c r="C1998" t="s">
        <v>2745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2746</v>
      </c>
      <c r="C1999" t="s">
        <v>2747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2748</v>
      </c>
      <c r="C2000" t="s">
        <v>2749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2750</v>
      </c>
      <c r="C2001" t="s">
        <v>2751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8413</v>
      </c>
      <c r="C2002" t="s">
        <v>62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2752</v>
      </c>
      <c r="C2003" t="s">
        <v>2753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8414</v>
      </c>
      <c r="C2004" t="s">
        <v>62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2754</v>
      </c>
      <c r="C2005" t="s">
        <v>2755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2756</v>
      </c>
      <c r="C2006" t="s">
        <v>2757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2758</v>
      </c>
      <c r="C2007" t="s">
        <v>2759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2760</v>
      </c>
      <c r="C2008" t="s">
        <v>2761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2762</v>
      </c>
      <c r="C2009" t="s">
        <v>2763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2764</v>
      </c>
      <c r="C2010" t="s">
        <v>2765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2766</v>
      </c>
      <c r="C2011" t="s">
        <v>2767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8415</v>
      </c>
      <c r="C2012" t="s">
        <v>62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2768</v>
      </c>
      <c r="C2013" t="s">
        <v>2769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2770</v>
      </c>
      <c r="C2014" t="s">
        <v>2771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2772</v>
      </c>
      <c r="C2015" t="s">
        <v>2773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8416</v>
      </c>
      <c r="C2016" t="s">
        <v>62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2774</v>
      </c>
      <c r="C2017" t="s">
        <v>2775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2776</v>
      </c>
      <c r="C2018" t="s">
        <v>2777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8417</v>
      </c>
      <c r="C2019" t="s">
        <v>62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2778</v>
      </c>
      <c r="C2020" t="s">
        <v>2779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2780</v>
      </c>
      <c r="C2021" t="s">
        <v>2781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2782</v>
      </c>
      <c r="C2022" t="s">
        <v>2783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8418</v>
      </c>
      <c r="C2023" t="s">
        <v>62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2784</v>
      </c>
      <c r="C2024" t="s">
        <v>2785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2786</v>
      </c>
      <c r="C2025" t="s">
        <v>2787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8419</v>
      </c>
      <c r="C2026" t="s">
        <v>8420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2788</v>
      </c>
      <c r="C2027" t="s">
        <v>2789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2790</v>
      </c>
      <c r="C2028" t="s">
        <v>2791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2792</v>
      </c>
      <c r="C2029" t="s">
        <v>2793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2794</v>
      </c>
      <c r="C2030" t="s">
        <v>2795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2796</v>
      </c>
      <c r="C2031" t="s">
        <v>2797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2798</v>
      </c>
      <c r="C2032" t="s">
        <v>2799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2800</v>
      </c>
      <c r="C2033" t="s">
        <v>2801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2802</v>
      </c>
      <c r="C2034" t="s">
        <v>2803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8421</v>
      </c>
      <c r="C2035" t="s">
        <v>62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2804</v>
      </c>
      <c r="C2036" t="s">
        <v>2805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2806</v>
      </c>
      <c r="C2037" t="s">
        <v>2807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2808</v>
      </c>
      <c r="C2038" t="s">
        <v>2809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8422</v>
      </c>
      <c r="C2039" t="s">
        <v>62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2810</v>
      </c>
      <c r="C2040" t="s">
        <v>2811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2812</v>
      </c>
      <c r="C2041" t="s">
        <v>2813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2814</v>
      </c>
      <c r="C2042" t="s">
        <v>2815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2816</v>
      </c>
      <c r="C2043" t="s">
        <v>2817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2818</v>
      </c>
      <c r="C2044" t="s">
        <v>2819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8423</v>
      </c>
      <c r="C2045" t="s">
        <v>62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2820</v>
      </c>
      <c r="C2046" t="s">
        <v>2821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2822</v>
      </c>
      <c r="C2047" t="s">
        <v>2823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2824</v>
      </c>
      <c r="C2048" t="s">
        <v>2825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2826</v>
      </c>
      <c r="C2049" t="s">
        <v>2827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2828</v>
      </c>
      <c r="C2050" t="s">
        <v>2829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8424</v>
      </c>
      <c r="C2051" t="s">
        <v>62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2830</v>
      </c>
      <c r="C2052" t="s">
        <v>2831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2832</v>
      </c>
      <c r="C2053" t="s">
        <v>2833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8425</v>
      </c>
      <c r="C2054" t="s">
        <v>62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2834</v>
      </c>
      <c r="C2055" t="s">
        <v>2835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8426</v>
      </c>
      <c r="C2056" t="s">
        <v>62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2836</v>
      </c>
      <c r="C2057" t="s">
        <v>2837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8427</v>
      </c>
      <c r="C2058" t="s">
        <v>62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2838</v>
      </c>
      <c r="C2059" t="s">
        <v>2839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8428</v>
      </c>
      <c r="C2060" t="s">
        <v>62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2840</v>
      </c>
      <c r="C2061" t="s">
        <v>2841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8429</v>
      </c>
      <c r="C2062" t="s">
        <v>62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2842</v>
      </c>
      <c r="C2063" t="s">
        <v>2843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9700</v>
      </c>
      <c r="C2064" t="s">
        <v>9701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2844</v>
      </c>
      <c r="C2065" t="s">
        <v>2845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2846</v>
      </c>
      <c r="C2066" t="s">
        <v>2847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9702</v>
      </c>
      <c r="C2067" t="s">
        <v>9703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8430</v>
      </c>
      <c r="C2068" t="s">
        <v>62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2848</v>
      </c>
      <c r="C2069" t="s">
        <v>2849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8431</v>
      </c>
      <c r="C2070" t="s">
        <v>62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2850</v>
      </c>
      <c r="C2071" t="s">
        <v>2851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2852</v>
      </c>
      <c r="C2072" t="s">
        <v>2853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2854</v>
      </c>
      <c r="C2073" t="s">
        <v>2855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8432</v>
      </c>
      <c r="C2074" t="s">
        <v>8433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9704</v>
      </c>
      <c r="C2075" t="s">
        <v>9705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2856</v>
      </c>
      <c r="C2076" t="s">
        <v>2857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2858</v>
      </c>
      <c r="C2077" t="s">
        <v>2859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2860</v>
      </c>
      <c r="C2078" t="s">
        <v>2861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8434</v>
      </c>
      <c r="C2079" t="s">
        <v>62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2862</v>
      </c>
      <c r="C2080" t="s">
        <v>2863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8435</v>
      </c>
      <c r="C2081" t="s">
        <v>62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2864</v>
      </c>
      <c r="C2082" t="s">
        <v>2865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8436</v>
      </c>
      <c r="C2083" t="s">
        <v>62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2866</v>
      </c>
      <c r="C2084" t="s">
        <v>2867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2868</v>
      </c>
      <c r="C2085" t="s">
        <v>62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8437</v>
      </c>
      <c r="C2086" t="s">
        <v>62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2869</v>
      </c>
      <c r="C2087" t="s">
        <v>2870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8438</v>
      </c>
      <c r="C2088" t="s">
        <v>62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2871</v>
      </c>
      <c r="C2089" t="s">
        <v>2872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8439</v>
      </c>
      <c r="C2090" t="s">
        <v>62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2873</v>
      </c>
      <c r="C2091" t="s">
        <v>2874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2875</v>
      </c>
      <c r="C2092" t="s">
        <v>2876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8440</v>
      </c>
      <c r="C2093" t="s">
        <v>62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2877</v>
      </c>
      <c r="C2094" t="s">
        <v>2878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2879</v>
      </c>
      <c r="C2095" t="s">
        <v>2880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8441</v>
      </c>
      <c r="C2096" t="s">
        <v>62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2881</v>
      </c>
      <c r="C2097" t="s">
        <v>2882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2883</v>
      </c>
      <c r="C2098" t="s">
        <v>2884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2885</v>
      </c>
      <c r="C2099" t="s">
        <v>62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2886</v>
      </c>
      <c r="C2100" t="s">
        <v>2887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2888</v>
      </c>
      <c r="C2101" t="s">
        <v>2889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8442</v>
      </c>
      <c r="C2102" t="s">
        <v>62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2890</v>
      </c>
      <c r="C2103" t="s">
        <v>2891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8443</v>
      </c>
      <c r="C2104" t="s">
        <v>62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2892</v>
      </c>
      <c r="C2105" t="s">
        <v>2893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8444</v>
      </c>
      <c r="C2106" t="s">
        <v>62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2894</v>
      </c>
      <c r="C2107" t="s">
        <v>2895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2896</v>
      </c>
      <c r="C2108" t="s">
        <v>2897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2898</v>
      </c>
      <c r="C2109" t="s">
        <v>62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8445</v>
      </c>
      <c r="C2110" t="s">
        <v>62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2899</v>
      </c>
      <c r="C2111" t="s">
        <v>2900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8446</v>
      </c>
      <c r="C2112" t="s">
        <v>62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2901</v>
      </c>
      <c r="C2113" t="s">
        <v>2902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8447</v>
      </c>
      <c r="C2114" t="s">
        <v>62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2903</v>
      </c>
      <c r="C2115" t="s">
        <v>2904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2905</v>
      </c>
      <c r="C2116" t="s">
        <v>9706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2906</v>
      </c>
      <c r="C2117" t="s">
        <v>9707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2907</v>
      </c>
      <c r="C2118" t="s">
        <v>9708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2908</v>
      </c>
      <c r="C2119" t="s">
        <v>9709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2909</v>
      </c>
      <c r="C2120" t="s">
        <v>9710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2910</v>
      </c>
      <c r="C2121" t="s">
        <v>9711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2911</v>
      </c>
      <c r="C2122" t="s">
        <v>9712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2912</v>
      </c>
      <c r="C2123" t="s">
        <v>9713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2913</v>
      </c>
      <c r="C2124" t="s">
        <v>9714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2914</v>
      </c>
      <c r="C2125" t="s">
        <v>9715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2915</v>
      </c>
      <c r="C2126" t="s">
        <v>9716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2916</v>
      </c>
      <c r="C2127" t="s">
        <v>2917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2918</v>
      </c>
      <c r="C2128" t="s">
        <v>2919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2920</v>
      </c>
      <c r="C2129" t="s">
        <v>2921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2922</v>
      </c>
      <c r="C2130" t="s">
        <v>9717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2923</v>
      </c>
      <c r="C2131" t="s">
        <v>9717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2924</v>
      </c>
      <c r="C2132" t="s">
        <v>9718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2925</v>
      </c>
      <c r="C2133" t="s">
        <v>9719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2926</v>
      </c>
      <c r="C2134" t="s">
        <v>9720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2927</v>
      </c>
      <c r="C2135" t="s">
        <v>2928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9721</v>
      </c>
      <c r="C2136" t="s">
        <v>9722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9723</v>
      </c>
      <c r="C2137" t="s">
        <v>9724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9725</v>
      </c>
      <c r="C2138" t="s">
        <v>9722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9726</v>
      </c>
      <c r="C2139" t="s">
        <v>9727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9728</v>
      </c>
      <c r="C2140" t="s">
        <v>9729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2929</v>
      </c>
      <c r="C2141" t="s">
        <v>2930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8448</v>
      </c>
      <c r="C2142" t="s">
        <v>62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2931</v>
      </c>
      <c r="C2143" t="s">
        <v>2932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8449</v>
      </c>
      <c r="C2144" t="s">
        <v>62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2933</v>
      </c>
      <c r="C2145" t="s">
        <v>2934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8450</v>
      </c>
      <c r="C2146" t="s">
        <v>62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2935</v>
      </c>
      <c r="C2147" t="s">
        <v>2936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8451</v>
      </c>
      <c r="C2148" t="s">
        <v>62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2937</v>
      </c>
      <c r="C2149" t="s">
        <v>2938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8452</v>
      </c>
      <c r="C2150" t="s">
        <v>62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2939</v>
      </c>
      <c r="C2151" t="s">
        <v>2940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8453</v>
      </c>
      <c r="C2152" t="s">
        <v>62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2941</v>
      </c>
      <c r="C2153" t="s">
        <v>2942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8454</v>
      </c>
      <c r="C2154" t="s">
        <v>62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2943</v>
      </c>
      <c r="C2155" t="s">
        <v>2944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8455</v>
      </c>
      <c r="C2156" t="s">
        <v>62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2945</v>
      </c>
      <c r="C2157" t="s">
        <v>2946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8456</v>
      </c>
      <c r="C2158" t="s">
        <v>62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2947</v>
      </c>
      <c r="C2159" t="s">
        <v>9730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8457</v>
      </c>
      <c r="C2160" t="s">
        <v>62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2948</v>
      </c>
      <c r="C2161" t="s">
        <v>2949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8458</v>
      </c>
      <c r="C2162" t="s">
        <v>62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2950</v>
      </c>
      <c r="C2163" t="s">
        <v>2951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8459</v>
      </c>
      <c r="C2164" t="s">
        <v>62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2952</v>
      </c>
      <c r="C2165" t="s">
        <v>2953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8460</v>
      </c>
      <c r="C2166" t="s">
        <v>62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2954</v>
      </c>
      <c r="C2167" t="s">
        <v>2955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8461</v>
      </c>
      <c r="C2168" t="s">
        <v>62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2956</v>
      </c>
      <c r="C2169" t="s">
        <v>2957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2958</v>
      </c>
      <c r="C2170" t="s">
        <v>2959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2960</v>
      </c>
      <c r="C2171" t="s">
        <v>2961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2962</v>
      </c>
      <c r="C2172" t="s">
        <v>9731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2963</v>
      </c>
      <c r="C2173" t="s">
        <v>9732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9733</v>
      </c>
      <c r="C2174" t="s">
        <v>9734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8462</v>
      </c>
      <c r="C2175" t="s">
        <v>62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2964</v>
      </c>
      <c r="C2176" t="s">
        <v>2965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8463</v>
      </c>
      <c r="C2177" t="s">
        <v>62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2966</v>
      </c>
      <c r="C2178" t="s">
        <v>2967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2968</v>
      </c>
      <c r="C2179" t="s">
        <v>2969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2970</v>
      </c>
      <c r="C2180" t="s">
        <v>2971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8464</v>
      </c>
      <c r="C2181" t="s">
        <v>62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2972</v>
      </c>
      <c r="C2182" t="s">
        <v>2973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8465</v>
      </c>
      <c r="C2183" t="s">
        <v>62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2974</v>
      </c>
      <c r="C2184" t="s">
        <v>2975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2976</v>
      </c>
      <c r="C2185" t="s">
        <v>2977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2978</v>
      </c>
      <c r="C2186" t="s">
        <v>2979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2980</v>
      </c>
      <c r="C2187" t="s">
        <v>2981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2982</v>
      </c>
      <c r="C2188" t="s">
        <v>2983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2984</v>
      </c>
      <c r="C2189" t="s">
        <v>2985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8466</v>
      </c>
      <c r="C2190" t="s">
        <v>62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2986</v>
      </c>
      <c r="C2191" t="s">
        <v>2987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8467</v>
      </c>
      <c r="C2192" t="s">
        <v>62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2988</v>
      </c>
      <c r="C2193" t="s">
        <v>2989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2990</v>
      </c>
      <c r="C2194" t="s">
        <v>62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2991</v>
      </c>
      <c r="C2195" t="s">
        <v>2992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8468</v>
      </c>
      <c r="C2196" t="s">
        <v>62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2993</v>
      </c>
      <c r="C2197" t="s">
        <v>2994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2995</v>
      </c>
      <c r="C2198" t="s">
        <v>2996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8469</v>
      </c>
      <c r="C2199" t="s">
        <v>62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2997</v>
      </c>
      <c r="C2200" t="s">
        <v>2998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8470</v>
      </c>
      <c r="C2201" t="s">
        <v>62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2999</v>
      </c>
      <c r="C2202" t="s">
        <v>3000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8471</v>
      </c>
      <c r="C2203" t="s">
        <v>62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3001</v>
      </c>
      <c r="C2204" t="s">
        <v>3002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8472</v>
      </c>
      <c r="C2205" t="s">
        <v>62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3003</v>
      </c>
      <c r="C2206" t="s">
        <v>3004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3005</v>
      </c>
      <c r="C2207" t="s">
        <v>3006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3007</v>
      </c>
      <c r="C2208" t="s">
        <v>3008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8473</v>
      </c>
      <c r="C2209" t="s">
        <v>62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3009</v>
      </c>
      <c r="C2210" t="s">
        <v>3010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3011</v>
      </c>
      <c r="C2211" t="s">
        <v>3012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3013</v>
      </c>
      <c r="C2212" t="s">
        <v>3014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3015</v>
      </c>
      <c r="C2213" t="s">
        <v>3016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3017</v>
      </c>
      <c r="C2214" t="s">
        <v>3018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3019</v>
      </c>
      <c r="C2215" t="s">
        <v>3020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3021</v>
      </c>
      <c r="C2216" t="s">
        <v>3022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3023</v>
      </c>
      <c r="C2217" t="s">
        <v>3024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3025</v>
      </c>
      <c r="C2218" t="s">
        <v>3026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3027</v>
      </c>
      <c r="C2219" t="s">
        <v>3028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3029</v>
      </c>
      <c r="C2220" t="s">
        <v>3030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3031</v>
      </c>
      <c r="C2221" t="s">
        <v>3032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3033</v>
      </c>
      <c r="C2222" t="s">
        <v>3034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3035</v>
      </c>
      <c r="C2223" t="s">
        <v>3036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3037</v>
      </c>
      <c r="C2224" t="s">
        <v>3038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3039</v>
      </c>
      <c r="C2225" t="s">
        <v>3040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8474</v>
      </c>
      <c r="C2226" t="s">
        <v>62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3041</v>
      </c>
      <c r="C2227" t="s">
        <v>3042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3043</v>
      </c>
      <c r="C2228" t="s">
        <v>62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3044</v>
      </c>
      <c r="C2229" t="s">
        <v>3045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8475</v>
      </c>
      <c r="C2230" t="s">
        <v>62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3046</v>
      </c>
      <c r="C2231" t="s">
        <v>3047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3048</v>
      </c>
      <c r="C2232" t="s">
        <v>3049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3050</v>
      </c>
      <c r="C2233" t="s">
        <v>3051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3052</v>
      </c>
      <c r="C2234" t="s">
        <v>3053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3054</v>
      </c>
      <c r="C2235" t="s">
        <v>3055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3056</v>
      </c>
      <c r="C2236" t="s">
        <v>3057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3058</v>
      </c>
      <c r="C2237" t="s">
        <v>3059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3060</v>
      </c>
      <c r="C2238" t="s">
        <v>3061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3062</v>
      </c>
      <c r="C2239" t="s">
        <v>9735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3063</v>
      </c>
      <c r="C2240" t="s">
        <v>9736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3064</v>
      </c>
      <c r="C2241" t="s">
        <v>3065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3066</v>
      </c>
      <c r="C2242" t="s">
        <v>3067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3068</v>
      </c>
      <c r="C2243" t="s">
        <v>3069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3070</v>
      </c>
      <c r="C2244" t="s">
        <v>3071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3072</v>
      </c>
      <c r="C2245" t="s">
        <v>3073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8476</v>
      </c>
      <c r="C2246" t="s">
        <v>62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3074</v>
      </c>
      <c r="C2247" t="s">
        <v>3075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3076</v>
      </c>
      <c r="C2248" t="s">
        <v>3077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3078</v>
      </c>
      <c r="C2249" t="s">
        <v>3079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3080</v>
      </c>
      <c r="C2250" t="s">
        <v>3081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3082</v>
      </c>
      <c r="C2251" t="s">
        <v>3083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3084</v>
      </c>
      <c r="C2252" t="s">
        <v>3085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3086</v>
      </c>
      <c r="C2253" t="s">
        <v>3087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3088</v>
      </c>
      <c r="C2254" t="s">
        <v>3089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3090</v>
      </c>
      <c r="C2255" t="s">
        <v>3091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8477</v>
      </c>
      <c r="C2256" t="s">
        <v>62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3092</v>
      </c>
      <c r="C2257" t="s">
        <v>3093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9737</v>
      </c>
      <c r="C2258" t="s">
        <v>9738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9739</v>
      </c>
      <c r="C2259" t="s">
        <v>9740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9741</v>
      </c>
      <c r="C2260" t="s">
        <v>9742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9743</v>
      </c>
      <c r="C2261" t="s">
        <v>9744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8478</v>
      </c>
      <c r="C2262" t="s">
        <v>62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3094</v>
      </c>
      <c r="C2263" t="s">
        <v>3095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3096</v>
      </c>
      <c r="C2264" t="s">
        <v>3097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3098</v>
      </c>
      <c r="C2265" t="s">
        <v>3099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3100</v>
      </c>
      <c r="C2266" t="s">
        <v>3101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3102</v>
      </c>
      <c r="C2267" t="s">
        <v>3103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3104</v>
      </c>
      <c r="C2268" t="s">
        <v>3105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3106</v>
      </c>
      <c r="C2269" t="s">
        <v>3107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8479</v>
      </c>
      <c r="C2270" t="s">
        <v>62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3108</v>
      </c>
      <c r="C2271" t="s">
        <v>3109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8480</v>
      </c>
      <c r="C2272" t="s">
        <v>62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3110</v>
      </c>
      <c r="C2273" t="s">
        <v>3111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8481</v>
      </c>
      <c r="C2274" t="s">
        <v>62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3112</v>
      </c>
      <c r="C2275" t="s">
        <v>3113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8482</v>
      </c>
      <c r="C2276" t="s">
        <v>62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3114</v>
      </c>
      <c r="C2277" t="s">
        <v>3115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8483</v>
      </c>
      <c r="C2278" t="s">
        <v>62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3116</v>
      </c>
      <c r="C2279" t="s">
        <v>3117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8484</v>
      </c>
      <c r="C2280" t="s">
        <v>62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3118</v>
      </c>
      <c r="C2281" t="s">
        <v>3119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3120</v>
      </c>
      <c r="C2282" t="s">
        <v>3121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8485</v>
      </c>
      <c r="C2283" t="s">
        <v>62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3122</v>
      </c>
      <c r="C2284" t="s">
        <v>3123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8486</v>
      </c>
      <c r="C2285" t="s">
        <v>62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3124</v>
      </c>
      <c r="C2286" t="s">
        <v>3125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8487</v>
      </c>
      <c r="C2287" t="s">
        <v>62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3126</v>
      </c>
      <c r="C2288" t="s">
        <v>3127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8488</v>
      </c>
      <c r="C2289" t="s">
        <v>62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3128</v>
      </c>
      <c r="C2290" t="s">
        <v>3129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8489</v>
      </c>
      <c r="C2291" t="s">
        <v>8490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9745</v>
      </c>
      <c r="C2292" t="s">
        <v>9746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9747</v>
      </c>
      <c r="C2293" t="s">
        <v>9748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9749</v>
      </c>
      <c r="C2294" t="s">
        <v>9750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9751</v>
      </c>
      <c r="C2295" t="s">
        <v>9752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3130</v>
      </c>
      <c r="C2296" t="s">
        <v>3131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8491</v>
      </c>
      <c r="C2297" t="s">
        <v>62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3132</v>
      </c>
      <c r="C2298" t="s">
        <v>3133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8492</v>
      </c>
      <c r="C2299" t="s">
        <v>62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3134</v>
      </c>
      <c r="C2300" t="s">
        <v>3135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8493</v>
      </c>
      <c r="C2301" t="s">
        <v>62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3136</v>
      </c>
      <c r="C2302" t="s">
        <v>3137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8494</v>
      </c>
      <c r="C2303" t="s">
        <v>62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3138</v>
      </c>
      <c r="C2304" t="s">
        <v>3139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8495</v>
      </c>
      <c r="C2305" t="s">
        <v>62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3140</v>
      </c>
      <c r="C2306" t="s">
        <v>3141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8496</v>
      </c>
      <c r="C2307" t="s">
        <v>62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3142</v>
      </c>
      <c r="C2308" t="s">
        <v>3143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3144</v>
      </c>
      <c r="C2309" t="s">
        <v>3145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3146</v>
      </c>
      <c r="C2310" t="s">
        <v>3147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8497</v>
      </c>
      <c r="C2311" t="s">
        <v>62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3148</v>
      </c>
      <c r="C2312" t="s">
        <v>3149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3150</v>
      </c>
      <c r="C2313" t="s">
        <v>3151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3152</v>
      </c>
      <c r="C2314" t="s">
        <v>3153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8498</v>
      </c>
      <c r="C2315" t="s">
        <v>62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3154</v>
      </c>
      <c r="C2316" t="s">
        <v>3155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8499</v>
      </c>
      <c r="C2317" t="s">
        <v>62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3156</v>
      </c>
      <c r="C2318" t="s">
        <v>3157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8500</v>
      </c>
      <c r="C2319" t="s">
        <v>62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3158</v>
      </c>
      <c r="C2320" t="s">
        <v>3159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8501</v>
      </c>
      <c r="C2321" t="s">
        <v>62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3160</v>
      </c>
      <c r="C2322" t="s">
        <v>3161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3162</v>
      </c>
      <c r="C2323" t="s">
        <v>3163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8502</v>
      </c>
      <c r="C2324" t="s">
        <v>62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3164</v>
      </c>
      <c r="C2325" t="s">
        <v>3165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3166</v>
      </c>
      <c r="C2326" t="s">
        <v>3167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3168</v>
      </c>
      <c r="C2327" t="s">
        <v>3169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8503</v>
      </c>
      <c r="C2328" t="s">
        <v>62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3170</v>
      </c>
      <c r="C2329" t="s">
        <v>3171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8504</v>
      </c>
      <c r="C2330" t="s">
        <v>62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3172</v>
      </c>
      <c r="C2331" t="s">
        <v>3173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8505</v>
      </c>
      <c r="C2332" t="s">
        <v>62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3174</v>
      </c>
      <c r="C2333" t="s">
        <v>3175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8506</v>
      </c>
      <c r="C2334" t="s">
        <v>62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3176</v>
      </c>
      <c r="C2335" t="s">
        <v>3177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8507</v>
      </c>
      <c r="C2336" t="s">
        <v>8508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3178</v>
      </c>
      <c r="C2337" t="s">
        <v>3179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8509</v>
      </c>
      <c r="C2338" t="s">
        <v>62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3180</v>
      </c>
      <c r="C2339" t="s">
        <v>3181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8510</v>
      </c>
      <c r="C2340" t="s">
        <v>62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3182</v>
      </c>
      <c r="C2341" t="s">
        <v>3183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3184</v>
      </c>
      <c r="C2342" t="s">
        <v>3185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3186</v>
      </c>
      <c r="C2343" t="s">
        <v>3187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8511</v>
      </c>
      <c r="C2344" t="s">
        <v>62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3188</v>
      </c>
      <c r="C2345" t="s">
        <v>3189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8512</v>
      </c>
      <c r="C2346" t="s">
        <v>62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3190</v>
      </c>
      <c r="C2347" t="s">
        <v>3191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8513</v>
      </c>
      <c r="C2348" t="s">
        <v>62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3192</v>
      </c>
      <c r="C2349" t="s">
        <v>3193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3194</v>
      </c>
      <c r="C2350" t="s">
        <v>3195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3196</v>
      </c>
      <c r="C2351" t="s">
        <v>3197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3198</v>
      </c>
      <c r="C2352" t="s">
        <v>3199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3200</v>
      </c>
      <c r="C2353" t="s">
        <v>3201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3202</v>
      </c>
      <c r="C2354" t="s">
        <v>3203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3204</v>
      </c>
      <c r="C2355" t="s">
        <v>3205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8514</v>
      </c>
      <c r="C2356" t="s">
        <v>62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3206</v>
      </c>
      <c r="C2357" t="s">
        <v>3207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8515</v>
      </c>
      <c r="C2358" t="s">
        <v>62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3208</v>
      </c>
      <c r="C2359" t="s">
        <v>3209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8516</v>
      </c>
      <c r="C2360" t="s">
        <v>62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3210</v>
      </c>
      <c r="C2361" t="s">
        <v>3211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3212</v>
      </c>
      <c r="C2362" t="s">
        <v>3213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3214</v>
      </c>
      <c r="C2363" t="s">
        <v>3215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8517</v>
      </c>
      <c r="C2364" t="s">
        <v>62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3216</v>
      </c>
      <c r="C2365" t="s">
        <v>3217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3218</v>
      </c>
      <c r="C2366" t="s">
        <v>3219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3220</v>
      </c>
      <c r="C2367" t="s">
        <v>3221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3222</v>
      </c>
      <c r="C2368" t="s">
        <v>3223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3224</v>
      </c>
      <c r="C2369" t="s">
        <v>3225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3226</v>
      </c>
      <c r="C2370" t="s">
        <v>3227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3228</v>
      </c>
      <c r="C2371" t="s">
        <v>3229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3230</v>
      </c>
      <c r="C2372" t="s">
        <v>3231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8518</v>
      </c>
      <c r="C2373" t="s">
        <v>62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3232</v>
      </c>
      <c r="C2374" t="s">
        <v>3233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3234</v>
      </c>
      <c r="C2375" t="s">
        <v>3235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3236</v>
      </c>
      <c r="C2376" t="s">
        <v>3237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3238</v>
      </c>
      <c r="C2377" t="s">
        <v>3239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8519</v>
      </c>
      <c r="C2378" t="s">
        <v>62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3240</v>
      </c>
      <c r="C2379" t="s">
        <v>9753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3241</v>
      </c>
      <c r="C2380" t="s">
        <v>3242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3243</v>
      </c>
      <c r="C2381" t="s">
        <v>3244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3245</v>
      </c>
      <c r="C2382" t="s">
        <v>3246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3247</v>
      </c>
      <c r="C2383" t="s">
        <v>3248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3249</v>
      </c>
      <c r="C2384" t="s">
        <v>9754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3250</v>
      </c>
      <c r="C2385" t="s">
        <v>3251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3252</v>
      </c>
      <c r="C2386" t="s">
        <v>3253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3254</v>
      </c>
      <c r="C2387" t="s">
        <v>3255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3256</v>
      </c>
      <c r="C2388" t="s">
        <v>3257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3258</v>
      </c>
      <c r="C2389" t="s">
        <v>3259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8520</v>
      </c>
      <c r="C2390" t="s">
        <v>62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3260</v>
      </c>
      <c r="C2391" t="s">
        <v>3261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3262</v>
      </c>
      <c r="C2392" t="s">
        <v>62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3263</v>
      </c>
      <c r="C2393" t="s">
        <v>3264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3265</v>
      </c>
      <c r="C2394" t="s">
        <v>3266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3267</v>
      </c>
      <c r="C2395" t="s">
        <v>3268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8521</v>
      </c>
      <c r="C2396" t="s">
        <v>62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3269</v>
      </c>
      <c r="C2397" t="s">
        <v>3270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3271</v>
      </c>
      <c r="C2398" t="s">
        <v>3272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3273</v>
      </c>
      <c r="C2399" t="s">
        <v>3274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3275</v>
      </c>
      <c r="C2400" t="s">
        <v>3276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3277</v>
      </c>
      <c r="C2401" t="s">
        <v>3278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3279</v>
      </c>
      <c r="C2402" t="s">
        <v>3280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3281</v>
      </c>
      <c r="C2403" t="s">
        <v>3282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3283</v>
      </c>
      <c r="C2404" t="s">
        <v>3284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3285</v>
      </c>
      <c r="C2405" t="s">
        <v>3286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3287</v>
      </c>
      <c r="C2406" t="s">
        <v>3288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3289</v>
      </c>
      <c r="C2407" t="s">
        <v>3290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3291</v>
      </c>
      <c r="C2408" t="s">
        <v>3292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3293</v>
      </c>
      <c r="C2409" t="s">
        <v>3294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3295</v>
      </c>
      <c r="C2410" t="s">
        <v>3296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3297</v>
      </c>
      <c r="C2411" t="s">
        <v>3298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3299</v>
      </c>
      <c r="C2412" t="s">
        <v>3300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3301</v>
      </c>
      <c r="C2413" t="s">
        <v>3302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3303</v>
      </c>
      <c r="C2414" t="s">
        <v>3304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8522</v>
      </c>
      <c r="C2415" t="s">
        <v>62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3305</v>
      </c>
      <c r="C2416" t="s">
        <v>3306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3307</v>
      </c>
      <c r="C2417" t="s">
        <v>3308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3309</v>
      </c>
      <c r="C2418" t="s">
        <v>3310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3311</v>
      </c>
      <c r="C2419" t="s">
        <v>3312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3313</v>
      </c>
      <c r="C2420" t="s">
        <v>3314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8523</v>
      </c>
      <c r="C2421" t="s">
        <v>62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3315</v>
      </c>
      <c r="C2422" t="s">
        <v>3316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9755</v>
      </c>
      <c r="C2423" t="s">
        <v>9756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9757</v>
      </c>
      <c r="C2424" t="s">
        <v>9758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9759</v>
      </c>
      <c r="C2425" t="s">
        <v>9760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9761</v>
      </c>
      <c r="C2426" t="s">
        <v>9762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9763</v>
      </c>
      <c r="C2427" t="s">
        <v>9764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9765</v>
      </c>
      <c r="C2428" t="s">
        <v>9766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9767</v>
      </c>
      <c r="C2429" t="s">
        <v>9768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3317</v>
      </c>
      <c r="C2430" t="s">
        <v>3318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3319</v>
      </c>
      <c r="C2431" t="s">
        <v>3320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3321</v>
      </c>
      <c r="C2432" t="s">
        <v>3322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3323</v>
      </c>
      <c r="C2433" t="s">
        <v>3324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3325</v>
      </c>
      <c r="C2434" t="s">
        <v>3326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3327</v>
      </c>
      <c r="C2435" t="s">
        <v>3328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3329</v>
      </c>
      <c r="C2436" t="s">
        <v>3330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3331</v>
      </c>
      <c r="C2437" t="s">
        <v>3332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3333</v>
      </c>
      <c r="C2438" t="s">
        <v>3334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3335</v>
      </c>
      <c r="C2439" t="s">
        <v>3336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3337</v>
      </c>
      <c r="C2440" t="s">
        <v>3338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3339</v>
      </c>
      <c r="C2441" t="s">
        <v>3340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3341</v>
      </c>
      <c r="C2442" t="s">
        <v>3342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3343</v>
      </c>
      <c r="C2443" t="s">
        <v>3344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3345</v>
      </c>
      <c r="C2444" t="s">
        <v>3346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3347</v>
      </c>
      <c r="C2445" t="s">
        <v>3348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3349</v>
      </c>
      <c r="C2446" t="s">
        <v>3350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3351</v>
      </c>
      <c r="C2447" t="s">
        <v>3352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3353</v>
      </c>
      <c r="C2448" t="s">
        <v>3354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3355</v>
      </c>
      <c r="C2449" t="s">
        <v>3356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3357</v>
      </c>
      <c r="C2450" t="s">
        <v>3358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3359</v>
      </c>
      <c r="C2451" t="s">
        <v>3360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3361</v>
      </c>
      <c r="C2452" t="s">
        <v>3362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3363</v>
      </c>
      <c r="C2453" t="s">
        <v>3364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3365</v>
      </c>
      <c r="C2454" t="s">
        <v>3366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3367</v>
      </c>
      <c r="C2455" t="s">
        <v>3368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8524</v>
      </c>
      <c r="C2456" t="s">
        <v>62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3369</v>
      </c>
      <c r="C2457" t="s">
        <v>3370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3371</v>
      </c>
      <c r="C2458" t="s">
        <v>3372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3373</v>
      </c>
      <c r="C2459" t="s">
        <v>3374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3375</v>
      </c>
      <c r="C2460" t="s">
        <v>3376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3377</v>
      </c>
      <c r="C2461" t="s">
        <v>3378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3379</v>
      </c>
      <c r="C2462" t="s">
        <v>3380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3381</v>
      </c>
      <c r="C2463" t="s">
        <v>3382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8525</v>
      </c>
      <c r="C2464" t="s">
        <v>62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3383</v>
      </c>
      <c r="C2465" t="s">
        <v>3384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3385</v>
      </c>
      <c r="C2466" t="s">
        <v>3386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8526</v>
      </c>
      <c r="C2467" t="s">
        <v>62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3387</v>
      </c>
      <c r="C2468" t="s">
        <v>3388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3389</v>
      </c>
      <c r="C2469" t="s">
        <v>3390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8527</v>
      </c>
      <c r="C2470" t="s">
        <v>62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3391</v>
      </c>
      <c r="C2471" t="s">
        <v>3392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8528</v>
      </c>
      <c r="C2472" t="s">
        <v>62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3393</v>
      </c>
      <c r="C2473" t="s">
        <v>3394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8529</v>
      </c>
      <c r="C2474" t="s">
        <v>62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3395</v>
      </c>
      <c r="C2475" t="s">
        <v>3396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8530</v>
      </c>
      <c r="C2476" t="s">
        <v>62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3397</v>
      </c>
      <c r="C2477" t="s">
        <v>3398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3399</v>
      </c>
      <c r="C2478" t="s">
        <v>3400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8531</v>
      </c>
      <c r="C2479" t="s">
        <v>62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3401</v>
      </c>
      <c r="C2480" t="s">
        <v>3402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3403</v>
      </c>
      <c r="C2481" t="s">
        <v>3404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3405</v>
      </c>
      <c r="C2482" t="s">
        <v>3406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3407</v>
      </c>
      <c r="C2483" t="s">
        <v>3408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3409</v>
      </c>
      <c r="C2484" t="s">
        <v>3410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3411</v>
      </c>
      <c r="C2485" t="s">
        <v>3412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8532</v>
      </c>
      <c r="C2486" t="s">
        <v>62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3413</v>
      </c>
      <c r="C2487" t="s">
        <v>3414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8533</v>
      </c>
      <c r="C2488" t="s">
        <v>62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3415</v>
      </c>
      <c r="C2489" t="s">
        <v>3416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8534</v>
      </c>
      <c r="C2490" t="s">
        <v>62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3417</v>
      </c>
      <c r="C2491" t="s">
        <v>3418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8535</v>
      </c>
      <c r="C2492" t="s">
        <v>62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3419</v>
      </c>
      <c r="C2493" t="s">
        <v>3420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3421</v>
      </c>
      <c r="C2494" t="s">
        <v>3422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8536</v>
      </c>
      <c r="C2495" t="s">
        <v>62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3423</v>
      </c>
      <c r="C2496" t="s">
        <v>3424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3425</v>
      </c>
      <c r="C2497" t="s">
        <v>3426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3427</v>
      </c>
      <c r="C2498" t="s">
        <v>3428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8537</v>
      </c>
      <c r="C2499" t="s">
        <v>62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3429</v>
      </c>
      <c r="C2500" t="s">
        <v>3430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3431</v>
      </c>
      <c r="C2501" t="s">
        <v>3432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8538</v>
      </c>
      <c r="C2502" t="s">
        <v>62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3433</v>
      </c>
      <c r="C2503" t="s">
        <v>3434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3435</v>
      </c>
      <c r="C2504" t="s">
        <v>3436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8539</v>
      </c>
      <c r="C2505" t="s">
        <v>62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3437</v>
      </c>
      <c r="C2506" t="s">
        <v>3438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3439</v>
      </c>
      <c r="C2507" t="s">
        <v>3440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3441</v>
      </c>
      <c r="C2508" t="s">
        <v>3442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8540</v>
      </c>
      <c r="C2509" t="s">
        <v>62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3443</v>
      </c>
      <c r="C2510" t="s">
        <v>3444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8541</v>
      </c>
      <c r="C2511" t="s">
        <v>62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3445</v>
      </c>
      <c r="C2512" t="s">
        <v>3446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8542</v>
      </c>
      <c r="C2513" t="s">
        <v>62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3447</v>
      </c>
      <c r="C2514" t="s">
        <v>3448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8543</v>
      </c>
      <c r="C2515" t="s">
        <v>62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3449</v>
      </c>
      <c r="C2516" t="s">
        <v>3450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3451</v>
      </c>
      <c r="C2517" t="s">
        <v>3452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3453</v>
      </c>
      <c r="C2518" t="s">
        <v>3454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8544</v>
      </c>
      <c r="C2519" t="s">
        <v>62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3455</v>
      </c>
      <c r="C2520" t="s">
        <v>3456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8545</v>
      </c>
      <c r="C2521" t="s">
        <v>62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3457</v>
      </c>
      <c r="C2522" t="s">
        <v>3458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3459</v>
      </c>
      <c r="C2523" t="s">
        <v>3460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3461</v>
      </c>
      <c r="C2524" t="s">
        <v>3462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3463</v>
      </c>
      <c r="C2525" t="s">
        <v>3464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8546</v>
      </c>
      <c r="C2526" t="s">
        <v>62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3465</v>
      </c>
      <c r="C2527" t="s">
        <v>3466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8547</v>
      </c>
      <c r="C2528" t="s">
        <v>62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3467</v>
      </c>
      <c r="C2529" t="s">
        <v>3468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8548</v>
      </c>
      <c r="C2530" t="s">
        <v>62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3469</v>
      </c>
      <c r="C2531" t="s">
        <v>3470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3471</v>
      </c>
      <c r="C2532" t="s">
        <v>3472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8549</v>
      </c>
      <c r="C2533" t="s">
        <v>62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3473</v>
      </c>
      <c r="C2534" t="s">
        <v>3474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8550</v>
      </c>
      <c r="C2535" t="s">
        <v>62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3475</v>
      </c>
      <c r="C2536" t="s">
        <v>3476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8551</v>
      </c>
      <c r="C2537" t="s">
        <v>62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3477</v>
      </c>
      <c r="C2538" t="s">
        <v>3478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3479</v>
      </c>
      <c r="C2539" t="s">
        <v>3480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9769</v>
      </c>
      <c r="C2540" t="s">
        <v>9770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3481</v>
      </c>
      <c r="C2541" t="s">
        <v>3482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3483</v>
      </c>
      <c r="C2542" t="s">
        <v>3484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8552</v>
      </c>
      <c r="C2543" t="s">
        <v>62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3485</v>
      </c>
      <c r="C2544" t="s">
        <v>3486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3487</v>
      </c>
      <c r="C2545" t="s">
        <v>3488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3489</v>
      </c>
      <c r="C2546" t="s">
        <v>3490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8553</v>
      </c>
      <c r="C2547" t="s">
        <v>62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3491</v>
      </c>
      <c r="C2548" t="s">
        <v>3492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8554</v>
      </c>
      <c r="C2549" t="s">
        <v>62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3493</v>
      </c>
      <c r="C2550" t="s">
        <v>3494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8555</v>
      </c>
      <c r="C2551" t="s">
        <v>62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3495</v>
      </c>
      <c r="C2552" t="s">
        <v>3496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3497</v>
      </c>
      <c r="C2553" t="s">
        <v>3498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3499</v>
      </c>
      <c r="C2554" t="s">
        <v>3500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3501</v>
      </c>
      <c r="C2555" t="s">
        <v>3502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8556</v>
      </c>
      <c r="C2556" t="s">
        <v>62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3503</v>
      </c>
      <c r="C2557" t="s">
        <v>3504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3505</v>
      </c>
      <c r="C2558" t="s">
        <v>3506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3507</v>
      </c>
      <c r="C2559" t="s">
        <v>3508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8557</v>
      </c>
      <c r="C2560" t="s">
        <v>62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3509</v>
      </c>
      <c r="C2561" t="s">
        <v>3510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3511</v>
      </c>
      <c r="C2562" t="s">
        <v>3512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3513</v>
      </c>
      <c r="C2563" t="s">
        <v>3514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3515</v>
      </c>
      <c r="C2564" t="s">
        <v>3516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3517</v>
      </c>
      <c r="C2565" t="s">
        <v>3518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3519</v>
      </c>
      <c r="C2566" t="s">
        <v>3520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3521</v>
      </c>
      <c r="C2567" t="s">
        <v>3522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3523</v>
      </c>
      <c r="C2568" t="s">
        <v>3524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3525</v>
      </c>
      <c r="C2569" t="s">
        <v>3526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3527</v>
      </c>
      <c r="C2570" t="s">
        <v>3528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3529</v>
      </c>
      <c r="C2571" t="s">
        <v>3530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3531</v>
      </c>
      <c r="C2572" t="s">
        <v>3532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8558</v>
      </c>
      <c r="C2573" t="s">
        <v>62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3533</v>
      </c>
      <c r="C2574" t="s">
        <v>3534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3535</v>
      </c>
      <c r="C2575" t="s">
        <v>3536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8559</v>
      </c>
      <c r="C2576" t="s">
        <v>62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3537</v>
      </c>
      <c r="C2577" t="s">
        <v>3538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3539</v>
      </c>
      <c r="C2578" t="s">
        <v>3540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8560</v>
      </c>
      <c r="C2579" t="s">
        <v>62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3541</v>
      </c>
      <c r="C2580" t="s">
        <v>3542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3543</v>
      </c>
      <c r="C2581" t="s">
        <v>3544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3545</v>
      </c>
      <c r="C2582" t="s">
        <v>3546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3547</v>
      </c>
      <c r="C2583" t="s">
        <v>3548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3549</v>
      </c>
      <c r="C2584" t="s">
        <v>3550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3551</v>
      </c>
      <c r="C2585" t="s">
        <v>3552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3553</v>
      </c>
      <c r="C2586" t="s">
        <v>3554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3555</v>
      </c>
      <c r="C2587" t="s">
        <v>3556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3557</v>
      </c>
      <c r="C2588" t="s">
        <v>3558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3559</v>
      </c>
      <c r="C2589" t="s">
        <v>3560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3561</v>
      </c>
      <c r="C2590" t="s">
        <v>3562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3563</v>
      </c>
      <c r="C2591" t="s">
        <v>3564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3565</v>
      </c>
      <c r="C2592" t="s">
        <v>3566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8561</v>
      </c>
      <c r="C2593" t="s">
        <v>62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3567</v>
      </c>
      <c r="C2594" t="s">
        <v>3568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3569</v>
      </c>
      <c r="C2595" t="s">
        <v>3570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9771</v>
      </c>
      <c r="C2596" t="s">
        <v>9772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8562</v>
      </c>
      <c r="C2597" t="s">
        <v>62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3571</v>
      </c>
      <c r="C2598" t="s">
        <v>9773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3572</v>
      </c>
      <c r="C2599" t="s">
        <v>9774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3573</v>
      </c>
      <c r="C2600" t="s">
        <v>3574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3575</v>
      </c>
      <c r="C2601" t="s">
        <v>3576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3577</v>
      </c>
      <c r="C2602" t="s">
        <v>3578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3579</v>
      </c>
      <c r="C2603" t="s">
        <v>3580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8563</v>
      </c>
      <c r="C2604" t="s">
        <v>62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3581</v>
      </c>
      <c r="C2605" t="s">
        <v>3582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3583</v>
      </c>
      <c r="C2606" t="s">
        <v>3584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3585</v>
      </c>
      <c r="C2607" t="s">
        <v>3586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3587</v>
      </c>
      <c r="C2608" t="s">
        <v>3588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3589</v>
      </c>
      <c r="C2609" t="s">
        <v>3590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3591</v>
      </c>
      <c r="C2610" t="s">
        <v>3592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3593</v>
      </c>
      <c r="C2611" t="s">
        <v>3594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3595</v>
      </c>
      <c r="C2612" t="s">
        <v>3594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3596</v>
      </c>
      <c r="C2613" t="s">
        <v>3597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3598</v>
      </c>
      <c r="C2614" t="s">
        <v>3599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3600</v>
      </c>
      <c r="C2615" t="s">
        <v>3601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3602</v>
      </c>
      <c r="C2616" t="s">
        <v>3603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3604</v>
      </c>
      <c r="C2617" t="s">
        <v>3605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3606</v>
      </c>
      <c r="C2618" t="s">
        <v>3607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8564</v>
      </c>
      <c r="C2619" t="s">
        <v>62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3608</v>
      </c>
      <c r="C2620" t="s">
        <v>3609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8565</v>
      </c>
      <c r="C2621" t="s">
        <v>62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3610</v>
      </c>
      <c r="C2622" t="s">
        <v>3611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3612</v>
      </c>
      <c r="C2623" t="s">
        <v>3613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3614</v>
      </c>
      <c r="C2624" t="s">
        <v>3615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3616</v>
      </c>
      <c r="C2625" t="s">
        <v>3617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8566</v>
      </c>
      <c r="C2626" t="s">
        <v>62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3618</v>
      </c>
      <c r="C2627" t="s">
        <v>3619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3620</v>
      </c>
      <c r="C2628" t="s">
        <v>3621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8567</v>
      </c>
      <c r="C2629" t="s">
        <v>8568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3622</v>
      </c>
      <c r="C2630" t="s">
        <v>3623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3624</v>
      </c>
      <c r="C2631" t="s">
        <v>3625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3626</v>
      </c>
      <c r="C2632" t="s">
        <v>3627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8569</v>
      </c>
      <c r="C2633" t="s">
        <v>62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3628</v>
      </c>
      <c r="C2634" t="s">
        <v>3629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3630</v>
      </c>
      <c r="C2635" t="s">
        <v>3631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3632</v>
      </c>
      <c r="C2636" t="s">
        <v>3633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3634</v>
      </c>
      <c r="C2637" t="s">
        <v>9775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3635</v>
      </c>
      <c r="C2638" t="s">
        <v>3636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3637</v>
      </c>
      <c r="C2639" t="s">
        <v>3638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3639</v>
      </c>
      <c r="C2640" t="s">
        <v>3640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3641</v>
      </c>
      <c r="C2641" t="s">
        <v>3642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3643</v>
      </c>
      <c r="C2642" t="s">
        <v>3644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8570</v>
      </c>
      <c r="C2643" t="s">
        <v>62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3645</v>
      </c>
      <c r="C2644" t="s">
        <v>3646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3647</v>
      </c>
      <c r="C2645" t="s">
        <v>3648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8571</v>
      </c>
      <c r="C2646" t="s">
        <v>62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3649</v>
      </c>
      <c r="C2647" t="s">
        <v>3650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8572</v>
      </c>
      <c r="C2648" t="s">
        <v>62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3651</v>
      </c>
      <c r="C2649" t="s">
        <v>3652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3653</v>
      </c>
      <c r="C2650" t="s">
        <v>3654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3655</v>
      </c>
      <c r="C2651" t="s">
        <v>3656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3657</v>
      </c>
      <c r="C2652" t="s">
        <v>3658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3659</v>
      </c>
      <c r="C2653" t="s">
        <v>3660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8573</v>
      </c>
      <c r="C2654" t="s">
        <v>62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3661</v>
      </c>
      <c r="C2655" t="s">
        <v>3662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3663</v>
      </c>
      <c r="C2656" t="s">
        <v>3664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3665</v>
      </c>
      <c r="C2657" t="s">
        <v>3666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3667</v>
      </c>
      <c r="C2658" t="s">
        <v>3668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3669</v>
      </c>
      <c r="C2659" t="s">
        <v>3670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3671</v>
      </c>
      <c r="C2660" t="s">
        <v>3672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8574</v>
      </c>
      <c r="C2661" t="s">
        <v>62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3673</v>
      </c>
      <c r="C2662" t="s">
        <v>3674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3675</v>
      </c>
      <c r="C2663" t="s">
        <v>3676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3677</v>
      </c>
      <c r="C2664" t="s">
        <v>3678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3679</v>
      </c>
      <c r="C2665" t="s">
        <v>3680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3681</v>
      </c>
      <c r="C2666" t="s">
        <v>3682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3683</v>
      </c>
      <c r="C2667" t="s">
        <v>3684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3685</v>
      </c>
      <c r="C2668" t="s">
        <v>3686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3687</v>
      </c>
      <c r="C2669" t="s">
        <v>3688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3689</v>
      </c>
      <c r="C2670" t="s">
        <v>3690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3691</v>
      </c>
      <c r="C2671" t="s">
        <v>3692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3693</v>
      </c>
      <c r="C2672" t="s">
        <v>3694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3695</v>
      </c>
      <c r="C2673" t="s">
        <v>3696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3697</v>
      </c>
      <c r="C2674" t="s">
        <v>3698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3699</v>
      </c>
      <c r="C2675" t="s">
        <v>3700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8575</v>
      </c>
      <c r="C2676" t="s">
        <v>62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3701</v>
      </c>
      <c r="C2677" t="s">
        <v>3702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8576</v>
      </c>
      <c r="C2678" t="s">
        <v>62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3703</v>
      </c>
      <c r="C2679" t="s">
        <v>3704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3705</v>
      </c>
      <c r="C2680" t="s">
        <v>3706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8577</v>
      </c>
      <c r="C2681" t="s">
        <v>62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3707</v>
      </c>
      <c r="C2682" t="s">
        <v>3708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3709</v>
      </c>
      <c r="C2683" t="s">
        <v>3710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8578</v>
      </c>
      <c r="C2684" t="s">
        <v>62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3711</v>
      </c>
      <c r="C2685" t="s">
        <v>3712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8579</v>
      </c>
      <c r="C2686" t="s">
        <v>62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3713</v>
      </c>
      <c r="C2687" t="s">
        <v>3714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8580</v>
      </c>
      <c r="C2688" t="s">
        <v>62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3715</v>
      </c>
      <c r="C2689" t="s">
        <v>3716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3717</v>
      </c>
      <c r="C2690" t="s">
        <v>3718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3719</v>
      </c>
      <c r="C2691" t="s">
        <v>3720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8581</v>
      </c>
      <c r="C2692" t="s">
        <v>62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3721</v>
      </c>
      <c r="C2693" t="s">
        <v>3722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3723</v>
      </c>
      <c r="C2694" t="s">
        <v>3724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8582</v>
      </c>
      <c r="C2695" t="s">
        <v>62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3725</v>
      </c>
      <c r="C2696" t="s">
        <v>3726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3727</v>
      </c>
      <c r="C2697" t="s">
        <v>3728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9776</v>
      </c>
      <c r="C2698" t="s">
        <v>9777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3729</v>
      </c>
      <c r="C2699" t="s">
        <v>62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3730</v>
      </c>
      <c r="C2700" t="s">
        <v>3731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8583</v>
      </c>
      <c r="C2701" t="s">
        <v>62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3732</v>
      </c>
      <c r="C2702" t="s">
        <v>3733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8584</v>
      </c>
      <c r="C2703" t="s">
        <v>62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3734</v>
      </c>
      <c r="C2704" t="s">
        <v>3735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8585</v>
      </c>
      <c r="C2705" t="s">
        <v>62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3736</v>
      </c>
      <c r="C2706" t="s">
        <v>3737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3738</v>
      </c>
      <c r="C2707" t="s">
        <v>3739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3740</v>
      </c>
      <c r="C2708" t="s">
        <v>3741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8586</v>
      </c>
      <c r="C2709" t="s">
        <v>62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3742</v>
      </c>
      <c r="C2710" t="s">
        <v>3743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8587</v>
      </c>
      <c r="C2711" t="s">
        <v>62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3744</v>
      </c>
      <c r="C2712" t="s">
        <v>3745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9778</v>
      </c>
      <c r="C2713" t="s">
        <v>9779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9780</v>
      </c>
      <c r="C2714" t="s">
        <v>9781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3746</v>
      </c>
      <c r="C2715" t="s">
        <v>3747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8588</v>
      </c>
      <c r="C2716" t="s">
        <v>62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3748</v>
      </c>
      <c r="C2717" t="s">
        <v>3749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3750</v>
      </c>
      <c r="C2718" t="s">
        <v>3751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3752</v>
      </c>
      <c r="C2719" t="s">
        <v>3753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3754</v>
      </c>
      <c r="C2720" t="s">
        <v>3755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8589</v>
      </c>
      <c r="C2721" t="s">
        <v>62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3756</v>
      </c>
      <c r="C2722" t="s">
        <v>3757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3758</v>
      </c>
      <c r="C2723" t="s">
        <v>3759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3760</v>
      </c>
      <c r="C2724" t="s">
        <v>3761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3762</v>
      </c>
      <c r="C2725" t="s">
        <v>3763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3764</v>
      </c>
      <c r="C2726" t="s">
        <v>3765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3766</v>
      </c>
      <c r="C2727" t="s">
        <v>3767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3768</v>
      </c>
      <c r="C2728" t="s">
        <v>3769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3770</v>
      </c>
      <c r="C2729" t="s">
        <v>3771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8590</v>
      </c>
      <c r="C2730" t="s">
        <v>62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3772</v>
      </c>
      <c r="C2731" t="s">
        <v>3773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3774</v>
      </c>
      <c r="C2732" t="s">
        <v>3775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8591</v>
      </c>
      <c r="C2733" t="s">
        <v>62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3776</v>
      </c>
      <c r="C2734" t="s">
        <v>3777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8592</v>
      </c>
      <c r="C2735" t="s">
        <v>62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3778</v>
      </c>
      <c r="C2736" t="s">
        <v>3779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8593</v>
      </c>
      <c r="C2737" t="s">
        <v>62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3780</v>
      </c>
      <c r="C2738" t="s">
        <v>3781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8594</v>
      </c>
      <c r="C2739" t="s">
        <v>62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3782</v>
      </c>
      <c r="C2740" t="s">
        <v>3783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8595</v>
      </c>
      <c r="C2741" t="s">
        <v>62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3784</v>
      </c>
      <c r="C2742" t="s">
        <v>3785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3786</v>
      </c>
      <c r="C2743" t="s">
        <v>62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3787</v>
      </c>
      <c r="C2744" t="s">
        <v>3788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3789</v>
      </c>
      <c r="C2745" t="s">
        <v>62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3790</v>
      </c>
      <c r="C2746" t="s">
        <v>3791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3792</v>
      </c>
      <c r="C2747" t="s">
        <v>3793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8596</v>
      </c>
      <c r="C2748" t="s">
        <v>62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3794</v>
      </c>
      <c r="C2749" t="s">
        <v>3795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3796</v>
      </c>
      <c r="C2750" t="s">
        <v>3797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8597</v>
      </c>
      <c r="C2751" t="s">
        <v>62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3798</v>
      </c>
      <c r="C2752" t="s">
        <v>3799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3800</v>
      </c>
      <c r="C2753" t="s">
        <v>3801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3802</v>
      </c>
      <c r="C2754" t="s">
        <v>3803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3804</v>
      </c>
      <c r="C2755" t="s">
        <v>3805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3806</v>
      </c>
      <c r="C2756" t="s">
        <v>3807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3808</v>
      </c>
      <c r="C2757" t="s">
        <v>3809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8598</v>
      </c>
      <c r="C2758" t="s">
        <v>62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3810</v>
      </c>
      <c r="C2759" t="s">
        <v>3811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8599</v>
      </c>
      <c r="C2760" t="s">
        <v>62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3812</v>
      </c>
      <c r="C2761" t="s">
        <v>3813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8600</v>
      </c>
      <c r="C2762" t="s">
        <v>62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3814</v>
      </c>
      <c r="C2763" t="s">
        <v>3815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3816</v>
      </c>
      <c r="C2764" t="s">
        <v>3817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8601</v>
      </c>
      <c r="C2765" t="s">
        <v>62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3818</v>
      </c>
      <c r="C2766" t="s">
        <v>3819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8602</v>
      </c>
      <c r="C2767" t="s">
        <v>62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3820</v>
      </c>
      <c r="C2768" t="s">
        <v>3821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8603</v>
      </c>
      <c r="C2769" t="s">
        <v>62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3822</v>
      </c>
      <c r="C2770" t="s">
        <v>3823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8604</v>
      </c>
      <c r="C2771" t="s">
        <v>62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3824</v>
      </c>
      <c r="C2772" t="s">
        <v>3825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3826</v>
      </c>
      <c r="C2773" t="s">
        <v>3827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3828</v>
      </c>
      <c r="C2774" t="s">
        <v>62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3829</v>
      </c>
      <c r="C2775" t="s">
        <v>3830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3831</v>
      </c>
      <c r="C2776" t="s">
        <v>3832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3833</v>
      </c>
      <c r="C2777" t="s">
        <v>3834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3835</v>
      </c>
      <c r="C2778" t="s">
        <v>3836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3837</v>
      </c>
      <c r="C2779" t="s">
        <v>3838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8605</v>
      </c>
      <c r="C2780" t="s">
        <v>62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3839</v>
      </c>
      <c r="C2781" t="s">
        <v>3840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3841</v>
      </c>
      <c r="C2782" t="s">
        <v>3842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3843</v>
      </c>
      <c r="C2783" t="s">
        <v>3844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8606</v>
      </c>
      <c r="C2784" t="s">
        <v>62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3845</v>
      </c>
      <c r="C2785" t="s">
        <v>3846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3847</v>
      </c>
      <c r="C2786" t="s">
        <v>3848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3849</v>
      </c>
      <c r="C2787" t="s">
        <v>3850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3851</v>
      </c>
      <c r="C2788" t="s">
        <v>3852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3853</v>
      </c>
      <c r="C2789" t="s">
        <v>3854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3855</v>
      </c>
      <c r="C2790" t="s">
        <v>3856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3857</v>
      </c>
      <c r="C2791" t="s">
        <v>3858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3859</v>
      </c>
      <c r="C2792" t="s">
        <v>3860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3861</v>
      </c>
      <c r="C2793" t="s">
        <v>3862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3863</v>
      </c>
      <c r="C2794" t="s">
        <v>3864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3865</v>
      </c>
      <c r="C2795" t="s">
        <v>3866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3867</v>
      </c>
      <c r="C2796" t="s">
        <v>3868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8607</v>
      </c>
      <c r="C2797" t="s">
        <v>62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3869</v>
      </c>
      <c r="C2798" t="s">
        <v>62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3870</v>
      </c>
      <c r="C2799" t="s">
        <v>3871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3872</v>
      </c>
      <c r="C2800" t="s">
        <v>3873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3874</v>
      </c>
      <c r="C2801" t="s">
        <v>3875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8608</v>
      </c>
      <c r="C2802" t="s">
        <v>62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3876</v>
      </c>
      <c r="C2803" t="s">
        <v>3877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8609</v>
      </c>
      <c r="C2804" t="s">
        <v>62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3878</v>
      </c>
      <c r="C2805" t="s">
        <v>3879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3880</v>
      </c>
      <c r="C2806" t="s">
        <v>3881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3882</v>
      </c>
      <c r="C2807" t="s">
        <v>62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3883</v>
      </c>
      <c r="C2808" t="s">
        <v>3884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8610</v>
      </c>
      <c r="C2809" t="s">
        <v>62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3885</v>
      </c>
      <c r="C2810" t="s">
        <v>3886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3887</v>
      </c>
      <c r="C2811" t="s">
        <v>62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3888</v>
      </c>
      <c r="C2812" t="s">
        <v>3889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3890</v>
      </c>
      <c r="C2813" t="s">
        <v>62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3891</v>
      </c>
      <c r="C2814" t="s">
        <v>9782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3892</v>
      </c>
      <c r="C2815" t="s">
        <v>3893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3894</v>
      </c>
      <c r="C2816" t="s">
        <v>3895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3896</v>
      </c>
      <c r="C2817" t="s">
        <v>3897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3898</v>
      </c>
      <c r="C2818" t="s">
        <v>3899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3900</v>
      </c>
      <c r="C2819" t="s">
        <v>3901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8611</v>
      </c>
      <c r="C2820" t="s">
        <v>62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3902</v>
      </c>
      <c r="C2821" t="s">
        <v>3903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3904</v>
      </c>
      <c r="C2822" t="s">
        <v>3905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3906</v>
      </c>
      <c r="C2823" t="s">
        <v>62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3907</v>
      </c>
      <c r="C2824" t="s">
        <v>3908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3909</v>
      </c>
      <c r="C2825" t="s">
        <v>3910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9783</v>
      </c>
      <c r="C2826" t="s">
        <v>9784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3911</v>
      </c>
      <c r="C2827" t="s">
        <v>62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3912</v>
      </c>
      <c r="C2828" t="s">
        <v>3913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3914</v>
      </c>
      <c r="C2829" t="s">
        <v>3915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8612</v>
      </c>
      <c r="C2830" t="s">
        <v>62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3916</v>
      </c>
      <c r="C2831" t="s">
        <v>3917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8613</v>
      </c>
      <c r="C2832" t="s">
        <v>62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3918</v>
      </c>
      <c r="C2833" t="s">
        <v>3919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8614</v>
      </c>
      <c r="C2834" t="s">
        <v>62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3920</v>
      </c>
      <c r="C2835" t="s">
        <v>3921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3922</v>
      </c>
      <c r="C2836" t="s">
        <v>3923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8615</v>
      </c>
      <c r="C2837" t="s">
        <v>62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3924</v>
      </c>
      <c r="C2838" t="s">
        <v>3925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3926</v>
      </c>
      <c r="C2839" t="s">
        <v>3927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3928</v>
      </c>
      <c r="C2840" t="s">
        <v>3929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3930</v>
      </c>
      <c r="C2841" t="s">
        <v>3931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3932</v>
      </c>
      <c r="C2842" t="s">
        <v>3933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3934</v>
      </c>
      <c r="C2843" t="s">
        <v>3935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8616</v>
      </c>
      <c r="C2844" t="s">
        <v>62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3936</v>
      </c>
      <c r="C2845" t="s">
        <v>3937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3938</v>
      </c>
      <c r="C2846" t="s">
        <v>3939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8617</v>
      </c>
      <c r="C2847" t="s">
        <v>62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3940</v>
      </c>
      <c r="C2848" t="s">
        <v>3941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3942</v>
      </c>
      <c r="C2849" t="s">
        <v>3943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3944</v>
      </c>
      <c r="C2850" t="s">
        <v>3945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3946</v>
      </c>
      <c r="C2851" t="s">
        <v>3947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3948</v>
      </c>
      <c r="C2852" t="s">
        <v>62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3949</v>
      </c>
      <c r="C2853" t="s">
        <v>3950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8618</v>
      </c>
      <c r="C2854" t="s">
        <v>62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3951</v>
      </c>
      <c r="C2855" t="s">
        <v>3952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8619</v>
      </c>
      <c r="C2856" t="s">
        <v>62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3953</v>
      </c>
      <c r="C2857" t="s">
        <v>3954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8620</v>
      </c>
      <c r="C2858" t="s">
        <v>62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3955</v>
      </c>
      <c r="C2859" t="s">
        <v>3956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3957</v>
      </c>
      <c r="C2860" t="s">
        <v>3958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3959</v>
      </c>
      <c r="C2861" t="s">
        <v>3960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8621</v>
      </c>
      <c r="C2862" t="s">
        <v>62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3961</v>
      </c>
      <c r="C2863" t="s">
        <v>3962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8622</v>
      </c>
      <c r="C2864" t="s">
        <v>62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3963</v>
      </c>
      <c r="C2865" t="s">
        <v>3964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3965</v>
      </c>
      <c r="C2866" t="s">
        <v>3966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3967</v>
      </c>
      <c r="C2867" t="s">
        <v>3968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3969</v>
      </c>
      <c r="C2868" t="s">
        <v>3970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3971</v>
      </c>
      <c r="C2869" t="s">
        <v>3972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3973</v>
      </c>
      <c r="C2870" t="s">
        <v>3974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8623</v>
      </c>
      <c r="C2871" t="s">
        <v>62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3975</v>
      </c>
      <c r="C2872" t="s">
        <v>3976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8624</v>
      </c>
      <c r="C2873" t="s">
        <v>62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3977</v>
      </c>
      <c r="C2874" t="s">
        <v>3978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3979</v>
      </c>
      <c r="C2875" t="s">
        <v>3980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9785</v>
      </c>
      <c r="C2876" t="s">
        <v>9786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3981</v>
      </c>
      <c r="C2877" t="s">
        <v>3982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3983</v>
      </c>
      <c r="C2878" t="s">
        <v>62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3984</v>
      </c>
      <c r="C2879" t="s">
        <v>3985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8625</v>
      </c>
      <c r="C2880" t="s">
        <v>62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3986</v>
      </c>
      <c r="C2881" t="s">
        <v>3987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3988</v>
      </c>
      <c r="C2882" t="s">
        <v>3989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3990</v>
      </c>
      <c r="C2883" t="s">
        <v>3991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3992</v>
      </c>
      <c r="C2884" t="s">
        <v>62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3993</v>
      </c>
      <c r="C2885" t="s">
        <v>3994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8626</v>
      </c>
      <c r="C2886" t="s">
        <v>62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3995</v>
      </c>
      <c r="C2887" t="s">
        <v>3996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3997</v>
      </c>
      <c r="C2888" t="s">
        <v>3998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3999</v>
      </c>
      <c r="C2889" t="s">
        <v>4000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4001</v>
      </c>
      <c r="C2890" t="s">
        <v>4002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8627</v>
      </c>
      <c r="C2891" t="s">
        <v>62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4003</v>
      </c>
      <c r="C2892" t="s">
        <v>4004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4005</v>
      </c>
      <c r="C2893" t="s">
        <v>4006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4007</v>
      </c>
      <c r="C2894" t="s">
        <v>4008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4009</v>
      </c>
      <c r="C2895" t="s">
        <v>4010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4011</v>
      </c>
      <c r="C2896" t="s">
        <v>4012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8628</v>
      </c>
      <c r="C2897" t="s">
        <v>62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4013</v>
      </c>
      <c r="C2898" t="s">
        <v>4014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4015</v>
      </c>
      <c r="C2899" t="s">
        <v>4016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8629</v>
      </c>
      <c r="C2900" t="s">
        <v>62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4017</v>
      </c>
      <c r="C2901" t="s">
        <v>4018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8630</v>
      </c>
      <c r="C2902" t="s">
        <v>62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4019</v>
      </c>
      <c r="C2903" t="s">
        <v>4020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4021</v>
      </c>
      <c r="C2904" t="s">
        <v>4022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4023</v>
      </c>
      <c r="C2905" t="s">
        <v>4024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8631</v>
      </c>
      <c r="C2906" t="s">
        <v>62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4025</v>
      </c>
      <c r="C2907" t="s">
        <v>4026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4027</v>
      </c>
      <c r="C2908" t="s">
        <v>4028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4029</v>
      </c>
      <c r="C2909" t="s">
        <v>4030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8632</v>
      </c>
      <c r="C2910" t="s">
        <v>62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4031</v>
      </c>
      <c r="C2911" t="s">
        <v>4032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8633</v>
      </c>
      <c r="C2912" t="s">
        <v>62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4033</v>
      </c>
      <c r="C2913" t="s">
        <v>4034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4035</v>
      </c>
      <c r="C2914" t="s">
        <v>4036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4037</v>
      </c>
      <c r="C2915" t="s">
        <v>4038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4039</v>
      </c>
      <c r="C2916" t="s">
        <v>4040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8634</v>
      </c>
      <c r="C2917" t="s">
        <v>62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4041</v>
      </c>
      <c r="C2918" t="s">
        <v>4042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4043</v>
      </c>
      <c r="C2919" t="s">
        <v>4044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4045</v>
      </c>
      <c r="C2920" t="s">
        <v>4046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4047</v>
      </c>
      <c r="C2921" t="s">
        <v>4048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4049</v>
      </c>
      <c r="C2922" t="s">
        <v>4050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4051</v>
      </c>
      <c r="C2923" t="s">
        <v>4052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4053</v>
      </c>
      <c r="C2924" t="s">
        <v>4054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4055</v>
      </c>
      <c r="C2925" t="s">
        <v>4056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4057</v>
      </c>
      <c r="C2926" t="s">
        <v>4058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8635</v>
      </c>
      <c r="C2927" t="s">
        <v>62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4059</v>
      </c>
      <c r="C2928" t="s">
        <v>4060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4061</v>
      </c>
      <c r="C2929" t="s">
        <v>4062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4063</v>
      </c>
      <c r="C2930" t="s">
        <v>4064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8636</v>
      </c>
      <c r="C2931" t="s">
        <v>62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4065</v>
      </c>
      <c r="C2932" t="s">
        <v>4066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4067</v>
      </c>
      <c r="C2933" t="s">
        <v>4068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4069</v>
      </c>
      <c r="C2934" t="s">
        <v>4070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4071</v>
      </c>
      <c r="C2935" t="s">
        <v>4072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8637</v>
      </c>
      <c r="C2936" t="s">
        <v>62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4073</v>
      </c>
      <c r="C2937" t="s">
        <v>4074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4075</v>
      </c>
      <c r="C2938" t="s">
        <v>4076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4077</v>
      </c>
      <c r="C2939" t="s">
        <v>4078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4079</v>
      </c>
      <c r="C2940" t="s">
        <v>4080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4081</v>
      </c>
      <c r="C2941" t="s">
        <v>4082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4083</v>
      </c>
      <c r="C2942" t="s">
        <v>4084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4085</v>
      </c>
      <c r="C2943" t="s">
        <v>4086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4087</v>
      </c>
      <c r="C2944" t="s">
        <v>4088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4089</v>
      </c>
      <c r="C2945" t="s">
        <v>4090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4091</v>
      </c>
      <c r="C2946" t="s">
        <v>4092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4093</v>
      </c>
      <c r="C2947" t="s">
        <v>4094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8638</v>
      </c>
      <c r="C2948" t="s">
        <v>62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4095</v>
      </c>
      <c r="C2949" t="s">
        <v>4096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8639</v>
      </c>
      <c r="C2950" t="s">
        <v>62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4097</v>
      </c>
      <c r="C2951" t="s">
        <v>4098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4099</v>
      </c>
      <c r="C2952" t="s">
        <v>62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4100</v>
      </c>
      <c r="C2953" t="s">
        <v>4101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4102</v>
      </c>
      <c r="C2954" t="s">
        <v>4103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8640</v>
      </c>
      <c r="C2955" t="s">
        <v>62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4104</v>
      </c>
      <c r="C2956" t="s">
        <v>4105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4106</v>
      </c>
      <c r="C2957" t="s">
        <v>4107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4108</v>
      </c>
      <c r="C2958" t="s">
        <v>4109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4110</v>
      </c>
      <c r="C2959" t="s">
        <v>4111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4112</v>
      </c>
      <c r="C2960" t="s">
        <v>4113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4114</v>
      </c>
      <c r="C2961" t="s">
        <v>4115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4116</v>
      </c>
      <c r="C2962" t="s">
        <v>4117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4118</v>
      </c>
      <c r="C2963" t="s">
        <v>4119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4120</v>
      </c>
      <c r="C2964" t="s">
        <v>4121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4122</v>
      </c>
      <c r="C2965" t="s">
        <v>4123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8641</v>
      </c>
      <c r="C2966" t="s">
        <v>62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4124</v>
      </c>
      <c r="C2967" t="s">
        <v>4125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8642</v>
      </c>
      <c r="C2968" t="s">
        <v>62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4126</v>
      </c>
      <c r="C2969" t="s">
        <v>4127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4128</v>
      </c>
      <c r="C2970" t="s">
        <v>4129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4130</v>
      </c>
      <c r="C2971" t="s">
        <v>4131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8643</v>
      </c>
      <c r="C2972" t="s">
        <v>62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4132</v>
      </c>
      <c r="C2973" t="s">
        <v>4133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8644</v>
      </c>
      <c r="C2974" t="s">
        <v>62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4134</v>
      </c>
      <c r="C2975" t="s">
        <v>4135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8645</v>
      </c>
      <c r="C2976" t="s">
        <v>62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4136</v>
      </c>
      <c r="C2977" t="s">
        <v>4137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8646</v>
      </c>
      <c r="C2978" t="s">
        <v>62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4138</v>
      </c>
      <c r="C2979" t="s">
        <v>4139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4140</v>
      </c>
      <c r="C2980" t="s">
        <v>4141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4142</v>
      </c>
      <c r="C2981" t="s">
        <v>4143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4144</v>
      </c>
      <c r="C2982" t="s">
        <v>4145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4146</v>
      </c>
      <c r="C2983" t="s">
        <v>4147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4148</v>
      </c>
      <c r="C2984" t="s">
        <v>4149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8647</v>
      </c>
      <c r="C2985" t="s">
        <v>62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4150</v>
      </c>
      <c r="C2986" t="s">
        <v>4151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8648</v>
      </c>
      <c r="C2987" t="s">
        <v>62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4152</v>
      </c>
      <c r="C2988" t="s">
        <v>4153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4154</v>
      </c>
      <c r="C2989" t="s">
        <v>4155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4156</v>
      </c>
      <c r="C2990" t="s">
        <v>4157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4158</v>
      </c>
      <c r="C2991" t="s">
        <v>4159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4160</v>
      </c>
      <c r="C2992" t="s">
        <v>4161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4162</v>
      </c>
      <c r="C2993" t="s">
        <v>4163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4164</v>
      </c>
      <c r="C2994" t="s">
        <v>4165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4166</v>
      </c>
      <c r="C2995" t="s">
        <v>4167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8649</v>
      </c>
      <c r="C2996" t="s">
        <v>62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4168</v>
      </c>
      <c r="C2997" t="s">
        <v>4169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4170</v>
      </c>
      <c r="C2998" t="s">
        <v>4171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4172</v>
      </c>
      <c r="C2999" t="s">
        <v>4173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8650</v>
      </c>
      <c r="C3000" t="s">
        <v>62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4174</v>
      </c>
      <c r="C3001" t="s">
        <v>4175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4176</v>
      </c>
      <c r="C3002" t="s">
        <v>4177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4178</v>
      </c>
      <c r="C3003" t="s">
        <v>4179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4180</v>
      </c>
      <c r="C3004" t="s">
        <v>4181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4182</v>
      </c>
      <c r="C3005" t="s">
        <v>4183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4184</v>
      </c>
      <c r="C3006" t="s">
        <v>4185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4186</v>
      </c>
      <c r="C3007" t="s">
        <v>4187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4188</v>
      </c>
      <c r="C3008" t="s">
        <v>4189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4190</v>
      </c>
      <c r="C3009" t="s">
        <v>4191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4192</v>
      </c>
      <c r="C3010" t="s">
        <v>4193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8651</v>
      </c>
      <c r="C3011" t="s">
        <v>62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4194</v>
      </c>
      <c r="C3012" t="s">
        <v>4195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8652</v>
      </c>
      <c r="C3013" t="s">
        <v>62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4196</v>
      </c>
      <c r="C3014" t="s">
        <v>4197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4198</v>
      </c>
      <c r="C3015" t="s">
        <v>4199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4200</v>
      </c>
      <c r="C3016" t="s">
        <v>4201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8653</v>
      </c>
      <c r="C3017" t="s">
        <v>62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4202</v>
      </c>
      <c r="C3018" t="s">
        <v>4203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4204</v>
      </c>
      <c r="C3019" t="s">
        <v>4205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8654</v>
      </c>
      <c r="C3020" t="s">
        <v>62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4206</v>
      </c>
      <c r="C3021" t="s">
        <v>4207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4208</v>
      </c>
      <c r="C3022" t="s">
        <v>4209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4210</v>
      </c>
      <c r="C3023" t="s">
        <v>4211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8655</v>
      </c>
      <c r="C3024" t="s">
        <v>62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4212</v>
      </c>
      <c r="C3025" t="s">
        <v>4213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8656</v>
      </c>
      <c r="C3026" t="s">
        <v>62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4214</v>
      </c>
      <c r="C3027" t="s">
        <v>4215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8657</v>
      </c>
      <c r="C3028" t="s">
        <v>62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4216</v>
      </c>
      <c r="C3029" t="s">
        <v>4217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8658</v>
      </c>
      <c r="C3030" t="s">
        <v>62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4218</v>
      </c>
      <c r="C3031" t="s">
        <v>4219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8659</v>
      </c>
      <c r="C3032" t="s">
        <v>62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4220</v>
      </c>
      <c r="C3033" t="s">
        <v>4221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8660</v>
      </c>
      <c r="C3034" t="s">
        <v>62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4222</v>
      </c>
      <c r="C3035" t="s">
        <v>4223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8661</v>
      </c>
      <c r="C3036" t="s">
        <v>62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4224</v>
      </c>
      <c r="C3037" t="s">
        <v>4225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8662</v>
      </c>
      <c r="C3038" t="s">
        <v>62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4226</v>
      </c>
      <c r="C3039" t="s">
        <v>4227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4228</v>
      </c>
      <c r="C3040" t="s">
        <v>62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4229</v>
      </c>
      <c r="C3041" t="s">
        <v>4230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8663</v>
      </c>
      <c r="C3042" t="s">
        <v>62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4231</v>
      </c>
      <c r="C3043" t="s">
        <v>4232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8664</v>
      </c>
      <c r="C3044" t="s">
        <v>62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4233</v>
      </c>
      <c r="C3045" t="s">
        <v>4234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8665</v>
      </c>
      <c r="C3046" t="s">
        <v>62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4235</v>
      </c>
      <c r="C3047" t="s">
        <v>4236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8666</v>
      </c>
      <c r="C3048" t="s">
        <v>62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4237</v>
      </c>
      <c r="C3049" t="s">
        <v>4238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8667</v>
      </c>
      <c r="C3050" t="s">
        <v>62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4239</v>
      </c>
      <c r="C3051" t="s">
        <v>4240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8668</v>
      </c>
      <c r="C3052" t="s">
        <v>62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4241</v>
      </c>
      <c r="C3053" t="s">
        <v>4242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8669</v>
      </c>
      <c r="C3054" t="s">
        <v>62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4243</v>
      </c>
      <c r="C3055" t="s">
        <v>4244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8670</v>
      </c>
      <c r="C3056" t="s">
        <v>62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4245</v>
      </c>
      <c r="C3057" t="s">
        <v>4246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8671</v>
      </c>
      <c r="C3058" t="s">
        <v>62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4247</v>
      </c>
      <c r="C3059" t="s">
        <v>4248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8672</v>
      </c>
      <c r="C3060" t="s">
        <v>62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4249</v>
      </c>
      <c r="C3061" t="s">
        <v>4250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8673</v>
      </c>
      <c r="C3062" t="s">
        <v>62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4251</v>
      </c>
      <c r="C3063" t="s">
        <v>4252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4253</v>
      </c>
      <c r="C3064" t="s">
        <v>4254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8674</v>
      </c>
      <c r="C3065" t="s">
        <v>62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4255</v>
      </c>
      <c r="C3066" t="s">
        <v>4256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8675</v>
      </c>
      <c r="C3067" t="s">
        <v>62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4257</v>
      </c>
      <c r="C3068" t="s">
        <v>4258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8676</v>
      </c>
      <c r="C3069" t="s">
        <v>62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4259</v>
      </c>
      <c r="C3070" t="s">
        <v>4260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8677</v>
      </c>
      <c r="C3071" t="s">
        <v>62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4261</v>
      </c>
      <c r="C3072" t="s">
        <v>4262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8678</v>
      </c>
      <c r="C3073" t="s">
        <v>62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4263</v>
      </c>
      <c r="C3074" t="s">
        <v>4264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8679</v>
      </c>
      <c r="C3075" t="s">
        <v>62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4265</v>
      </c>
      <c r="C3076" t="s">
        <v>4266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4267</v>
      </c>
      <c r="C3077" t="s">
        <v>4268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4269</v>
      </c>
      <c r="C3078" t="s">
        <v>4270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4271</v>
      </c>
      <c r="C3079" t="s">
        <v>4272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4273</v>
      </c>
      <c r="C3080" t="s">
        <v>4274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4275</v>
      </c>
      <c r="C3081" t="s">
        <v>4276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4277</v>
      </c>
      <c r="C3082" t="s">
        <v>4278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4279</v>
      </c>
      <c r="C3083" t="s">
        <v>4280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4281</v>
      </c>
      <c r="C3084" t="s">
        <v>4282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8680</v>
      </c>
      <c r="C3085" t="s">
        <v>62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4283</v>
      </c>
      <c r="C3086" t="s">
        <v>4284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4285</v>
      </c>
      <c r="C3087" t="s">
        <v>4286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4287</v>
      </c>
      <c r="C3088" t="s">
        <v>4288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4289</v>
      </c>
      <c r="C3089" t="s">
        <v>4290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4291</v>
      </c>
      <c r="C3090" t="s">
        <v>4292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8681</v>
      </c>
      <c r="C3091" t="s">
        <v>62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4293</v>
      </c>
      <c r="C3092" t="s">
        <v>4294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4295</v>
      </c>
      <c r="C3093" t="s">
        <v>62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4296</v>
      </c>
      <c r="C3094" t="s">
        <v>4234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8682</v>
      </c>
      <c r="C3095" t="s">
        <v>62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4297</v>
      </c>
      <c r="C3096" t="s">
        <v>4298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8683</v>
      </c>
      <c r="C3097" t="s">
        <v>62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4299</v>
      </c>
      <c r="C3098" t="s">
        <v>4300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8684</v>
      </c>
      <c r="C3099" t="s">
        <v>62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4301</v>
      </c>
      <c r="C3100" t="s">
        <v>4302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4303</v>
      </c>
      <c r="C3101" t="s">
        <v>4304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8685</v>
      </c>
      <c r="C3102" t="s">
        <v>62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4305</v>
      </c>
      <c r="C3103" t="s">
        <v>4306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4307</v>
      </c>
      <c r="C3104" t="s">
        <v>4308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8686</v>
      </c>
      <c r="C3105" t="s">
        <v>62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4309</v>
      </c>
      <c r="C3106" t="s">
        <v>4310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4311</v>
      </c>
      <c r="C3107" t="s">
        <v>4312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4313</v>
      </c>
      <c r="C3108" t="s">
        <v>62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4314</v>
      </c>
      <c r="C3109" t="s">
        <v>4315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4316</v>
      </c>
      <c r="C3110" t="s">
        <v>4317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4318</v>
      </c>
      <c r="C3111" t="s">
        <v>4319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8687</v>
      </c>
      <c r="C3112" t="s">
        <v>62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4320</v>
      </c>
      <c r="C3113" t="s">
        <v>4321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4322</v>
      </c>
      <c r="C3114" t="s">
        <v>4323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8688</v>
      </c>
      <c r="C3115" t="s">
        <v>62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4324</v>
      </c>
      <c r="C3116" t="s">
        <v>4325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4326</v>
      </c>
      <c r="C3117" t="s">
        <v>4327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4328</v>
      </c>
      <c r="C3118" t="s">
        <v>4329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4330</v>
      </c>
      <c r="C3119" t="s">
        <v>4331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4332</v>
      </c>
      <c r="C3120" t="s">
        <v>4333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8689</v>
      </c>
      <c r="C3121" t="s">
        <v>62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4334</v>
      </c>
      <c r="C3122" t="s">
        <v>4335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4336</v>
      </c>
      <c r="C3123" t="s">
        <v>4337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8690</v>
      </c>
      <c r="C3124" t="s">
        <v>62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4338</v>
      </c>
      <c r="C3125" t="s">
        <v>4339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8691</v>
      </c>
      <c r="C3126" t="s">
        <v>62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4340</v>
      </c>
      <c r="C3127" t="s">
        <v>4341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8692</v>
      </c>
      <c r="C3128" t="s">
        <v>62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4342</v>
      </c>
      <c r="C3129" t="s">
        <v>4343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4344</v>
      </c>
      <c r="C3130" t="s">
        <v>4345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4346</v>
      </c>
      <c r="C3131" t="s">
        <v>4347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8693</v>
      </c>
      <c r="C3132" t="s">
        <v>62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4348</v>
      </c>
      <c r="C3133" t="s">
        <v>4349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8694</v>
      </c>
      <c r="C3134" t="s">
        <v>62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4350</v>
      </c>
      <c r="C3135" t="s">
        <v>4351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8695</v>
      </c>
      <c r="C3136" t="s">
        <v>62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4352</v>
      </c>
      <c r="C3137" t="s">
        <v>4353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4354</v>
      </c>
      <c r="C3138" t="s">
        <v>4355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8696</v>
      </c>
      <c r="C3139" t="s">
        <v>62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4356</v>
      </c>
      <c r="C3140" t="s">
        <v>4357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8697</v>
      </c>
      <c r="C3141" t="s">
        <v>62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4358</v>
      </c>
      <c r="C3142" t="s">
        <v>4359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4360</v>
      </c>
      <c r="C3143" t="s">
        <v>4361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8698</v>
      </c>
      <c r="C3144" t="s">
        <v>62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4362</v>
      </c>
      <c r="C3145" t="s">
        <v>4363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8699</v>
      </c>
      <c r="C3146" t="s">
        <v>62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4364</v>
      </c>
      <c r="C3147" t="s">
        <v>4365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4366</v>
      </c>
      <c r="C3148" t="s">
        <v>4367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8700</v>
      </c>
      <c r="C3149" t="s">
        <v>62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4368</v>
      </c>
      <c r="C3150" t="s">
        <v>4369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4370</v>
      </c>
      <c r="C3151" t="s">
        <v>4371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8701</v>
      </c>
      <c r="C3152" t="s">
        <v>62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4372</v>
      </c>
      <c r="C3153" t="s">
        <v>4373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4374</v>
      </c>
      <c r="C3154" t="s">
        <v>4375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4376</v>
      </c>
      <c r="C3155" t="s">
        <v>4377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4378</v>
      </c>
      <c r="C3156" t="s">
        <v>4379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8702</v>
      </c>
      <c r="C3157" t="s">
        <v>62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4380</v>
      </c>
      <c r="C3158" t="s">
        <v>4381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8703</v>
      </c>
      <c r="C3159" t="s">
        <v>62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4382</v>
      </c>
      <c r="C3160" t="s">
        <v>4383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4384</v>
      </c>
      <c r="C3161" t="s">
        <v>4385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8704</v>
      </c>
      <c r="C3162" t="s">
        <v>62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4386</v>
      </c>
      <c r="C3163" t="s">
        <v>4387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4388</v>
      </c>
      <c r="C3164" t="s">
        <v>4389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8705</v>
      </c>
      <c r="C3165" t="s">
        <v>62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4390</v>
      </c>
      <c r="C3166" t="s">
        <v>4391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4392</v>
      </c>
      <c r="C3167" t="s">
        <v>4393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4394</v>
      </c>
      <c r="C3168" t="s">
        <v>4395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4396</v>
      </c>
      <c r="C3169" t="s">
        <v>4397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8706</v>
      </c>
      <c r="C3170" t="s">
        <v>62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4398</v>
      </c>
      <c r="C3171" t="s">
        <v>4399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8707</v>
      </c>
      <c r="C3172" t="s">
        <v>62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4400</v>
      </c>
      <c r="C3173" t="s">
        <v>4401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4402</v>
      </c>
      <c r="C3174" t="s">
        <v>4403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4404</v>
      </c>
      <c r="C3175" t="s">
        <v>4405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4406</v>
      </c>
      <c r="C3176" t="s">
        <v>62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4407</v>
      </c>
      <c r="C3177" t="s">
        <v>4408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8708</v>
      </c>
      <c r="C3178" t="s">
        <v>62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4409</v>
      </c>
      <c r="C3179" t="s">
        <v>4410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4411</v>
      </c>
      <c r="C3180" t="s">
        <v>4412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4413</v>
      </c>
      <c r="C3181" t="s">
        <v>4414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4415</v>
      </c>
      <c r="C3182" t="s">
        <v>4416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8709</v>
      </c>
      <c r="C3183" t="s">
        <v>62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4417</v>
      </c>
      <c r="C3184" t="s">
        <v>4418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8710</v>
      </c>
      <c r="C3185" t="s">
        <v>62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4419</v>
      </c>
      <c r="C3186" t="s">
        <v>4420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8711</v>
      </c>
      <c r="C3187" t="s">
        <v>62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4421</v>
      </c>
      <c r="C3188" t="s">
        <v>4422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4423</v>
      </c>
      <c r="C3189" t="s">
        <v>4424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4425</v>
      </c>
      <c r="C3190" t="s">
        <v>4426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4427</v>
      </c>
      <c r="C3191" t="s">
        <v>4428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4429</v>
      </c>
      <c r="C3192" t="s">
        <v>4430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4431</v>
      </c>
      <c r="C3193" t="s">
        <v>4432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4433</v>
      </c>
      <c r="C3194" t="s">
        <v>4434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4435</v>
      </c>
      <c r="C3195" t="s">
        <v>4436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4437</v>
      </c>
      <c r="C3196" t="s">
        <v>4438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4439</v>
      </c>
      <c r="C3197" t="s">
        <v>4440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4441</v>
      </c>
      <c r="C3198" t="s">
        <v>4442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4443</v>
      </c>
      <c r="C3199" t="s">
        <v>4444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4445</v>
      </c>
      <c r="C3200" t="s">
        <v>4446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4447</v>
      </c>
      <c r="C3201" t="s">
        <v>4448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4449</v>
      </c>
      <c r="C3202" t="s">
        <v>4450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9787</v>
      </c>
      <c r="C3203" t="s">
        <v>9788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4451</v>
      </c>
      <c r="C3204" t="s">
        <v>4452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8712</v>
      </c>
      <c r="C3205" t="s">
        <v>62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4453</v>
      </c>
      <c r="C3206" t="s">
        <v>4454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4455</v>
      </c>
      <c r="C3207" t="s">
        <v>4456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4457</v>
      </c>
      <c r="C3208" t="s">
        <v>4458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8713</v>
      </c>
      <c r="C3209" t="s">
        <v>8714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4459</v>
      </c>
      <c r="C3210" t="s">
        <v>4460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4461</v>
      </c>
      <c r="C3211" t="s">
        <v>4462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8715</v>
      </c>
      <c r="C3212" t="s">
        <v>8716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8717</v>
      </c>
      <c r="C3213" t="s">
        <v>8718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8719</v>
      </c>
      <c r="C3214" t="s">
        <v>8720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8721</v>
      </c>
      <c r="C3215" t="s">
        <v>62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4463</v>
      </c>
      <c r="C3216" t="s">
        <v>4464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9789</v>
      </c>
      <c r="C3217" t="s">
        <v>9790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8722</v>
      </c>
      <c r="C3218" t="s">
        <v>62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4465</v>
      </c>
      <c r="C3219" t="s">
        <v>4466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4467</v>
      </c>
      <c r="C3220" t="s">
        <v>4468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4469</v>
      </c>
      <c r="C3221" t="s">
        <v>4470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8723</v>
      </c>
      <c r="C3222" t="s">
        <v>62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4471</v>
      </c>
      <c r="C3223" t="s">
        <v>4472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8724</v>
      </c>
      <c r="C3224" t="s">
        <v>62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4473</v>
      </c>
      <c r="C3225" t="s">
        <v>4474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4475</v>
      </c>
      <c r="C3226" t="s">
        <v>4476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4477</v>
      </c>
      <c r="C3227" t="s">
        <v>4478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4479</v>
      </c>
      <c r="C3228" t="s">
        <v>4480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4481</v>
      </c>
      <c r="C3229" t="s">
        <v>4482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8725</v>
      </c>
      <c r="C3230" t="s">
        <v>8726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8727</v>
      </c>
      <c r="C3231" t="s">
        <v>8728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8729</v>
      </c>
      <c r="C3232" t="s">
        <v>8730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8731</v>
      </c>
      <c r="C3233" t="s">
        <v>8732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4483</v>
      </c>
      <c r="C3234" t="s">
        <v>4484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8733</v>
      </c>
      <c r="C3235" t="s">
        <v>8734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8735</v>
      </c>
      <c r="C3236" t="s">
        <v>8736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8737</v>
      </c>
      <c r="C3237" t="s">
        <v>8738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8739</v>
      </c>
      <c r="C3238" t="s">
        <v>62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4485</v>
      </c>
      <c r="C3239" t="s">
        <v>4486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8740</v>
      </c>
      <c r="C3240" t="s">
        <v>62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4487</v>
      </c>
      <c r="C3241" t="s">
        <v>4488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8741</v>
      </c>
      <c r="C3242" t="s">
        <v>62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4489</v>
      </c>
      <c r="C3243" t="s">
        <v>4490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4491</v>
      </c>
      <c r="C3244" t="s">
        <v>4492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4493</v>
      </c>
      <c r="C3245" t="s">
        <v>4494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4495</v>
      </c>
      <c r="C3246" t="s">
        <v>4496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4497</v>
      </c>
      <c r="C3247" t="s">
        <v>4498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4499</v>
      </c>
      <c r="C3248" t="s">
        <v>4500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4501</v>
      </c>
      <c r="C3249" t="s">
        <v>4502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8742</v>
      </c>
      <c r="C3250" t="s">
        <v>62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4503</v>
      </c>
      <c r="C3251" t="s">
        <v>4504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8743</v>
      </c>
      <c r="C3252" t="s">
        <v>62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4505</v>
      </c>
      <c r="C3253" t="s">
        <v>4506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8744</v>
      </c>
      <c r="C3254" t="s">
        <v>62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4508</v>
      </c>
      <c r="C3255" t="s">
        <v>4498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4509</v>
      </c>
      <c r="C3256" t="s">
        <v>4510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8745</v>
      </c>
      <c r="C3257" t="s">
        <v>62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4511</v>
      </c>
      <c r="C3258" t="s">
        <v>4512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8746</v>
      </c>
      <c r="C3259" t="s">
        <v>62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4513</v>
      </c>
      <c r="C3260" t="s">
        <v>4514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4515</v>
      </c>
      <c r="C3261" t="s">
        <v>4516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8747</v>
      </c>
      <c r="C3262" t="s">
        <v>62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4517</v>
      </c>
      <c r="C3263" t="s">
        <v>4518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8748</v>
      </c>
      <c r="C3264" t="s">
        <v>62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4519</v>
      </c>
      <c r="C3265" t="s">
        <v>4520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8749</v>
      </c>
      <c r="C3266" t="s">
        <v>62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4521</v>
      </c>
      <c r="C3267" t="s">
        <v>4522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8750</v>
      </c>
      <c r="C3268" t="s">
        <v>62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4523</v>
      </c>
      <c r="C3269" t="s">
        <v>4524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8751</v>
      </c>
      <c r="C3270" t="s">
        <v>62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4525</v>
      </c>
      <c r="C3271" t="s">
        <v>4526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8752</v>
      </c>
      <c r="C3272" t="s">
        <v>62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4527</v>
      </c>
      <c r="C3273" t="s">
        <v>4528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8753</v>
      </c>
      <c r="C3274" t="s">
        <v>62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4529</v>
      </c>
      <c r="C3275" t="s">
        <v>4530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4531</v>
      </c>
      <c r="C3276" t="s">
        <v>4532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4533</v>
      </c>
      <c r="C3277" t="s">
        <v>4534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4535</v>
      </c>
      <c r="C3278" t="s">
        <v>4536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4537</v>
      </c>
      <c r="C3279" t="s">
        <v>4538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4539</v>
      </c>
      <c r="C3280" t="s">
        <v>4540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4541</v>
      </c>
      <c r="C3281" t="s">
        <v>4542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4543</v>
      </c>
      <c r="C3282" t="s">
        <v>4544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4545</v>
      </c>
      <c r="C3283" t="s">
        <v>4546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4547</v>
      </c>
      <c r="C3284" t="s">
        <v>4548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8754</v>
      </c>
      <c r="C3285" t="s">
        <v>62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4549</v>
      </c>
      <c r="C3286" t="s">
        <v>4550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4551</v>
      </c>
      <c r="C3287" t="s">
        <v>4552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8755</v>
      </c>
      <c r="C3288" t="s">
        <v>62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4553</v>
      </c>
      <c r="C3289" t="s">
        <v>4554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4555</v>
      </c>
      <c r="C3290" t="s">
        <v>4556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4557</v>
      </c>
      <c r="C3291" t="s">
        <v>4558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4559</v>
      </c>
      <c r="C3292" t="s">
        <v>4560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4561</v>
      </c>
      <c r="C3293" t="s">
        <v>4562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8756</v>
      </c>
      <c r="C3294" t="s">
        <v>62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4563</v>
      </c>
      <c r="C3295" t="s">
        <v>4564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8757</v>
      </c>
      <c r="C3296" t="s">
        <v>62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4565</v>
      </c>
      <c r="C3297" t="s">
        <v>4566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8758</v>
      </c>
      <c r="C3298" t="s">
        <v>62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4567</v>
      </c>
      <c r="C3299" t="s">
        <v>4568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4569</v>
      </c>
      <c r="C3300" t="s">
        <v>4570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4571</v>
      </c>
      <c r="C3301" t="s">
        <v>4572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4573</v>
      </c>
      <c r="C3302" t="s">
        <v>4574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4575</v>
      </c>
      <c r="C3303" t="s">
        <v>4576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4577</v>
      </c>
      <c r="C3304" t="s">
        <v>4578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4579</v>
      </c>
      <c r="C3305" t="s">
        <v>4580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4581</v>
      </c>
      <c r="C3306" t="s">
        <v>4492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8759</v>
      </c>
      <c r="C3307" t="s">
        <v>62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4582</v>
      </c>
      <c r="C3308" t="s">
        <v>4583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4584</v>
      </c>
      <c r="C3309" t="s">
        <v>4585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4586</v>
      </c>
      <c r="C3310" t="s">
        <v>4587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4588</v>
      </c>
      <c r="C3311" t="s">
        <v>4589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4590</v>
      </c>
      <c r="C3312" t="s">
        <v>4591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4592</v>
      </c>
      <c r="C3313" t="s">
        <v>4593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4594</v>
      </c>
      <c r="C3314" t="s">
        <v>4595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4596</v>
      </c>
      <c r="C3315" t="s">
        <v>4597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8760</v>
      </c>
      <c r="C3316" t="s">
        <v>62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4598</v>
      </c>
      <c r="C3317" t="s">
        <v>4599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4600</v>
      </c>
      <c r="C3318" t="s">
        <v>4601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4602</v>
      </c>
      <c r="C3319" t="s">
        <v>4603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4604</v>
      </c>
      <c r="C3320" t="s">
        <v>4605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4606</v>
      </c>
      <c r="C3321" t="s">
        <v>4607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4608</v>
      </c>
      <c r="C3322" t="s">
        <v>4609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8761</v>
      </c>
      <c r="C3323" t="s">
        <v>62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4610</v>
      </c>
      <c r="C3324" t="s">
        <v>4611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4612</v>
      </c>
      <c r="C3325" t="s">
        <v>4613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4614</v>
      </c>
      <c r="C3326" t="s">
        <v>4615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4616</v>
      </c>
      <c r="C3327" t="s">
        <v>4617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8762</v>
      </c>
      <c r="C3328" t="s">
        <v>62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4618</v>
      </c>
      <c r="C3329" t="s">
        <v>4619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8763</v>
      </c>
      <c r="C3330" t="s">
        <v>62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4620</v>
      </c>
      <c r="C3331" t="s">
        <v>4621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4622</v>
      </c>
      <c r="C3332" t="s">
        <v>4623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4624</v>
      </c>
      <c r="C3333" t="s">
        <v>4625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4626</v>
      </c>
      <c r="C3334" t="s">
        <v>4627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9791</v>
      </c>
      <c r="C3335" t="s">
        <v>9792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4628</v>
      </c>
      <c r="C3336" t="s">
        <v>4629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4630</v>
      </c>
      <c r="C3337" t="s">
        <v>4631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4632</v>
      </c>
      <c r="C3338" t="s">
        <v>4633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4634</v>
      </c>
      <c r="C3339" t="s">
        <v>62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4635</v>
      </c>
      <c r="C3340" t="s">
        <v>4636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4637</v>
      </c>
      <c r="C3341" t="s">
        <v>4638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4639</v>
      </c>
      <c r="C3342" t="s">
        <v>4640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4641</v>
      </c>
      <c r="C3343" t="s">
        <v>4642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8764</v>
      </c>
      <c r="C3344" t="s">
        <v>62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4643</v>
      </c>
      <c r="C3345" t="s">
        <v>4644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4645</v>
      </c>
      <c r="C3346" t="s">
        <v>4646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8765</v>
      </c>
      <c r="C3347" t="s">
        <v>62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4647</v>
      </c>
      <c r="C3348" t="s">
        <v>4648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8766</v>
      </c>
      <c r="C3349" t="s">
        <v>62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4649</v>
      </c>
      <c r="C3350" t="s">
        <v>4650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8767</v>
      </c>
      <c r="C3351" t="s">
        <v>62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4651</v>
      </c>
      <c r="C3352" t="s">
        <v>4652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8768</v>
      </c>
      <c r="C3353" t="s">
        <v>62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4653</v>
      </c>
      <c r="C3354" t="s">
        <v>4654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4655</v>
      </c>
      <c r="C3355" t="s">
        <v>4656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4657</v>
      </c>
      <c r="C3356" t="s">
        <v>4658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4659</v>
      </c>
      <c r="C3357" t="s">
        <v>4660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4661</v>
      </c>
      <c r="C3358" t="s">
        <v>9793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9794</v>
      </c>
      <c r="C3359" t="s">
        <v>9795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4662</v>
      </c>
      <c r="C3360" t="s">
        <v>4663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8769</v>
      </c>
      <c r="C3361" t="s">
        <v>62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4664</v>
      </c>
      <c r="C3362" t="s">
        <v>4665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4666</v>
      </c>
      <c r="C3363" t="s">
        <v>4667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8770</v>
      </c>
      <c r="C3364" t="s">
        <v>62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4668</v>
      </c>
      <c r="C3365" t="s">
        <v>4669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8771</v>
      </c>
      <c r="C3366" t="s">
        <v>62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4670</v>
      </c>
      <c r="C3367" t="s">
        <v>4671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4672</v>
      </c>
      <c r="C3368" t="s">
        <v>4673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8772</v>
      </c>
      <c r="C3369" t="s">
        <v>62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4674</v>
      </c>
      <c r="C3370" t="s">
        <v>4675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4676</v>
      </c>
      <c r="C3371" t="s">
        <v>4677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4678</v>
      </c>
      <c r="C3372" t="s">
        <v>4679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8773</v>
      </c>
      <c r="C3373" t="s">
        <v>62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4680</v>
      </c>
      <c r="C3374" t="s">
        <v>4681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8774</v>
      </c>
      <c r="C3375" t="s">
        <v>62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4682</v>
      </c>
      <c r="C3376" t="s">
        <v>4683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8775</v>
      </c>
      <c r="C3377" t="s">
        <v>62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4684</v>
      </c>
      <c r="C3378" t="s">
        <v>4685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4686</v>
      </c>
      <c r="C3379" t="s">
        <v>4687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4688</v>
      </c>
      <c r="C3380" t="s">
        <v>4689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4690</v>
      </c>
      <c r="C3381" t="s">
        <v>4691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4692</v>
      </c>
      <c r="C3382" t="s">
        <v>4693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4694</v>
      </c>
      <c r="C3383" t="s">
        <v>4695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4696</v>
      </c>
      <c r="C3384" t="s">
        <v>4697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4698</v>
      </c>
      <c r="C3385" t="s">
        <v>4699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8776</v>
      </c>
      <c r="C3386" t="s">
        <v>62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4700</v>
      </c>
      <c r="C3387" t="s">
        <v>4701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8777</v>
      </c>
      <c r="C3388" t="s">
        <v>62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4702</v>
      </c>
      <c r="C3389" t="s">
        <v>4703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8778</v>
      </c>
      <c r="C3390" t="s">
        <v>62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4704</v>
      </c>
      <c r="C3391" t="s">
        <v>4705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8779</v>
      </c>
      <c r="C3392" t="s">
        <v>62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4706</v>
      </c>
      <c r="C3393" t="s">
        <v>4707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8780</v>
      </c>
      <c r="C3394" t="s">
        <v>62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4708</v>
      </c>
      <c r="C3395" t="s">
        <v>4709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8781</v>
      </c>
      <c r="C3396" t="s">
        <v>62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4710</v>
      </c>
      <c r="C3397" t="s">
        <v>4711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9796</v>
      </c>
      <c r="C3398" t="s">
        <v>9797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4712</v>
      </c>
      <c r="C3399" t="s">
        <v>4713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8782</v>
      </c>
      <c r="C3400" t="s">
        <v>62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4714</v>
      </c>
      <c r="C3401" t="s">
        <v>4715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9798</v>
      </c>
      <c r="C3402" t="s">
        <v>9799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4716</v>
      </c>
      <c r="C3403" t="s">
        <v>4717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4718</v>
      </c>
      <c r="C3404" t="s">
        <v>4719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4720</v>
      </c>
      <c r="C3405" t="s">
        <v>4721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8783</v>
      </c>
      <c r="C3406" t="s">
        <v>62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4722</v>
      </c>
      <c r="C3407" t="s">
        <v>4723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8784</v>
      </c>
      <c r="C3408" t="s">
        <v>62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4724</v>
      </c>
      <c r="C3409" t="s">
        <v>4725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4726</v>
      </c>
      <c r="C3410" t="s">
        <v>4727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8785</v>
      </c>
      <c r="C3411" t="s">
        <v>62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4728</v>
      </c>
      <c r="C3412" t="s">
        <v>4729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4730</v>
      </c>
      <c r="C3413" t="s">
        <v>4731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4732</v>
      </c>
      <c r="C3414" t="s">
        <v>4733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4734</v>
      </c>
      <c r="C3415" t="s">
        <v>4735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4736</v>
      </c>
      <c r="C3416" t="s">
        <v>4737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4738</v>
      </c>
      <c r="C3417" t="s">
        <v>4739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4740</v>
      </c>
      <c r="C3418" t="s">
        <v>4741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8786</v>
      </c>
      <c r="C3419" t="s">
        <v>62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4742</v>
      </c>
      <c r="C3420" t="s">
        <v>4743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8787</v>
      </c>
      <c r="C3421" t="s">
        <v>62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4744</v>
      </c>
      <c r="C3422" t="s">
        <v>4745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4746</v>
      </c>
      <c r="C3423" t="s">
        <v>4747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4748</v>
      </c>
      <c r="C3424" t="s">
        <v>4749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4750</v>
      </c>
      <c r="C3425" t="s">
        <v>4751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8788</v>
      </c>
      <c r="C3426" t="s">
        <v>62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4752</v>
      </c>
      <c r="C3427" t="s">
        <v>4753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4754</v>
      </c>
      <c r="C3428" t="s">
        <v>4755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8789</v>
      </c>
      <c r="C3429" t="s">
        <v>62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4756</v>
      </c>
      <c r="C3430" t="s">
        <v>4757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4758</v>
      </c>
      <c r="C3431" t="s">
        <v>4759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4760</v>
      </c>
      <c r="C3432" t="s">
        <v>4761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8790</v>
      </c>
      <c r="C3433" t="s">
        <v>62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4762</v>
      </c>
      <c r="C3434" t="s">
        <v>4763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4764</v>
      </c>
      <c r="C3435" t="s">
        <v>4765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8791</v>
      </c>
      <c r="C3436" t="s">
        <v>62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4766</v>
      </c>
      <c r="C3437" t="s">
        <v>4767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8792</v>
      </c>
      <c r="C3438" t="s">
        <v>62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4768</v>
      </c>
      <c r="C3439" t="s">
        <v>4769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8793</v>
      </c>
      <c r="C3440" t="s">
        <v>62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4770</v>
      </c>
      <c r="C3441" t="s">
        <v>4771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8794</v>
      </c>
      <c r="C3442" t="s">
        <v>62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4772</v>
      </c>
      <c r="C3443" t="s">
        <v>4773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4774</v>
      </c>
      <c r="C3444" t="s">
        <v>4775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8795</v>
      </c>
      <c r="C3445" t="s">
        <v>62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4776</v>
      </c>
      <c r="C3446" t="s">
        <v>4777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8796</v>
      </c>
      <c r="C3447" t="s">
        <v>62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4778</v>
      </c>
      <c r="C3448" t="s">
        <v>4779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4780</v>
      </c>
      <c r="C3449" t="s">
        <v>4781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8797</v>
      </c>
      <c r="C3450" t="s">
        <v>62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4782</v>
      </c>
      <c r="C3451" t="s">
        <v>4783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9800</v>
      </c>
      <c r="C3452" t="s">
        <v>9801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8798</v>
      </c>
      <c r="C3453" t="s">
        <v>62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4784</v>
      </c>
      <c r="C3454" t="s">
        <v>4785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8799</v>
      </c>
      <c r="C3455" t="s">
        <v>62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4786</v>
      </c>
      <c r="C3456" t="s">
        <v>4787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8800</v>
      </c>
      <c r="C3457" t="s">
        <v>62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4788</v>
      </c>
      <c r="C3458" t="s">
        <v>4789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8801</v>
      </c>
      <c r="C3459" t="s">
        <v>62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4790</v>
      </c>
      <c r="C3460" t="s">
        <v>4791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4792</v>
      </c>
      <c r="C3461" t="s">
        <v>4793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4794</v>
      </c>
      <c r="C3462" t="s">
        <v>4795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4796</v>
      </c>
      <c r="C3463" t="s">
        <v>4797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8802</v>
      </c>
      <c r="C3464" t="s">
        <v>62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4798</v>
      </c>
      <c r="C3465" t="s">
        <v>4799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9802</v>
      </c>
      <c r="C3466" t="s">
        <v>9803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8803</v>
      </c>
      <c r="C3467" t="s">
        <v>62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4800</v>
      </c>
      <c r="C3468" t="s">
        <v>4801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4802</v>
      </c>
      <c r="C3469" t="s">
        <v>4803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8804</v>
      </c>
      <c r="C3470" t="s">
        <v>62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4804</v>
      </c>
      <c r="C3471" t="s">
        <v>4805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4806</v>
      </c>
      <c r="C3472" t="s">
        <v>4807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4808</v>
      </c>
      <c r="C3473" t="s">
        <v>4809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8805</v>
      </c>
      <c r="C3474" t="s">
        <v>62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4810</v>
      </c>
      <c r="C3475" t="s">
        <v>4811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4812</v>
      </c>
      <c r="C3476" t="s">
        <v>4813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8806</v>
      </c>
      <c r="C3477" t="s">
        <v>62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4814</v>
      </c>
      <c r="C3478" t="s">
        <v>4815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8807</v>
      </c>
      <c r="C3479" t="s">
        <v>62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4816</v>
      </c>
      <c r="C3480" t="s">
        <v>4817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8808</v>
      </c>
      <c r="C3481" t="s">
        <v>62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4818</v>
      </c>
      <c r="C3482" t="s">
        <v>4819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4820</v>
      </c>
      <c r="C3483" t="s">
        <v>4821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4822</v>
      </c>
      <c r="C3484" t="s">
        <v>4823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4824</v>
      </c>
      <c r="C3485" t="s">
        <v>4825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4826</v>
      </c>
      <c r="C3486" t="s">
        <v>4827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4828</v>
      </c>
      <c r="C3487" t="s">
        <v>4829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4830</v>
      </c>
      <c r="C3488" t="s">
        <v>4831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8809</v>
      </c>
      <c r="C3489" t="s">
        <v>62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4832</v>
      </c>
      <c r="C3490" t="s">
        <v>4833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4834</v>
      </c>
      <c r="C3491" t="s">
        <v>4835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4836</v>
      </c>
      <c r="C3492" t="s">
        <v>4837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4838</v>
      </c>
      <c r="C3493" t="s">
        <v>4839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8810</v>
      </c>
      <c r="C3494" t="s">
        <v>62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4840</v>
      </c>
      <c r="C3495" t="s">
        <v>4841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4842</v>
      </c>
      <c r="C3496" t="s">
        <v>4843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8811</v>
      </c>
      <c r="C3497" t="s">
        <v>62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4844</v>
      </c>
      <c r="C3498" t="s">
        <v>4845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8812</v>
      </c>
      <c r="C3499" t="s">
        <v>62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4846</v>
      </c>
      <c r="C3500" t="s">
        <v>4847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8813</v>
      </c>
      <c r="C3501" t="s">
        <v>62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4848</v>
      </c>
      <c r="C3502" t="s">
        <v>4849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4850</v>
      </c>
      <c r="C3503" t="s">
        <v>4851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8814</v>
      </c>
      <c r="C3504" t="s">
        <v>62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4852</v>
      </c>
      <c r="C3505" t="s">
        <v>4853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4854</v>
      </c>
      <c r="C3506" t="s">
        <v>4855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4856</v>
      </c>
      <c r="C3507" t="s">
        <v>4857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4858</v>
      </c>
      <c r="C3508" t="s">
        <v>4859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8815</v>
      </c>
      <c r="C3509" t="s">
        <v>62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4860</v>
      </c>
      <c r="C3510" t="s">
        <v>4861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4862</v>
      </c>
      <c r="C3511" t="s">
        <v>4863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4864</v>
      </c>
      <c r="C3512" t="s">
        <v>4865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4866</v>
      </c>
      <c r="C3513" t="s">
        <v>4867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8816</v>
      </c>
      <c r="C3514" t="s">
        <v>62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4868</v>
      </c>
      <c r="C3515" t="s">
        <v>4869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4870</v>
      </c>
      <c r="C3516" t="s">
        <v>4871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4872</v>
      </c>
      <c r="C3517" t="s">
        <v>4873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4874</v>
      </c>
      <c r="C3518" t="s">
        <v>4875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8817</v>
      </c>
      <c r="C3519" t="s">
        <v>62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4876</v>
      </c>
      <c r="C3520" t="s">
        <v>4877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4878</v>
      </c>
      <c r="C3521" t="s">
        <v>4879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4880</v>
      </c>
      <c r="C3522" t="s">
        <v>9804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4881</v>
      </c>
      <c r="C3523" t="s">
        <v>4882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4883</v>
      </c>
      <c r="C3524" t="s">
        <v>4884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4885</v>
      </c>
      <c r="C3525" t="s">
        <v>4886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4887</v>
      </c>
      <c r="C3526" t="s">
        <v>4888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4889</v>
      </c>
      <c r="C3527" t="s">
        <v>4890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4891</v>
      </c>
      <c r="C3528" t="s">
        <v>4892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4893</v>
      </c>
      <c r="C3529" t="s">
        <v>4894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4895</v>
      </c>
      <c r="C3530" t="s">
        <v>4896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4897</v>
      </c>
      <c r="C3531" t="s">
        <v>4898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4899</v>
      </c>
      <c r="C3532" t="s">
        <v>4900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9805</v>
      </c>
      <c r="C3533" t="s">
        <v>9806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4901</v>
      </c>
      <c r="C3534" t="s">
        <v>4902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4903</v>
      </c>
      <c r="C3535" t="s">
        <v>4904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8818</v>
      </c>
      <c r="C3536" t="s">
        <v>62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4905</v>
      </c>
      <c r="C3537" t="s">
        <v>4906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4907</v>
      </c>
      <c r="C3538" t="s">
        <v>4908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8819</v>
      </c>
      <c r="C3539" t="s">
        <v>62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4909</v>
      </c>
      <c r="C3540" t="s">
        <v>4910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4911</v>
      </c>
      <c r="C3541" t="s">
        <v>4912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4913</v>
      </c>
      <c r="C3542" t="s">
        <v>4914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4915</v>
      </c>
      <c r="C3543" t="s">
        <v>4916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4917</v>
      </c>
      <c r="C3544" t="s">
        <v>4918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4919</v>
      </c>
      <c r="C3545" t="s">
        <v>4920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4921</v>
      </c>
      <c r="C3546" t="s">
        <v>4922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4923</v>
      </c>
      <c r="C3547" t="s">
        <v>4924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8820</v>
      </c>
      <c r="C3548" t="s">
        <v>62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4925</v>
      </c>
      <c r="C3549" t="s">
        <v>4926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8821</v>
      </c>
      <c r="C3550" t="s">
        <v>62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4927</v>
      </c>
      <c r="C3551" t="s">
        <v>4928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4929</v>
      </c>
      <c r="C3552" t="s">
        <v>4930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8822</v>
      </c>
      <c r="C3553" t="s">
        <v>62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4931</v>
      </c>
      <c r="C3554" t="s">
        <v>4932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8823</v>
      </c>
      <c r="C3555" t="s">
        <v>62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4933</v>
      </c>
      <c r="C3556" t="s">
        <v>4934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4935</v>
      </c>
      <c r="C3557" t="s">
        <v>4936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8824</v>
      </c>
      <c r="C3558" t="s">
        <v>62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4937</v>
      </c>
      <c r="C3559" t="s">
        <v>4938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8825</v>
      </c>
      <c r="C3560" t="s">
        <v>62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4939</v>
      </c>
      <c r="C3561" t="s">
        <v>4940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4941</v>
      </c>
      <c r="C3562" t="s">
        <v>9807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4942</v>
      </c>
      <c r="C3563" t="s">
        <v>4943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4944</v>
      </c>
      <c r="C3564" t="s">
        <v>4945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4946</v>
      </c>
      <c r="C3565" t="s">
        <v>4947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8826</v>
      </c>
      <c r="C3566" t="s">
        <v>62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4948</v>
      </c>
      <c r="C3567" t="s">
        <v>4949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4950</v>
      </c>
      <c r="C3568" t="s">
        <v>4951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8827</v>
      </c>
      <c r="C3569" t="s">
        <v>62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4952</v>
      </c>
      <c r="C3570" t="s">
        <v>4953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4954</v>
      </c>
      <c r="C3571" t="s">
        <v>4955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4956</v>
      </c>
      <c r="C3572" t="s">
        <v>4957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8828</v>
      </c>
      <c r="C3573" t="s">
        <v>62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4958</v>
      </c>
      <c r="C3574" t="s">
        <v>4959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8829</v>
      </c>
      <c r="C3575" t="s">
        <v>62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4960</v>
      </c>
      <c r="C3576" t="s">
        <v>4961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4962</v>
      </c>
      <c r="C3577" t="s">
        <v>4963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4964</v>
      </c>
      <c r="C3578" t="s">
        <v>4965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4966</v>
      </c>
      <c r="C3579" t="s">
        <v>4967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4968</v>
      </c>
      <c r="C3580" t="s">
        <v>4969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4970</v>
      </c>
      <c r="C3581" t="s">
        <v>62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4971</v>
      </c>
      <c r="C3582" t="s">
        <v>4972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4973</v>
      </c>
      <c r="C3583" t="s">
        <v>4974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4975</v>
      </c>
      <c r="C3584" t="s">
        <v>4976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4977</v>
      </c>
      <c r="C3585" t="s">
        <v>4978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4979</v>
      </c>
      <c r="C3586" t="s">
        <v>4980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8830</v>
      </c>
      <c r="C3587" t="s">
        <v>62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4981</v>
      </c>
      <c r="C3588" t="s">
        <v>4982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8831</v>
      </c>
      <c r="C3589" t="s">
        <v>62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4983</v>
      </c>
      <c r="C3590" t="s">
        <v>4984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8832</v>
      </c>
      <c r="C3591" t="s">
        <v>62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4985</v>
      </c>
      <c r="C3592" t="s">
        <v>4986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4987</v>
      </c>
      <c r="C3593" t="s">
        <v>4988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4989</v>
      </c>
      <c r="C3594" t="s">
        <v>4990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4991</v>
      </c>
      <c r="C3595" t="s">
        <v>4992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4993</v>
      </c>
      <c r="C3596" t="s">
        <v>9808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8833</v>
      </c>
      <c r="C3597" t="s">
        <v>62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4994</v>
      </c>
      <c r="C3598" t="s">
        <v>4995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4996</v>
      </c>
      <c r="C3599" t="s">
        <v>4997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4998</v>
      </c>
      <c r="C3600" t="s">
        <v>4999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8834</v>
      </c>
      <c r="C3601" t="s">
        <v>62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5000</v>
      </c>
      <c r="C3602" t="s">
        <v>5001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8835</v>
      </c>
      <c r="C3603" t="s">
        <v>62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5002</v>
      </c>
      <c r="C3604" t="s">
        <v>5003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8836</v>
      </c>
      <c r="C3605" t="s">
        <v>62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5004</v>
      </c>
      <c r="C3606" t="s">
        <v>5005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5006</v>
      </c>
      <c r="C3607" t="s">
        <v>5007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5008</v>
      </c>
      <c r="C3608" t="s">
        <v>5009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5010</v>
      </c>
      <c r="C3609" t="s">
        <v>5011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5012</v>
      </c>
      <c r="C3610" t="s">
        <v>5013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5014</v>
      </c>
      <c r="C3611" t="s">
        <v>5015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5016</v>
      </c>
      <c r="C3612" t="s">
        <v>5017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5018</v>
      </c>
      <c r="C3613" t="s">
        <v>5019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8837</v>
      </c>
      <c r="C3614" t="s">
        <v>62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5020</v>
      </c>
      <c r="C3615" t="s">
        <v>5021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5022</v>
      </c>
      <c r="C3616" t="s">
        <v>5023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5024</v>
      </c>
      <c r="C3617" t="s">
        <v>5025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8838</v>
      </c>
      <c r="C3618" t="s">
        <v>62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5026</v>
      </c>
      <c r="C3619" t="s">
        <v>5027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5028</v>
      </c>
      <c r="C3620" t="s">
        <v>5029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8839</v>
      </c>
      <c r="C3621" t="s">
        <v>62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5030</v>
      </c>
      <c r="C3622" t="s">
        <v>5031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8840</v>
      </c>
      <c r="C3623" t="s">
        <v>62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5032</v>
      </c>
      <c r="C3624" t="s">
        <v>9809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5033</v>
      </c>
      <c r="C3625" t="s">
        <v>5034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5035</v>
      </c>
      <c r="C3626" t="s">
        <v>5036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5037</v>
      </c>
      <c r="C3627" t="s">
        <v>5038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8841</v>
      </c>
      <c r="C3628" t="s">
        <v>62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5039</v>
      </c>
      <c r="C3629" t="s">
        <v>4959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8842</v>
      </c>
      <c r="C3630" t="s">
        <v>62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5040</v>
      </c>
      <c r="C3631" t="s">
        <v>5041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8843</v>
      </c>
      <c r="C3632" t="s">
        <v>62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5042</v>
      </c>
      <c r="C3633" t="s">
        <v>5043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5044</v>
      </c>
      <c r="C3634" t="s">
        <v>5045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5046</v>
      </c>
      <c r="C3635" t="s">
        <v>5047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5048</v>
      </c>
      <c r="C3636" t="s">
        <v>5049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5050</v>
      </c>
      <c r="C3637" t="s">
        <v>5051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5052</v>
      </c>
      <c r="C3638" t="s">
        <v>5053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8844</v>
      </c>
      <c r="C3639" t="s">
        <v>62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5054</v>
      </c>
      <c r="C3640" t="s">
        <v>5055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5056</v>
      </c>
      <c r="C3641" t="s">
        <v>5057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5058</v>
      </c>
      <c r="C3642" t="s">
        <v>5059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5060</v>
      </c>
      <c r="C3643" t="s">
        <v>5061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8845</v>
      </c>
      <c r="C3644" t="s">
        <v>62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5062</v>
      </c>
      <c r="C3645" t="s">
        <v>5063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5064</v>
      </c>
      <c r="C3646" t="s">
        <v>5065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5066</v>
      </c>
      <c r="C3647" t="s">
        <v>5067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5068</v>
      </c>
      <c r="C3648" t="s">
        <v>5069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5070</v>
      </c>
      <c r="C3649" t="s">
        <v>5071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8846</v>
      </c>
      <c r="C3650" t="s">
        <v>62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5072</v>
      </c>
      <c r="C3651" t="s">
        <v>5073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5074</v>
      </c>
      <c r="C3652" t="s">
        <v>5075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8847</v>
      </c>
      <c r="C3653" t="s">
        <v>62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5076</v>
      </c>
      <c r="C3654" t="s">
        <v>5077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5078</v>
      </c>
      <c r="C3655" t="s">
        <v>5079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5080</v>
      </c>
      <c r="C3656" t="s">
        <v>5081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5082</v>
      </c>
      <c r="C3657" t="s">
        <v>5083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8848</v>
      </c>
      <c r="C3658" t="s">
        <v>62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5084</v>
      </c>
      <c r="C3659" t="s">
        <v>5085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8849</v>
      </c>
      <c r="C3660" t="s">
        <v>62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5086</v>
      </c>
      <c r="C3661" t="s">
        <v>5087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8850</v>
      </c>
      <c r="C3662" t="s">
        <v>62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5088</v>
      </c>
      <c r="C3663" t="s">
        <v>5089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8851</v>
      </c>
      <c r="C3664" t="s">
        <v>62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5090</v>
      </c>
      <c r="C3665" t="s">
        <v>5091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8852</v>
      </c>
      <c r="C3666" t="s">
        <v>62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5092</v>
      </c>
      <c r="C3667" t="s">
        <v>5093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8853</v>
      </c>
      <c r="C3668" t="s">
        <v>62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5094</v>
      </c>
      <c r="C3669" t="s">
        <v>5095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8854</v>
      </c>
      <c r="C3670" t="s">
        <v>62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5096</v>
      </c>
      <c r="C3671" t="s">
        <v>5097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5098</v>
      </c>
      <c r="C3672" t="s">
        <v>5099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8855</v>
      </c>
      <c r="C3673" t="s">
        <v>62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5100</v>
      </c>
      <c r="C3674" t="s">
        <v>5101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8856</v>
      </c>
      <c r="C3675" t="s">
        <v>62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5102</v>
      </c>
      <c r="C3676" t="s">
        <v>5103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8857</v>
      </c>
      <c r="C3677" t="s">
        <v>62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5104</v>
      </c>
      <c r="C3678" t="s">
        <v>5105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8858</v>
      </c>
      <c r="C3679" t="s">
        <v>62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5106</v>
      </c>
      <c r="C3680" t="s">
        <v>5107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8859</v>
      </c>
      <c r="C3681" t="s">
        <v>62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5108</v>
      </c>
      <c r="C3682" t="s">
        <v>5109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8860</v>
      </c>
      <c r="C3683" t="s">
        <v>62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5110</v>
      </c>
      <c r="C3684" t="s">
        <v>5111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8861</v>
      </c>
      <c r="C3685" t="s">
        <v>62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5112</v>
      </c>
      <c r="C3686" t="s">
        <v>5113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5114</v>
      </c>
      <c r="C3687" t="s">
        <v>5115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5116</v>
      </c>
      <c r="C3688" t="s">
        <v>5117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5118</v>
      </c>
      <c r="C3689" t="s">
        <v>5119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8862</v>
      </c>
      <c r="C3690" t="s">
        <v>62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5120</v>
      </c>
      <c r="C3691" t="s">
        <v>5121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8863</v>
      </c>
      <c r="C3692" t="s">
        <v>62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5122</v>
      </c>
      <c r="C3693" t="s">
        <v>5123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5124</v>
      </c>
      <c r="C3694" t="s">
        <v>5125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5126</v>
      </c>
      <c r="C3695" t="s">
        <v>5127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5128</v>
      </c>
      <c r="C3696" t="s">
        <v>5129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8864</v>
      </c>
      <c r="C3697" t="s">
        <v>62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5130</v>
      </c>
      <c r="C3698" t="s">
        <v>5131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8865</v>
      </c>
      <c r="C3699" t="s">
        <v>62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5132</v>
      </c>
      <c r="C3700" t="s">
        <v>5133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5134</v>
      </c>
      <c r="C3701" t="s">
        <v>5135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8866</v>
      </c>
      <c r="C3702" t="s">
        <v>62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5136</v>
      </c>
      <c r="C3703" t="s">
        <v>5137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8867</v>
      </c>
      <c r="C3704" t="s">
        <v>62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5138</v>
      </c>
      <c r="C3705" t="s">
        <v>5139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8868</v>
      </c>
      <c r="C3706" t="s">
        <v>62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5140</v>
      </c>
      <c r="C3707" t="s">
        <v>5141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8869</v>
      </c>
      <c r="C3708" t="s">
        <v>62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5142</v>
      </c>
      <c r="C3709" t="s">
        <v>5143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8870</v>
      </c>
      <c r="C3710" t="s">
        <v>62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5144</v>
      </c>
      <c r="C3711" t="s">
        <v>5145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5146</v>
      </c>
      <c r="C3712" t="s">
        <v>5147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8871</v>
      </c>
      <c r="C3713" t="s">
        <v>62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5148</v>
      </c>
      <c r="C3714" t="s">
        <v>5149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5150</v>
      </c>
      <c r="C3715" t="s">
        <v>5151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5152</v>
      </c>
      <c r="C3716" t="s">
        <v>5153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5154</v>
      </c>
      <c r="C3717" t="s">
        <v>5155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5156</v>
      </c>
      <c r="C3718" t="s">
        <v>5157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8872</v>
      </c>
      <c r="C3719" t="s">
        <v>62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5158</v>
      </c>
      <c r="C3720" t="s">
        <v>5159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5160</v>
      </c>
      <c r="C3721" t="s">
        <v>5161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8873</v>
      </c>
      <c r="C3722" t="s">
        <v>62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5162</v>
      </c>
      <c r="C3723" t="s">
        <v>5163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5164</v>
      </c>
      <c r="C3724" t="s">
        <v>5165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5166</v>
      </c>
      <c r="C3725" t="s">
        <v>5167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8874</v>
      </c>
      <c r="C3726" t="s">
        <v>8875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5168</v>
      </c>
      <c r="C3727" t="s">
        <v>5169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8876</v>
      </c>
      <c r="C3728" t="s">
        <v>8877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5170</v>
      </c>
      <c r="C3729" t="s">
        <v>5171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8878</v>
      </c>
      <c r="C3730" t="s">
        <v>8879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8880</v>
      </c>
      <c r="C3731" t="s">
        <v>62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5172</v>
      </c>
      <c r="C3732" t="s">
        <v>5173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5174</v>
      </c>
      <c r="C3733" t="s">
        <v>5175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8881</v>
      </c>
      <c r="C3734" t="s">
        <v>62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5176</v>
      </c>
      <c r="C3735" t="s">
        <v>5177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5178</v>
      </c>
      <c r="C3736" t="s">
        <v>5179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5180</v>
      </c>
      <c r="C3737" t="s">
        <v>5181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5182</v>
      </c>
      <c r="C3738" t="s">
        <v>5183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5184</v>
      </c>
      <c r="C3739" t="s">
        <v>5185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5186</v>
      </c>
      <c r="C3740" t="s">
        <v>5187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5188</v>
      </c>
      <c r="C3741" t="s">
        <v>5189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9810</v>
      </c>
      <c r="C3742" t="s">
        <v>9811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9812</v>
      </c>
      <c r="C3743" t="s">
        <v>9813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9814</v>
      </c>
      <c r="C3744" t="s">
        <v>9815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9816</v>
      </c>
      <c r="C3745" t="s">
        <v>9817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9818</v>
      </c>
      <c r="C3746" t="s">
        <v>9819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9820</v>
      </c>
      <c r="C3747" t="s">
        <v>9821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9822</v>
      </c>
      <c r="C3748" t="s">
        <v>9823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9824</v>
      </c>
      <c r="C3749" t="s">
        <v>9825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9826</v>
      </c>
      <c r="C3750" t="s">
        <v>9827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5190</v>
      </c>
      <c r="C3751" t="s">
        <v>5191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5192</v>
      </c>
      <c r="C3752" t="s">
        <v>5193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8882</v>
      </c>
      <c r="C3753" t="s">
        <v>62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5194</v>
      </c>
      <c r="C3754" t="s">
        <v>5195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8883</v>
      </c>
      <c r="C3755" t="s">
        <v>62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5196</v>
      </c>
      <c r="C3756" t="s">
        <v>5197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5198</v>
      </c>
      <c r="C3757" t="s">
        <v>5199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8884</v>
      </c>
      <c r="C3758" t="s">
        <v>62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5200</v>
      </c>
      <c r="C3759" t="s">
        <v>5201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8885</v>
      </c>
      <c r="C3760" t="s">
        <v>62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5202</v>
      </c>
      <c r="C3761" t="s">
        <v>5203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8886</v>
      </c>
      <c r="C3762" t="s">
        <v>62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5204</v>
      </c>
      <c r="C3763" t="s">
        <v>5205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5206</v>
      </c>
      <c r="C3764" t="s">
        <v>5207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5208</v>
      </c>
      <c r="C3765" t="s">
        <v>5209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8887</v>
      </c>
      <c r="C3766" t="s">
        <v>62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5210</v>
      </c>
      <c r="C3767" t="s">
        <v>5211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5212</v>
      </c>
      <c r="C3768" t="s">
        <v>5213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5214</v>
      </c>
      <c r="C3769" t="s">
        <v>5215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5216</v>
      </c>
      <c r="C3770" t="s">
        <v>5217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5218</v>
      </c>
      <c r="C3771" t="s">
        <v>5219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8888</v>
      </c>
      <c r="C3772" t="s">
        <v>62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5220</v>
      </c>
      <c r="C3773" t="s">
        <v>5221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5222</v>
      </c>
      <c r="C3774" t="s">
        <v>5223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8889</v>
      </c>
      <c r="C3775" t="s">
        <v>62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5224</v>
      </c>
      <c r="C3776" t="s">
        <v>5225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5226</v>
      </c>
      <c r="C3777" t="s">
        <v>5227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5228</v>
      </c>
      <c r="C3778" t="s">
        <v>5229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5230</v>
      </c>
      <c r="C3779" t="s">
        <v>5231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5232</v>
      </c>
      <c r="C3780" t="s">
        <v>5233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5234</v>
      </c>
      <c r="C3781" t="s">
        <v>5235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5236</v>
      </c>
      <c r="C3782" t="s">
        <v>5237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5238</v>
      </c>
      <c r="C3783" t="s">
        <v>5239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5240</v>
      </c>
      <c r="C3784" t="s">
        <v>5241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5242</v>
      </c>
      <c r="C3785" t="s">
        <v>5243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5244</v>
      </c>
      <c r="C3786" t="s">
        <v>5245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5246</v>
      </c>
      <c r="C3787" t="s">
        <v>5247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5248</v>
      </c>
      <c r="C3788" t="s">
        <v>5249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5250</v>
      </c>
      <c r="C3789" t="s">
        <v>5251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5252</v>
      </c>
      <c r="C3790" t="s">
        <v>5253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5254</v>
      </c>
      <c r="C3791" t="s">
        <v>5255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5256</v>
      </c>
      <c r="C3792" t="s">
        <v>5257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5258</v>
      </c>
      <c r="C3793" t="s">
        <v>5259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5260</v>
      </c>
      <c r="C3794" t="s">
        <v>5261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5262</v>
      </c>
      <c r="C3795" t="s">
        <v>5263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5264</v>
      </c>
      <c r="C3796" t="s">
        <v>5265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5266</v>
      </c>
      <c r="C3797" t="s">
        <v>5267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5268</v>
      </c>
      <c r="C3798" t="s">
        <v>5269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5270</v>
      </c>
      <c r="C3799" t="s">
        <v>5271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5272</v>
      </c>
      <c r="C3800" t="s">
        <v>5273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5274</v>
      </c>
      <c r="C3801" t="s">
        <v>5275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5276</v>
      </c>
      <c r="C3802" t="s">
        <v>5277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5278</v>
      </c>
      <c r="C3803" t="s">
        <v>5279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5280</v>
      </c>
      <c r="C3804" t="s">
        <v>5281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5282</v>
      </c>
      <c r="C3805" t="s">
        <v>5283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5284</v>
      </c>
      <c r="C3806" t="s">
        <v>5285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5286</v>
      </c>
      <c r="C3807" t="s">
        <v>5287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5288</v>
      </c>
      <c r="C3808" t="s">
        <v>5289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5290</v>
      </c>
      <c r="C3809" t="s">
        <v>5291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5292</v>
      </c>
      <c r="C3810" t="s">
        <v>5293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5294</v>
      </c>
      <c r="C3811" t="s">
        <v>5295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5296</v>
      </c>
      <c r="C3812" t="s">
        <v>5297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5298</v>
      </c>
      <c r="C3813" t="s">
        <v>5299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8890</v>
      </c>
      <c r="C3814" t="s">
        <v>62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5300</v>
      </c>
      <c r="C3815" t="s">
        <v>5301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8891</v>
      </c>
      <c r="C3816" t="s">
        <v>62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5302</v>
      </c>
      <c r="C3817" t="s">
        <v>5303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8892</v>
      </c>
      <c r="C3818" t="s">
        <v>62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5304</v>
      </c>
      <c r="C3819" t="s">
        <v>5305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5306</v>
      </c>
      <c r="C3820" t="s">
        <v>5307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5308</v>
      </c>
      <c r="C3821" t="s">
        <v>5309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5310</v>
      </c>
      <c r="C3822" t="s">
        <v>5311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5312</v>
      </c>
      <c r="C3823" t="s">
        <v>5313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5314</v>
      </c>
      <c r="C3824" t="s">
        <v>5315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5316</v>
      </c>
      <c r="C3825" t="s">
        <v>5317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5318</v>
      </c>
      <c r="C3826" t="s">
        <v>5319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5320</v>
      </c>
      <c r="C3827" t="s">
        <v>5321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5322</v>
      </c>
      <c r="C3828" t="s">
        <v>5323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5324</v>
      </c>
      <c r="C3829" t="s">
        <v>5325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5326</v>
      </c>
      <c r="C3830" t="s">
        <v>5327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5328</v>
      </c>
      <c r="C3831" t="s">
        <v>5329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8893</v>
      </c>
      <c r="C3832" t="s">
        <v>62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8894</v>
      </c>
      <c r="C3833" t="s">
        <v>62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5330</v>
      </c>
      <c r="C3834" t="s">
        <v>5331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5332</v>
      </c>
      <c r="C3835" t="s">
        <v>5333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5334</v>
      </c>
      <c r="C3836" t="s">
        <v>5335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8895</v>
      </c>
      <c r="C3837" t="s">
        <v>62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5336</v>
      </c>
      <c r="C3838" t="s">
        <v>5337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8896</v>
      </c>
      <c r="C3839" t="s">
        <v>62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5338</v>
      </c>
      <c r="C3840" t="s">
        <v>5339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5340</v>
      </c>
      <c r="C3841" t="s">
        <v>5341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8897</v>
      </c>
      <c r="C3842" t="s">
        <v>62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5342</v>
      </c>
      <c r="C3843" t="s">
        <v>5343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5344</v>
      </c>
      <c r="C3844" t="s">
        <v>5345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8898</v>
      </c>
      <c r="C3845" t="s">
        <v>62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5346</v>
      </c>
      <c r="C3846" t="s">
        <v>5347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5348</v>
      </c>
      <c r="C3847" t="s">
        <v>5349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5350</v>
      </c>
      <c r="C3848" t="s">
        <v>5351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8899</v>
      </c>
      <c r="C3849" t="s">
        <v>62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5352</v>
      </c>
      <c r="C3850" t="s">
        <v>5353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5354</v>
      </c>
      <c r="C3851" t="s">
        <v>5355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8900</v>
      </c>
      <c r="C3852" t="s">
        <v>62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5356</v>
      </c>
      <c r="C3853" t="s">
        <v>5357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8901</v>
      </c>
      <c r="C3854" t="s">
        <v>62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5358</v>
      </c>
      <c r="C3855" t="s">
        <v>5359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8902</v>
      </c>
      <c r="C3856" t="s">
        <v>62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5360</v>
      </c>
      <c r="C3857" t="s">
        <v>5361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8903</v>
      </c>
      <c r="C3858" t="s">
        <v>62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5362</v>
      </c>
      <c r="C3859" t="s">
        <v>5363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5364</v>
      </c>
      <c r="C3860" t="s">
        <v>5365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5366</v>
      </c>
      <c r="C3861" t="s">
        <v>5367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5368</v>
      </c>
      <c r="C3862" t="s">
        <v>5369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5370</v>
      </c>
      <c r="C3863" t="s">
        <v>5371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5372</v>
      </c>
      <c r="C3864" t="s">
        <v>5373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5374</v>
      </c>
      <c r="C3865" t="s">
        <v>5375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5376</v>
      </c>
      <c r="C3866" t="s">
        <v>5377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5378</v>
      </c>
      <c r="C3867" t="s">
        <v>5379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8904</v>
      </c>
      <c r="C3868" t="s">
        <v>62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5380</v>
      </c>
      <c r="C3869" t="s">
        <v>5381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5382</v>
      </c>
      <c r="C3870" t="s">
        <v>5383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5384</v>
      </c>
      <c r="C3871" t="s">
        <v>5385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8905</v>
      </c>
      <c r="C3872" t="s">
        <v>62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5386</v>
      </c>
      <c r="C3873" t="s">
        <v>5387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5388</v>
      </c>
      <c r="C3874" t="s">
        <v>5389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5390</v>
      </c>
      <c r="C3875" t="s">
        <v>5391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5392</v>
      </c>
      <c r="C3876" t="s">
        <v>5393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5394</v>
      </c>
      <c r="C3877" t="s">
        <v>5395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8906</v>
      </c>
      <c r="C3878" t="s">
        <v>62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5396</v>
      </c>
      <c r="C3879" t="s">
        <v>5397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5398</v>
      </c>
      <c r="C3880" t="s">
        <v>62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5399</v>
      </c>
      <c r="C3881" t="s">
        <v>5400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8907</v>
      </c>
      <c r="C3882" t="s">
        <v>62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5401</v>
      </c>
      <c r="C3883" t="s">
        <v>5402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8908</v>
      </c>
      <c r="C3884" t="s">
        <v>62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5403</v>
      </c>
      <c r="C3885" t="s">
        <v>5404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5405</v>
      </c>
      <c r="C3886" t="s">
        <v>5406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8909</v>
      </c>
      <c r="C3887" t="s">
        <v>62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5407</v>
      </c>
      <c r="C3888" t="s">
        <v>5408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5409</v>
      </c>
      <c r="C3889" t="s">
        <v>5410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5411</v>
      </c>
      <c r="C3890" t="s">
        <v>5412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5413</v>
      </c>
      <c r="C3891" t="s">
        <v>5414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5415</v>
      </c>
      <c r="C3892" t="s">
        <v>5416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5417</v>
      </c>
      <c r="C3893" t="s">
        <v>5418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8910</v>
      </c>
      <c r="C3894" t="s">
        <v>62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5419</v>
      </c>
      <c r="C3895" t="s">
        <v>5420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5421</v>
      </c>
      <c r="C3896" t="s">
        <v>5422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5423</v>
      </c>
      <c r="C3897" t="s">
        <v>5424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8911</v>
      </c>
      <c r="C3898" t="s">
        <v>62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5425</v>
      </c>
      <c r="C3899" t="s">
        <v>5426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8912</v>
      </c>
      <c r="C3900" t="s">
        <v>62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5427</v>
      </c>
      <c r="C3901" t="s">
        <v>5428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5429</v>
      </c>
      <c r="C3902" t="s">
        <v>5430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5431</v>
      </c>
      <c r="C3903" t="s">
        <v>5432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8913</v>
      </c>
      <c r="C3904" t="s">
        <v>62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5433</v>
      </c>
      <c r="C3905" t="s">
        <v>5434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9828</v>
      </c>
      <c r="C3906" t="s">
        <v>9829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5435</v>
      </c>
      <c r="C3907" t="s">
        <v>5436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5437</v>
      </c>
      <c r="C3908" t="s">
        <v>5438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5439</v>
      </c>
      <c r="C3909" t="s">
        <v>5440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5441</v>
      </c>
      <c r="C3910" t="s">
        <v>5442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5443</v>
      </c>
      <c r="C3911" t="s">
        <v>5444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8914</v>
      </c>
      <c r="C3912" t="s">
        <v>62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5445</v>
      </c>
      <c r="C3913" t="s">
        <v>5446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5447</v>
      </c>
      <c r="C3914" t="s">
        <v>5448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8915</v>
      </c>
      <c r="C3915" t="s">
        <v>62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5449</v>
      </c>
      <c r="C3916" t="s">
        <v>5450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5451</v>
      </c>
      <c r="C3917" t="s">
        <v>5452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5453</v>
      </c>
      <c r="C3918" t="s">
        <v>5454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5455</v>
      </c>
      <c r="C3919" t="s">
        <v>5456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5457</v>
      </c>
      <c r="C3920" t="s">
        <v>5458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5459</v>
      </c>
      <c r="C3921" t="s">
        <v>5460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5461</v>
      </c>
      <c r="C3922" t="s">
        <v>5462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5463</v>
      </c>
      <c r="C3923" t="s">
        <v>5464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8916</v>
      </c>
      <c r="C3924" t="s">
        <v>62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5465</v>
      </c>
      <c r="C3925" t="s">
        <v>5466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8917</v>
      </c>
      <c r="C3926" t="s">
        <v>62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5467</v>
      </c>
      <c r="C3927" t="s">
        <v>5468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5469</v>
      </c>
      <c r="C3928" t="s">
        <v>5470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8918</v>
      </c>
      <c r="C3929" t="s">
        <v>62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5471</v>
      </c>
      <c r="C3930" t="s">
        <v>5472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8919</v>
      </c>
      <c r="C3931" t="s">
        <v>62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5473</v>
      </c>
      <c r="C3932" t="s">
        <v>5474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9830</v>
      </c>
      <c r="C3933" t="s">
        <v>9831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5475</v>
      </c>
      <c r="C3934" t="s">
        <v>5476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8920</v>
      </c>
      <c r="C3935" t="s">
        <v>62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5477</v>
      </c>
      <c r="C3936" t="s">
        <v>5478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8921</v>
      </c>
      <c r="C3937" t="s">
        <v>62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5479</v>
      </c>
      <c r="C3938" t="s">
        <v>5480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5481</v>
      </c>
      <c r="C3939" t="s">
        <v>5482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5483</v>
      </c>
      <c r="C3940" t="s">
        <v>5484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5485</v>
      </c>
      <c r="C3941" t="s">
        <v>5486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5487</v>
      </c>
      <c r="C3942" t="s">
        <v>5488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5489</v>
      </c>
      <c r="C3943" t="s">
        <v>5490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5491</v>
      </c>
      <c r="C3944" t="s">
        <v>5492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5493</v>
      </c>
      <c r="C3945" t="s">
        <v>5494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5495</v>
      </c>
      <c r="C3946" t="s">
        <v>5496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8922</v>
      </c>
      <c r="C3947" t="s">
        <v>62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5497</v>
      </c>
      <c r="C3948" t="s">
        <v>5498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5499</v>
      </c>
      <c r="C3949" t="s">
        <v>5500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8923</v>
      </c>
      <c r="C3950" t="s">
        <v>62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5501</v>
      </c>
      <c r="C3951" t="s">
        <v>5502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8924</v>
      </c>
      <c r="C3952" t="s">
        <v>62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5503</v>
      </c>
      <c r="C3953" t="s">
        <v>5504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5505</v>
      </c>
      <c r="C3954" t="s">
        <v>5504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5506</v>
      </c>
      <c r="C3955" t="s">
        <v>5507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5508</v>
      </c>
      <c r="C3956" t="s">
        <v>5509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5510</v>
      </c>
      <c r="C3957" t="s">
        <v>5511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5512</v>
      </c>
      <c r="C3958" t="s">
        <v>5513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5514</v>
      </c>
      <c r="C3959" t="s">
        <v>5515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8925</v>
      </c>
      <c r="C3960" t="s">
        <v>8926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5516</v>
      </c>
      <c r="C3961" t="s">
        <v>5517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5518</v>
      </c>
      <c r="C3962" t="s">
        <v>5519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5520</v>
      </c>
      <c r="C3963" t="s">
        <v>5521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5522</v>
      </c>
      <c r="C3964" t="s">
        <v>5523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5524</v>
      </c>
      <c r="C3965" t="s">
        <v>5525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5526</v>
      </c>
      <c r="C3966" t="s">
        <v>5527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5528</v>
      </c>
      <c r="C3967" t="s">
        <v>5529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5530</v>
      </c>
      <c r="C3968" t="s">
        <v>5531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5532</v>
      </c>
      <c r="C3969" t="s">
        <v>5533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5534</v>
      </c>
      <c r="C3970" t="s">
        <v>5535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5536</v>
      </c>
      <c r="C3971" t="s">
        <v>5537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5538</v>
      </c>
      <c r="C3972" t="s">
        <v>5539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8927</v>
      </c>
      <c r="C3973" t="s">
        <v>62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5540</v>
      </c>
      <c r="C3974" t="s">
        <v>5541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8928</v>
      </c>
      <c r="C3975" t="s">
        <v>62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5542</v>
      </c>
      <c r="C3976" t="s">
        <v>5543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5544</v>
      </c>
      <c r="C3977" t="s">
        <v>5545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8929</v>
      </c>
      <c r="C3978" t="s">
        <v>62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5546</v>
      </c>
      <c r="C3979" t="s">
        <v>5547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5548</v>
      </c>
      <c r="C3980" t="s">
        <v>5549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5550</v>
      </c>
      <c r="C3981" t="s">
        <v>5551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5552</v>
      </c>
      <c r="C3982" t="s">
        <v>5553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8930</v>
      </c>
      <c r="C3983" t="s">
        <v>62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5554</v>
      </c>
      <c r="C3984" t="s">
        <v>5555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5556</v>
      </c>
      <c r="C3985" t="s">
        <v>5557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5558</v>
      </c>
      <c r="C3986" t="s">
        <v>5559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5560</v>
      </c>
      <c r="C3987" t="s">
        <v>5561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5562</v>
      </c>
      <c r="C3988" t="s">
        <v>5563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5564</v>
      </c>
      <c r="C3989" t="s">
        <v>5565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8931</v>
      </c>
      <c r="C3990" t="s">
        <v>62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5566</v>
      </c>
      <c r="C3991" t="s">
        <v>5567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5568</v>
      </c>
      <c r="C3992" t="s">
        <v>5569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5570</v>
      </c>
      <c r="C3993" t="s">
        <v>5571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5572</v>
      </c>
      <c r="C3994" t="s">
        <v>5573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8932</v>
      </c>
      <c r="C3995" t="s">
        <v>8933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8934</v>
      </c>
      <c r="C3996" t="s">
        <v>8935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8936</v>
      </c>
      <c r="C3997" t="s">
        <v>8937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5574</v>
      </c>
      <c r="C3998" t="s">
        <v>5575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8938</v>
      </c>
      <c r="C3999" t="s">
        <v>8939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5576</v>
      </c>
      <c r="C4000" t="s">
        <v>5577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8940</v>
      </c>
      <c r="C4001" t="s">
        <v>8941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8942</v>
      </c>
      <c r="C4002" t="s">
        <v>62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5578</v>
      </c>
      <c r="C4003" t="s">
        <v>5579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5580</v>
      </c>
      <c r="C4004" t="s">
        <v>5581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8943</v>
      </c>
      <c r="C4005" t="s">
        <v>62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5582</v>
      </c>
      <c r="C4006" t="s">
        <v>5583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5584</v>
      </c>
      <c r="C4007" t="s">
        <v>5585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5586</v>
      </c>
      <c r="C4008" t="s">
        <v>5587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5588</v>
      </c>
      <c r="C4009" t="s">
        <v>5589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5590</v>
      </c>
      <c r="C4010" t="s">
        <v>5591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5592</v>
      </c>
      <c r="C4011" t="s">
        <v>5593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5594</v>
      </c>
      <c r="C4012" t="s">
        <v>5595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5596</v>
      </c>
      <c r="C4013" t="s">
        <v>5597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5598</v>
      </c>
      <c r="C4014" t="s">
        <v>5599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5600</v>
      </c>
      <c r="C4015" t="s">
        <v>5601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5602</v>
      </c>
      <c r="C4016" t="s">
        <v>5603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8944</v>
      </c>
      <c r="C4017" t="s">
        <v>62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5604</v>
      </c>
      <c r="C4018" t="s">
        <v>5605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5606</v>
      </c>
      <c r="C4019" t="s">
        <v>5607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5608</v>
      </c>
      <c r="C4020" t="s">
        <v>5609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5610</v>
      </c>
      <c r="C4021" t="s">
        <v>5611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5612</v>
      </c>
      <c r="C4022" t="s">
        <v>5613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8945</v>
      </c>
      <c r="C4023" t="s">
        <v>62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5614</v>
      </c>
      <c r="C4024" t="s">
        <v>5615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5616</v>
      </c>
      <c r="C4025" t="s">
        <v>5617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8946</v>
      </c>
      <c r="C4026" t="s">
        <v>62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5618</v>
      </c>
      <c r="C4027" t="s">
        <v>5619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8947</v>
      </c>
      <c r="C4028" t="s">
        <v>62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8948</v>
      </c>
      <c r="C4029" t="s">
        <v>62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5620</v>
      </c>
      <c r="C4030" t="s">
        <v>5621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8949</v>
      </c>
      <c r="C4031" t="s">
        <v>62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5622</v>
      </c>
      <c r="C4032" t="s">
        <v>5623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5624</v>
      </c>
      <c r="C4033" t="s">
        <v>5625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8950</v>
      </c>
      <c r="C4034" t="s">
        <v>62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5626</v>
      </c>
      <c r="C4035" t="s">
        <v>5627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8951</v>
      </c>
      <c r="C4036" t="s">
        <v>62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5628</v>
      </c>
      <c r="C4037" t="s">
        <v>5629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5630</v>
      </c>
      <c r="C4038" t="s">
        <v>5631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8952</v>
      </c>
      <c r="C4039" t="s">
        <v>62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5632</v>
      </c>
      <c r="C4040" t="s">
        <v>5633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5634</v>
      </c>
      <c r="C4041" t="s">
        <v>5635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5636</v>
      </c>
      <c r="C4042" t="s">
        <v>5637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8953</v>
      </c>
      <c r="C4043" t="s">
        <v>62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5638</v>
      </c>
      <c r="C4044" t="s">
        <v>5639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8954</v>
      </c>
      <c r="C4045" t="s">
        <v>62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5640</v>
      </c>
      <c r="C4046" t="s">
        <v>5641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5642</v>
      </c>
      <c r="C4047" t="s">
        <v>5643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8955</v>
      </c>
      <c r="C4048" t="s">
        <v>62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5644</v>
      </c>
      <c r="C4049" t="s">
        <v>5645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8956</v>
      </c>
      <c r="C4050" t="s">
        <v>62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5646</v>
      </c>
      <c r="C4051" t="s">
        <v>5647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5648</v>
      </c>
      <c r="C4052" t="s">
        <v>5649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5650</v>
      </c>
      <c r="C4053" t="s">
        <v>5651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5652</v>
      </c>
      <c r="C4054" t="s">
        <v>5653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5654</v>
      </c>
      <c r="C4055" t="s">
        <v>5655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8957</v>
      </c>
      <c r="C4056" t="s">
        <v>62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5656</v>
      </c>
      <c r="C4057" t="s">
        <v>5657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5658</v>
      </c>
      <c r="C4058" t="s">
        <v>5659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8958</v>
      </c>
      <c r="C4059" t="s">
        <v>62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5660</v>
      </c>
      <c r="C4060" t="s">
        <v>5661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5662</v>
      </c>
      <c r="C4061" t="s">
        <v>5663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5664</v>
      </c>
      <c r="C4062" t="s">
        <v>5665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8959</v>
      </c>
      <c r="C4063" t="s">
        <v>62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5666</v>
      </c>
      <c r="C4064" t="s">
        <v>5667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5668</v>
      </c>
      <c r="C4065" t="s">
        <v>5669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5670</v>
      </c>
      <c r="C4066" t="s">
        <v>5671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8960</v>
      </c>
      <c r="C4067" t="s">
        <v>8961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8962</v>
      </c>
      <c r="C4068" t="s">
        <v>8963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9832</v>
      </c>
      <c r="C4069" t="s">
        <v>8965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8964</v>
      </c>
      <c r="C4070" t="s">
        <v>8965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5672</v>
      </c>
      <c r="C4071" t="s">
        <v>5673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5674</v>
      </c>
      <c r="C4072" t="s">
        <v>5675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8966</v>
      </c>
      <c r="C4073" t="s">
        <v>62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5676</v>
      </c>
      <c r="C4074" t="s">
        <v>5677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8967</v>
      </c>
      <c r="C4075" t="s">
        <v>62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5678</v>
      </c>
      <c r="C4076" t="s">
        <v>9833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8968</v>
      </c>
      <c r="C4077" t="s">
        <v>62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5679</v>
      </c>
      <c r="C4078" t="s">
        <v>5680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5681</v>
      </c>
      <c r="C4079" t="s">
        <v>5682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5683</v>
      </c>
      <c r="C4080" t="s">
        <v>5684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5685</v>
      </c>
      <c r="C4081" t="s">
        <v>5686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5687</v>
      </c>
      <c r="C4082" t="s">
        <v>5688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8969</v>
      </c>
      <c r="C4083" t="s">
        <v>62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5689</v>
      </c>
      <c r="C4084" t="s">
        <v>5690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5691</v>
      </c>
      <c r="C4085" t="s">
        <v>5692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8970</v>
      </c>
      <c r="C4086" t="s">
        <v>62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5693</v>
      </c>
      <c r="C4087" t="s">
        <v>5694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5695</v>
      </c>
      <c r="C4088" t="s">
        <v>5696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5697</v>
      </c>
      <c r="C4089" t="s">
        <v>5698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8971</v>
      </c>
      <c r="C4090" t="s">
        <v>62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5699</v>
      </c>
      <c r="C4091" t="s">
        <v>5700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8972</v>
      </c>
      <c r="C4092" t="s">
        <v>62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5701</v>
      </c>
      <c r="C4093" t="s">
        <v>5702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8973</v>
      </c>
      <c r="C4094" t="s">
        <v>62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5703</v>
      </c>
      <c r="C4095" t="s">
        <v>5704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5705</v>
      </c>
      <c r="C4096" t="s">
        <v>5706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8974</v>
      </c>
      <c r="C4097" t="s">
        <v>62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5707</v>
      </c>
      <c r="C4098" t="s">
        <v>5708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5709</v>
      </c>
      <c r="C4099" t="s">
        <v>5710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5711</v>
      </c>
      <c r="C4100" t="s">
        <v>5712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5713</v>
      </c>
      <c r="C4101" t="s">
        <v>5714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8975</v>
      </c>
      <c r="C4102" t="s">
        <v>62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5715</v>
      </c>
      <c r="C4103" t="s">
        <v>5716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8976</v>
      </c>
      <c r="C4104" t="s">
        <v>62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5717</v>
      </c>
      <c r="C4105" t="s">
        <v>5718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8977</v>
      </c>
      <c r="C4106" t="s">
        <v>62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5719</v>
      </c>
      <c r="C4107" t="s">
        <v>5718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8978</v>
      </c>
      <c r="C4108" t="s">
        <v>62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5720</v>
      </c>
      <c r="C4109" t="s">
        <v>5721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8979</v>
      </c>
      <c r="C4110" t="s">
        <v>62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5722</v>
      </c>
      <c r="C4111" t="s">
        <v>5723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8980</v>
      </c>
      <c r="C4112" t="s">
        <v>62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5724</v>
      </c>
      <c r="C4113" t="s">
        <v>5725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5726</v>
      </c>
      <c r="C4114" t="s">
        <v>5727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5728</v>
      </c>
      <c r="C4115" t="s">
        <v>5729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8981</v>
      </c>
      <c r="C4116" t="s">
        <v>62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5730</v>
      </c>
      <c r="C4117" t="s">
        <v>5731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8982</v>
      </c>
      <c r="C4118" t="s">
        <v>62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5732</v>
      </c>
      <c r="C4119" t="s">
        <v>5733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8983</v>
      </c>
      <c r="C4120" t="s">
        <v>62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5734</v>
      </c>
      <c r="C4121" t="s">
        <v>5735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5736</v>
      </c>
      <c r="C4122" t="s">
        <v>5737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8984</v>
      </c>
      <c r="C4123" t="s">
        <v>62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5738</v>
      </c>
      <c r="C4124" t="s">
        <v>5739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8985</v>
      </c>
      <c r="C4125" t="s">
        <v>62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5740</v>
      </c>
      <c r="C4126" t="s">
        <v>5741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8986</v>
      </c>
      <c r="C4127" t="s">
        <v>62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5742</v>
      </c>
      <c r="C4128" t="s">
        <v>5743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8987</v>
      </c>
      <c r="C4129" t="s">
        <v>62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5744</v>
      </c>
      <c r="C4130" t="s">
        <v>5745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8988</v>
      </c>
      <c r="C4131" t="s">
        <v>62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5746</v>
      </c>
      <c r="C4132" t="s">
        <v>5747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8989</v>
      </c>
      <c r="C4133" t="s">
        <v>62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5748</v>
      </c>
      <c r="C4134" t="s">
        <v>5749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8990</v>
      </c>
      <c r="C4135" t="s">
        <v>62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5750</v>
      </c>
      <c r="C4136" t="s">
        <v>5751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5752</v>
      </c>
      <c r="C4137" t="s">
        <v>5753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5754</v>
      </c>
      <c r="C4138" t="s">
        <v>62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5755</v>
      </c>
      <c r="C4139" t="s">
        <v>5756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5757</v>
      </c>
      <c r="C4140" t="s">
        <v>5758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5759</v>
      </c>
      <c r="C4141" t="s">
        <v>5760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5761</v>
      </c>
      <c r="C4142" t="s">
        <v>5762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5763</v>
      </c>
      <c r="C4143" t="s">
        <v>5764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5765</v>
      </c>
      <c r="C4144" t="s">
        <v>5766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5767</v>
      </c>
      <c r="C4145" t="s">
        <v>5768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5769</v>
      </c>
      <c r="C4146" t="s">
        <v>5770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8991</v>
      </c>
      <c r="C4147" t="s">
        <v>62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5771</v>
      </c>
      <c r="C4148" t="s">
        <v>5772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8992</v>
      </c>
      <c r="C4149" t="s">
        <v>62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5773</v>
      </c>
      <c r="C4150" t="s">
        <v>5774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5775</v>
      </c>
      <c r="C4151" t="s">
        <v>5776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5777</v>
      </c>
      <c r="C4152" t="s">
        <v>5778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8993</v>
      </c>
      <c r="C4153" t="s">
        <v>62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5779</v>
      </c>
      <c r="C4154" t="s">
        <v>5780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5781</v>
      </c>
      <c r="C4155" t="s">
        <v>5782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8994</v>
      </c>
      <c r="C4156" t="s">
        <v>62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5783</v>
      </c>
      <c r="C4157" t="s">
        <v>5784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5785</v>
      </c>
      <c r="C4158" t="s">
        <v>5786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8995</v>
      </c>
      <c r="C4159" t="s">
        <v>62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5787</v>
      </c>
      <c r="C4160" t="s">
        <v>5788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5789</v>
      </c>
      <c r="C4161" t="s">
        <v>5790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8996</v>
      </c>
      <c r="C4162" t="s">
        <v>62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5791</v>
      </c>
      <c r="C4163" t="s">
        <v>5792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8997</v>
      </c>
      <c r="C4164" t="s">
        <v>62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5793</v>
      </c>
      <c r="C4165" t="s">
        <v>5794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5795</v>
      </c>
      <c r="C4166" t="s">
        <v>5796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5797</v>
      </c>
      <c r="C4167" t="s">
        <v>5798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5799</v>
      </c>
      <c r="C4168" t="s">
        <v>5800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8998</v>
      </c>
      <c r="C4169" t="s">
        <v>62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5801</v>
      </c>
      <c r="C4170" t="s">
        <v>5802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5803</v>
      </c>
      <c r="C4171" t="s">
        <v>5804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5806</v>
      </c>
      <c r="C4172" t="s">
        <v>5807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8999</v>
      </c>
      <c r="C4173" t="s">
        <v>62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5808</v>
      </c>
      <c r="C4174" t="s">
        <v>5809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5810</v>
      </c>
      <c r="C4175" t="s">
        <v>5811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5812</v>
      </c>
      <c r="C4176" t="s">
        <v>5813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9000</v>
      </c>
      <c r="C4177" t="s">
        <v>62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5814</v>
      </c>
      <c r="C4178" t="s">
        <v>5815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9001</v>
      </c>
      <c r="C4179" t="s">
        <v>62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5816</v>
      </c>
      <c r="C4180" t="s">
        <v>5817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5818</v>
      </c>
      <c r="C4181" t="s">
        <v>5819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5820</v>
      </c>
      <c r="C4182" t="s">
        <v>5821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9002</v>
      </c>
      <c r="C4183" t="s">
        <v>62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5822</v>
      </c>
      <c r="C4184" t="s">
        <v>5823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9003</v>
      </c>
      <c r="C4185" t="s">
        <v>62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5824</v>
      </c>
      <c r="C4186" t="s">
        <v>5825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9004</v>
      </c>
      <c r="C4187" t="s">
        <v>62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5826</v>
      </c>
      <c r="C4188" t="s">
        <v>5827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5828</v>
      </c>
      <c r="C4189" t="s">
        <v>5829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9005</v>
      </c>
      <c r="C4190" t="s">
        <v>62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5830</v>
      </c>
      <c r="C4191" t="s">
        <v>5831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9006</v>
      </c>
      <c r="C4192" t="s">
        <v>62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5832</v>
      </c>
      <c r="C4193" t="s">
        <v>5833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9007</v>
      </c>
      <c r="C4194" t="s">
        <v>62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5834</v>
      </c>
      <c r="C4195" t="s">
        <v>5835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9008</v>
      </c>
      <c r="C4196" t="s">
        <v>62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5836</v>
      </c>
      <c r="C4197" t="s">
        <v>5837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5838</v>
      </c>
      <c r="C4198" t="s">
        <v>5839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5840</v>
      </c>
      <c r="C4199" t="s">
        <v>5841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5842</v>
      </c>
      <c r="C4200" t="s">
        <v>5843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9009</v>
      </c>
      <c r="C4201" t="s">
        <v>62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5844</v>
      </c>
      <c r="C4202" t="s">
        <v>5845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5846</v>
      </c>
      <c r="C4203" t="s">
        <v>5847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5848</v>
      </c>
      <c r="C4204" t="s">
        <v>5849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5850</v>
      </c>
      <c r="C4205" t="s">
        <v>9834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9010</v>
      </c>
      <c r="C4206" t="s">
        <v>62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5851</v>
      </c>
      <c r="C4207" t="s">
        <v>5852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5853</v>
      </c>
      <c r="C4208" t="s">
        <v>5854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9011</v>
      </c>
      <c r="C4209" t="s">
        <v>62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5855</v>
      </c>
      <c r="C4210" t="s">
        <v>5856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5857</v>
      </c>
      <c r="C4211" t="s">
        <v>5858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9012</v>
      </c>
      <c r="C4212" t="s">
        <v>62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5859</v>
      </c>
      <c r="C4213" t="s">
        <v>5860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9013</v>
      </c>
      <c r="C4214" t="s">
        <v>62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5861</v>
      </c>
      <c r="C4215" t="s">
        <v>5862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5863</v>
      </c>
      <c r="C4216" t="s">
        <v>5864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9014</v>
      </c>
      <c r="C4217" t="s">
        <v>62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5865</v>
      </c>
      <c r="C4218" t="s">
        <v>5866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5867</v>
      </c>
      <c r="C4219" t="s">
        <v>5868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5869</v>
      </c>
      <c r="C4220" t="s">
        <v>5870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5871</v>
      </c>
      <c r="C4221" t="s">
        <v>5872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5873</v>
      </c>
      <c r="C4222" t="s">
        <v>5874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9015</v>
      </c>
      <c r="C4223" t="s">
        <v>62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5875</v>
      </c>
      <c r="C4224" t="s">
        <v>5876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9016</v>
      </c>
      <c r="C4225" t="s">
        <v>62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5877</v>
      </c>
      <c r="C4226" t="s">
        <v>5878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5879</v>
      </c>
      <c r="C4227" t="s">
        <v>5880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5881</v>
      </c>
      <c r="C4228" t="s">
        <v>5882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9017</v>
      </c>
      <c r="C4229" t="s">
        <v>62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5883</v>
      </c>
      <c r="C4230" t="s">
        <v>5884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9018</v>
      </c>
      <c r="C4231" t="s">
        <v>62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5885</v>
      </c>
      <c r="C4232" t="s">
        <v>5886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9019</v>
      </c>
      <c r="C4233" t="s">
        <v>62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5887</v>
      </c>
      <c r="C4234" t="s">
        <v>5888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9020</v>
      </c>
      <c r="C4235" t="s">
        <v>62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5889</v>
      </c>
      <c r="C4236" t="s">
        <v>5890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9021</v>
      </c>
      <c r="C4237" t="s">
        <v>62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5891</v>
      </c>
      <c r="C4238" t="s">
        <v>5892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5893</v>
      </c>
      <c r="C4239" t="s">
        <v>5894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5895</v>
      </c>
      <c r="C4240" t="s">
        <v>5896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5897</v>
      </c>
      <c r="C4241" t="s">
        <v>5898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9022</v>
      </c>
      <c r="C4242" t="s">
        <v>62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5899</v>
      </c>
      <c r="C4243" t="s">
        <v>5900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5901</v>
      </c>
      <c r="C4244" t="s">
        <v>5902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5903</v>
      </c>
      <c r="C4245" t="s">
        <v>5904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5905</v>
      </c>
      <c r="C4246" t="s">
        <v>5906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9023</v>
      </c>
      <c r="C4247" t="s">
        <v>62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5907</v>
      </c>
      <c r="C4248" t="s">
        <v>5908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5909</v>
      </c>
      <c r="C4249" t="s">
        <v>5910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5911</v>
      </c>
      <c r="C4250" t="s">
        <v>5912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5913</v>
      </c>
      <c r="C4251" t="s">
        <v>5914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5915</v>
      </c>
      <c r="C4252" t="s">
        <v>5916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5917</v>
      </c>
      <c r="C4253" t="s">
        <v>5918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5919</v>
      </c>
      <c r="C4254" t="s">
        <v>5920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9024</v>
      </c>
      <c r="C4255" t="s">
        <v>62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5921</v>
      </c>
      <c r="C4256" t="s">
        <v>5922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5923</v>
      </c>
      <c r="C4257" t="s">
        <v>5924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5925</v>
      </c>
      <c r="C4258" t="s">
        <v>5926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5927</v>
      </c>
      <c r="C4259" t="s">
        <v>5928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9025</v>
      </c>
      <c r="C4260" t="s">
        <v>62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9026</v>
      </c>
      <c r="C4261" t="s">
        <v>9027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5929</v>
      </c>
      <c r="C4262" t="s">
        <v>5930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9028</v>
      </c>
      <c r="C4263" t="s">
        <v>62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5931</v>
      </c>
      <c r="C4264" t="s">
        <v>5932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5933</v>
      </c>
      <c r="C4265" t="s">
        <v>5934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9029</v>
      </c>
      <c r="C4266" t="s">
        <v>62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5935</v>
      </c>
      <c r="C4267" t="s">
        <v>5936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9030</v>
      </c>
      <c r="C4268" t="s">
        <v>62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5937</v>
      </c>
      <c r="C4269" t="s">
        <v>5747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5938</v>
      </c>
      <c r="C4270" t="s">
        <v>5939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5940</v>
      </c>
      <c r="C4271" t="s">
        <v>5941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9031</v>
      </c>
      <c r="C4272" t="s">
        <v>62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5942</v>
      </c>
      <c r="C4273" t="s">
        <v>5943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5944</v>
      </c>
      <c r="C4274" t="s">
        <v>5945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5946</v>
      </c>
      <c r="C4275" t="s">
        <v>5947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9032</v>
      </c>
      <c r="C4276" t="s">
        <v>62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5948</v>
      </c>
      <c r="C4277" t="s">
        <v>5949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5950</v>
      </c>
      <c r="C4278" t="s">
        <v>5951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9033</v>
      </c>
      <c r="C4279" t="s">
        <v>62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5952</v>
      </c>
      <c r="C4280" t="s">
        <v>5953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5954</v>
      </c>
      <c r="C4281" t="s">
        <v>5955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5956</v>
      </c>
      <c r="C4282" t="s">
        <v>5957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5958</v>
      </c>
      <c r="C4283" t="s">
        <v>5959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5960</v>
      </c>
      <c r="C4284" t="s">
        <v>5961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5962</v>
      </c>
      <c r="C4285" t="s">
        <v>5963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5964</v>
      </c>
      <c r="C4286" t="s">
        <v>5965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9034</v>
      </c>
      <c r="C4287" t="s">
        <v>62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5966</v>
      </c>
      <c r="C4288" t="s">
        <v>5967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9035</v>
      </c>
      <c r="C4289" t="s">
        <v>62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5968</v>
      </c>
      <c r="C4290" t="s">
        <v>5969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5970</v>
      </c>
      <c r="C4291" t="s">
        <v>5971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5972</v>
      </c>
      <c r="C4292" t="s">
        <v>5973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5974</v>
      </c>
      <c r="C4293" t="s">
        <v>5975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9036</v>
      </c>
      <c r="C4294" t="s">
        <v>62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5976</v>
      </c>
      <c r="C4295" t="s">
        <v>5977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9037</v>
      </c>
      <c r="C4296" t="s">
        <v>62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5978</v>
      </c>
      <c r="C4297" t="s">
        <v>62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9038</v>
      </c>
      <c r="C4298" t="s">
        <v>62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5979</v>
      </c>
      <c r="C4299" t="s">
        <v>5980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5981</v>
      </c>
      <c r="C4300" t="s">
        <v>5982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9039</v>
      </c>
      <c r="C4301" t="s">
        <v>62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5983</v>
      </c>
      <c r="C4302" t="s">
        <v>5984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5985</v>
      </c>
      <c r="C4303" t="s">
        <v>5986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5987</v>
      </c>
      <c r="C4304" t="s">
        <v>5988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5989</v>
      </c>
      <c r="C4305" t="s">
        <v>5990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5991</v>
      </c>
      <c r="C4306" t="s">
        <v>5992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9040</v>
      </c>
      <c r="C4307" t="s">
        <v>62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5993</v>
      </c>
      <c r="C4308" t="s">
        <v>5994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9041</v>
      </c>
      <c r="C4309" t="s">
        <v>62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5995</v>
      </c>
      <c r="C4310" t="s">
        <v>5996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9042</v>
      </c>
      <c r="C4311" t="s">
        <v>62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5997</v>
      </c>
      <c r="C4312" t="s">
        <v>5998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9043</v>
      </c>
      <c r="C4313" t="s">
        <v>62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5999</v>
      </c>
      <c r="C4314" t="s">
        <v>6000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9044</v>
      </c>
      <c r="C4315" t="s">
        <v>62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6001</v>
      </c>
      <c r="C4316" t="s">
        <v>6002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9045</v>
      </c>
      <c r="C4317" t="s">
        <v>62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6003</v>
      </c>
      <c r="C4318" t="s">
        <v>6004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9046</v>
      </c>
      <c r="C4319" t="s">
        <v>62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6005</v>
      </c>
      <c r="C4320" t="s">
        <v>6006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6007</v>
      </c>
      <c r="C4321" t="s">
        <v>6008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6009</v>
      </c>
      <c r="C4322" t="s">
        <v>6010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9047</v>
      </c>
      <c r="C4323" t="s">
        <v>62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6011</v>
      </c>
      <c r="C4324" t="s">
        <v>6012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9048</v>
      </c>
      <c r="C4325" t="s">
        <v>62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6013</v>
      </c>
      <c r="C4326" t="s">
        <v>6014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9049</v>
      </c>
      <c r="C4327" t="s">
        <v>62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6015</v>
      </c>
      <c r="C4328" t="s">
        <v>6016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9050</v>
      </c>
      <c r="C4329" t="s">
        <v>62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6017</v>
      </c>
      <c r="C4330" t="s">
        <v>6018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9051</v>
      </c>
      <c r="C4331" t="s">
        <v>62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6019</v>
      </c>
      <c r="C4332" t="s">
        <v>6020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6021</v>
      </c>
      <c r="C4333" t="s">
        <v>6022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6023</v>
      </c>
      <c r="C4334" t="s">
        <v>6024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9052</v>
      </c>
      <c r="C4335" t="s">
        <v>62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6025</v>
      </c>
      <c r="C4336" t="s">
        <v>6026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9053</v>
      </c>
      <c r="C4337" t="s">
        <v>62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6027</v>
      </c>
      <c r="C4338" t="s">
        <v>6028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6029</v>
      </c>
      <c r="C4339" t="s">
        <v>6030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6031</v>
      </c>
      <c r="C4340" t="s">
        <v>6032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6033</v>
      </c>
      <c r="C4341" t="s">
        <v>6034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9054</v>
      </c>
      <c r="C4342" t="s">
        <v>62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6035</v>
      </c>
      <c r="C4343" t="s">
        <v>6036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6037</v>
      </c>
      <c r="C4344" t="s">
        <v>6038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6039</v>
      </c>
      <c r="C4345" t="s">
        <v>6040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9055</v>
      </c>
      <c r="C4346" t="s">
        <v>62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6041</v>
      </c>
      <c r="C4347" t="s">
        <v>6042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9056</v>
      </c>
      <c r="C4348" t="s">
        <v>62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6043</v>
      </c>
      <c r="C4349" t="s">
        <v>6044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9057</v>
      </c>
      <c r="C4350" t="s">
        <v>62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6045</v>
      </c>
      <c r="C4351" t="s">
        <v>6046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6047</v>
      </c>
      <c r="C4352" t="s">
        <v>6048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6049</v>
      </c>
      <c r="C4353" t="s">
        <v>6050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6051</v>
      </c>
      <c r="C4354" t="s">
        <v>6052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6053</v>
      </c>
      <c r="C4355" t="s">
        <v>9835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6054</v>
      </c>
      <c r="C4356" t="s">
        <v>6055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6056</v>
      </c>
      <c r="C4357" t="s">
        <v>6057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6058</v>
      </c>
      <c r="C4358" t="s">
        <v>6059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9836</v>
      </c>
      <c r="C4359" t="s">
        <v>9837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9058</v>
      </c>
      <c r="C4360" t="s">
        <v>62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6060</v>
      </c>
      <c r="C4361" t="s">
        <v>6061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6062</v>
      </c>
      <c r="C4362" t="s">
        <v>6063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6064</v>
      </c>
      <c r="C4363" t="s">
        <v>6065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6066</v>
      </c>
      <c r="C4364" t="s">
        <v>6067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9059</v>
      </c>
      <c r="C4365" t="s">
        <v>62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6068</v>
      </c>
      <c r="C4366" t="s">
        <v>6069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6070</v>
      </c>
      <c r="C4367" t="s">
        <v>6071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6072</v>
      </c>
      <c r="C4368" t="s">
        <v>6073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9060</v>
      </c>
      <c r="C4369" t="s">
        <v>62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6074</v>
      </c>
      <c r="C4370" t="s">
        <v>6075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6076</v>
      </c>
      <c r="C4371" t="s">
        <v>6077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9061</v>
      </c>
      <c r="C4372" t="s">
        <v>62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6078</v>
      </c>
      <c r="C4373" t="s">
        <v>6079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6080</v>
      </c>
      <c r="C4374" t="s">
        <v>6081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6082</v>
      </c>
      <c r="C4375" t="s">
        <v>62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6083</v>
      </c>
      <c r="C4376" t="s">
        <v>6084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6085</v>
      </c>
      <c r="C4377" t="s">
        <v>6086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6087</v>
      </c>
      <c r="C4378" t="s">
        <v>6088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9062</v>
      </c>
      <c r="C4379" t="s">
        <v>62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6089</v>
      </c>
      <c r="C4380" t="s">
        <v>6090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9063</v>
      </c>
      <c r="C4381" t="s">
        <v>62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6091</v>
      </c>
      <c r="C4382" t="s">
        <v>6092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6093</v>
      </c>
      <c r="C4383" t="s">
        <v>6094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6095</v>
      </c>
      <c r="C4384" t="s">
        <v>6096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6097</v>
      </c>
      <c r="C4385" t="s">
        <v>6098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6099</v>
      </c>
      <c r="C4386" t="s">
        <v>6100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6101</v>
      </c>
      <c r="C4387" t="s">
        <v>6102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6103</v>
      </c>
      <c r="C4388" t="s">
        <v>6104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9064</v>
      </c>
      <c r="C4389" t="s">
        <v>62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6105</v>
      </c>
      <c r="C4390" t="s">
        <v>6106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9065</v>
      </c>
      <c r="C4391" t="s">
        <v>62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6107</v>
      </c>
      <c r="C4392" t="s">
        <v>6108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6109</v>
      </c>
      <c r="C4393" t="s">
        <v>6110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6111</v>
      </c>
      <c r="C4394" t="s">
        <v>6112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6113</v>
      </c>
      <c r="C4395" t="s">
        <v>6114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6115</v>
      </c>
      <c r="C4396" t="s">
        <v>6116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9066</v>
      </c>
      <c r="C4397" t="s">
        <v>62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6117</v>
      </c>
      <c r="C4398" t="s">
        <v>5805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6118</v>
      </c>
      <c r="C4399" t="s">
        <v>6119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6120</v>
      </c>
      <c r="C4400" t="s">
        <v>6121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6122</v>
      </c>
      <c r="C4401" t="s">
        <v>6123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9067</v>
      </c>
      <c r="C4402" t="s">
        <v>62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6124</v>
      </c>
      <c r="C4403" t="s">
        <v>5805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6125</v>
      </c>
      <c r="C4404" t="s">
        <v>6126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6127</v>
      </c>
      <c r="C4405" t="s">
        <v>6128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6129</v>
      </c>
      <c r="C4406" t="s">
        <v>6130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6131</v>
      </c>
      <c r="C4407" t="s">
        <v>6132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6133</v>
      </c>
      <c r="C4408" t="s">
        <v>9838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9068</v>
      </c>
      <c r="C4409" t="s">
        <v>62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6134</v>
      </c>
      <c r="C4410" t="s">
        <v>6135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9069</v>
      </c>
      <c r="C4411" t="s">
        <v>62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6136</v>
      </c>
      <c r="C4412" t="s">
        <v>6137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9070</v>
      </c>
      <c r="C4413" t="s">
        <v>62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6138</v>
      </c>
      <c r="C4414" t="s">
        <v>6139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9071</v>
      </c>
      <c r="C4415" t="s">
        <v>62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6140</v>
      </c>
      <c r="C4416" t="s">
        <v>6141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6142</v>
      </c>
      <c r="C4417" t="s">
        <v>6143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6144</v>
      </c>
      <c r="C4418" t="s">
        <v>6145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6146</v>
      </c>
      <c r="C4419" t="s">
        <v>6147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9072</v>
      </c>
      <c r="C4420" t="s">
        <v>62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6148</v>
      </c>
      <c r="C4421" t="s">
        <v>6149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9839</v>
      </c>
      <c r="C4422" t="s">
        <v>9840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6150</v>
      </c>
      <c r="C4423" t="s">
        <v>6151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6152</v>
      </c>
      <c r="C4424" t="s">
        <v>6153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6154</v>
      </c>
      <c r="C4425" t="s">
        <v>6155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9841</v>
      </c>
      <c r="C4426" t="s">
        <v>9842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6156</v>
      </c>
      <c r="C4427" t="s">
        <v>6157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6158</v>
      </c>
      <c r="C4428" t="s">
        <v>6159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6160</v>
      </c>
      <c r="C4429" t="s">
        <v>6161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9073</v>
      </c>
      <c r="C4430" t="s">
        <v>62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6162</v>
      </c>
      <c r="C4431" t="s">
        <v>6163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6164</v>
      </c>
      <c r="C4432" t="s">
        <v>6165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6166</v>
      </c>
      <c r="C4433" t="s">
        <v>6167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6168</v>
      </c>
      <c r="C4434" t="s">
        <v>6169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6170</v>
      </c>
      <c r="C4435" t="s">
        <v>6171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6172</v>
      </c>
      <c r="C4436" t="s">
        <v>6173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6174</v>
      </c>
      <c r="C4437" t="s">
        <v>6175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9074</v>
      </c>
      <c r="C4438" t="s">
        <v>62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6176</v>
      </c>
      <c r="C4439" t="s">
        <v>6177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6178</v>
      </c>
      <c r="C4440" t="s">
        <v>6179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6180</v>
      </c>
      <c r="C4441" t="s">
        <v>6181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6182</v>
      </c>
      <c r="C4442" t="s">
        <v>6183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9075</v>
      </c>
      <c r="C4443" t="s">
        <v>62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6184</v>
      </c>
      <c r="C4444" t="s">
        <v>6185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9076</v>
      </c>
      <c r="C4445" t="s">
        <v>62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6186</v>
      </c>
      <c r="C4446" t="s">
        <v>6187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6188</v>
      </c>
      <c r="C4447" t="s">
        <v>6189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6190</v>
      </c>
      <c r="C4448" t="s">
        <v>6191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9077</v>
      </c>
      <c r="C4449" t="s">
        <v>62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6192</v>
      </c>
      <c r="C4450" t="s">
        <v>6193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6194</v>
      </c>
      <c r="C4451" t="s">
        <v>6195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6196</v>
      </c>
      <c r="C4452" t="s">
        <v>6197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6198</v>
      </c>
      <c r="C4453" t="s">
        <v>6199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9078</v>
      </c>
      <c r="C4454" t="s">
        <v>62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6200</v>
      </c>
      <c r="C4455" t="s">
        <v>6201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9079</v>
      </c>
      <c r="C4456" t="s">
        <v>62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6202</v>
      </c>
      <c r="C4457" t="s">
        <v>6203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9080</v>
      </c>
      <c r="C4458" t="s">
        <v>62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6204</v>
      </c>
      <c r="C4459" t="s">
        <v>6205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9081</v>
      </c>
      <c r="C4460" t="s">
        <v>62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6206</v>
      </c>
      <c r="C4461" t="s">
        <v>6207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6208</v>
      </c>
      <c r="C4462" t="s">
        <v>6209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6210</v>
      </c>
      <c r="C4463" t="s">
        <v>6211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9082</v>
      </c>
      <c r="C4464" t="s">
        <v>62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6212</v>
      </c>
      <c r="C4465" t="s">
        <v>6213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6214</v>
      </c>
      <c r="C4466" t="s">
        <v>6215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9083</v>
      </c>
      <c r="C4467" t="s">
        <v>62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6216</v>
      </c>
      <c r="C4468" t="s">
        <v>6217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9084</v>
      </c>
      <c r="C4469" t="s">
        <v>62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6218</v>
      </c>
      <c r="C4470" t="s">
        <v>6219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9085</v>
      </c>
      <c r="C4471" t="s">
        <v>62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6220</v>
      </c>
      <c r="C4472" t="s">
        <v>6221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6222</v>
      </c>
      <c r="C4473" t="s">
        <v>6223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6224</v>
      </c>
      <c r="C4474" t="s">
        <v>6225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6226</v>
      </c>
      <c r="C4475" t="s">
        <v>6227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9086</v>
      </c>
      <c r="C4476" t="s">
        <v>62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6228</v>
      </c>
      <c r="C4477" t="s">
        <v>6229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9087</v>
      </c>
      <c r="C4478" t="s">
        <v>62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6230</v>
      </c>
      <c r="C4479" t="s">
        <v>6203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9088</v>
      </c>
      <c r="C4480" t="s">
        <v>62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6231</v>
      </c>
      <c r="C4481" t="s">
        <v>6232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9089</v>
      </c>
      <c r="C4482" t="s">
        <v>62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6233</v>
      </c>
      <c r="C4483" t="s">
        <v>6234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9090</v>
      </c>
      <c r="C4484" t="s">
        <v>62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6235</v>
      </c>
      <c r="C4485" t="s">
        <v>6234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9091</v>
      </c>
      <c r="C4486" t="s">
        <v>62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6236</v>
      </c>
      <c r="C4487" t="s">
        <v>6237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9092</v>
      </c>
      <c r="C4488" t="s">
        <v>62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6238</v>
      </c>
      <c r="C4489" t="s">
        <v>5805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6239</v>
      </c>
      <c r="C4490" t="s">
        <v>62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6240</v>
      </c>
      <c r="C4491" t="s">
        <v>6241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6242</v>
      </c>
      <c r="C4492" t="s">
        <v>6243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6244</v>
      </c>
      <c r="C4493" t="s">
        <v>6245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6246</v>
      </c>
      <c r="C4494" t="s">
        <v>6247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6248</v>
      </c>
      <c r="C4495" t="s">
        <v>62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6249</v>
      </c>
      <c r="C4496" t="s">
        <v>6250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6251</v>
      </c>
      <c r="C4497" t="s">
        <v>6252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9093</v>
      </c>
      <c r="C4498" t="s">
        <v>62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6253</v>
      </c>
      <c r="C4499" t="s">
        <v>6254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6255</v>
      </c>
      <c r="C4500" t="s">
        <v>6256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6257</v>
      </c>
      <c r="C4501" t="s">
        <v>6258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6259</v>
      </c>
      <c r="C4502" t="s">
        <v>6260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9094</v>
      </c>
      <c r="C4503" t="s">
        <v>62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6261</v>
      </c>
      <c r="C4504" t="s">
        <v>6262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6263</v>
      </c>
      <c r="C4505" t="s">
        <v>6264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6265</v>
      </c>
      <c r="C4506" t="s">
        <v>6266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6267</v>
      </c>
      <c r="C4507" t="s">
        <v>6268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9095</v>
      </c>
      <c r="C4508" t="s">
        <v>62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6269</v>
      </c>
      <c r="C4509" t="s">
        <v>6270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6271</v>
      </c>
      <c r="C4510" t="s">
        <v>6272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9096</v>
      </c>
      <c r="C4511" t="s">
        <v>62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6273</v>
      </c>
      <c r="C4512" t="s">
        <v>6274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6275</v>
      </c>
      <c r="C4513" t="s">
        <v>6276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6277</v>
      </c>
      <c r="C4514" t="s">
        <v>6278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6279</v>
      </c>
      <c r="C4515" t="s">
        <v>6280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9097</v>
      </c>
      <c r="C4516" t="s">
        <v>62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6281</v>
      </c>
      <c r="C4517" t="s">
        <v>6282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6283</v>
      </c>
      <c r="C4518" t="s">
        <v>6284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9098</v>
      </c>
      <c r="C4519" t="s">
        <v>62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6285</v>
      </c>
      <c r="C4520" t="s">
        <v>6286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6287</v>
      </c>
      <c r="C4521" t="s">
        <v>9843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9099</v>
      </c>
      <c r="C4522" t="s">
        <v>62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6288</v>
      </c>
      <c r="C4523" t="s">
        <v>6289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6290</v>
      </c>
      <c r="C4524" t="s">
        <v>6291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6292</v>
      </c>
      <c r="C4525" t="s">
        <v>6293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6294</v>
      </c>
      <c r="C4526" t="s">
        <v>6295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6296</v>
      </c>
      <c r="C4527" t="s">
        <v>6297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6298</v>
      </c>
      <c r="C4528" t="s">
        <v>6299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6300</v>
      </c>
      <c r="C4529" t="s">
        <v>6301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6302</v>
      </c>
      <c r="C4530" t="s">
        <v>6303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6304</v>
      </c>
      <c r="C4531" t="s">
        <v>6305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9100</v>
      </c>
      <c r="C4532" t="s">
        <v>62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6306</v>
      </c>
      <c r="C4533" t="s">
        <v>6307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6308</v>
      </c>
      <c r="C4534" t="s">
        <v>6309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6310</v>
      </c>
      <c r="C4535" t="s">
        <v>6311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6312</v>
      </c>
      <c r="C4536" t="s">
        <v>6313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6314</v>
      </c>
      <c r="C4537" t="s">
        <v>6315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6316</v>
      </c>
      <c r="C4538" t="s">
        <v>6317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6318</v>
      </c>
      <c r="C4539" t="s">
        <v>6319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6320</v>
      </c>
      <c r="C4540" t="s">
        <v>6321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6322</v>
      </c>
      <c r="C4541" t="s">
        <v>6323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9101</v>
      </c>
      <c r="C4542" t="s">
        <v>62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6324</v>
      </c>
      <c r="C4543" t="s">
        <v>6325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6326</v>
      </c>
      <c r="C4544" t="s">
        <v>6327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9102</v>
      </c>
      <c r="C4545" t="s">
        <v>9103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9104</v>
      </c>
      <c r="C4546" t="s">
        <v>9105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9106</v>
      </c>
      <c r="C4547" t="s">
        <v>9107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9108</v>
      </c>
      <c r="C4548" t="s">
        <v>9109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9110</v>
      </c>
      <c r="C4549" t="s">
        <v>9111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9112</v>
      </c>
      <c r="C4550" t="s">
        <v>9113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9114</v>
      </c>
      <c r="C4551" t="s">
        <v>9115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9116</v>
      </c>
      <c r="C4552" t="s">
        <v>9117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9118</v>
      </c>
      <c r="C4553" t="s">
        <v>9119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9120</v>
      </c>
      <c r="C4554" t="s">
        <v>62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6328</v>
      </c>
      <c r="C4555" t="s">
        <v>6329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6330</v>
      </c>
      <c r="C4556" t="s">
        <v>6331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6332</v>
      </c>
      <c r="C4557" t="s">
        <v>6333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9121</v>
      </c>
      <c r="C4558" t="s">
        <v>62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6334</v>
      </c>
      <c r="C4559" t="s">
        <v>6335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6336</v>
      </c>
      <c r="C4560" t="s">
        <v>6337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6338</v>
      </c>
      <c r="C4561" t="s">
        <v>6339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6340</v>
      </c>
      <c r="C4562" t="s">
        <v>6341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6342</v>
      </c>
      <c r="C4563" t="s">
        <v>6343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6344</v>
      </c>
      <c r="C4564" t="s">
        <v>6345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9122</v>
      </c>
      <c r="C4565" t="s">
        <v>9123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9124</v>
      </c>
      <c r="C4566" t="s">
        <v>9125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9126</v>
      </c>
      <c r="C4567" t="s">
        <v>9127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9128</v>
      </c>
      <c r="C4568" t="s">
        <v>9129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9130</v>
      </c>
      <c r="C4569" t="s">
        <v>9131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9132</v>
      </c>
      <c r="C4570" t="s">
        <v>9133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9134</v>
      </c>
      <c r="C4571" t="s">
        <v>9135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9136</v>
      </c>
      <c r="C4572" t="s">
        <v>9137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9138</v>
      </c>
      <c r="C4573" t="s">
        <v>9139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9140</v>
      </c>
      <c r="C4574" t="s">
        <v>9141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9142</v>
      </c>
      <c r="C4575" t="s">
        <v>9143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9144</v>
      </c>
      <c r="C4576" t="s">
        <v>9145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9146</v>
      </c>
      <c r="C4577" t="s">
        <v>62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6346</v>
      </c>
      <c r="C4578" t="s">
        <v>6347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9147</v>
      </c>
      <c r="C4579" t="s">
        <v>62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6348</v>
      </c>
      <c r="C4580" t="s">
        <v>6349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6350</v>
      </c>
      <c r="C4581" t="s">
        <v>6351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6352</v>
      </c>
      <c r="C4582" t="s">
        <v>6353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6354</v>
      </c>
      <c r="C4583" t="s">
        <v>6355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6356</v>
      </c>
      <c r="C4584" t="s">
        <v>6357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9148</v>
      </c>
      <c r="C4585" t="s">
        <v>62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6358</v>
      </c>
      <c r="C4586" t="s">
        <v>6359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6360</v>
      </c>
      <c r="C4587" t="s">
        <v>6361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9149</v>
      </c>
      <c r="C4588" t="s">
        <v>62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6362</v>
      </c>
      <c r="C4589" t="s">
        <v>6363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6364</v>
      </c>
      <c r="C4590" t="s">
        <v>6365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6366</v>
      </c>
      <c r="C4591" t="s">
        <v>6367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9150</v>
      </c>
      <c r="C4592" t="s">
        <v>62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6368</v>
      </c>
      <c r="C4593" t="s">
        <v>6369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6370</v>
      </c>
      <c r="C4594" t="s">
        <v>6371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6372</v>
      </c>
      <c r="C4595" t="s">
        <v>6373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6374</v>
      </c>
      <c r="C4596" t="s">
        <v>6375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6376</v>
      </c>
      <c r="C4597" t="s">
        <v>6377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9151</v>
      </c>
      <c r="C4598" t="s">
        <v>62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6378</v>
      </c>
      <c r="C4599" t="s">
        <v>6379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9152</v>
      </c>
      <c r="C4600" t="s">
        <v>62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6380</v>
      </c>
      <c r="C4601" t="s">
        <v>6381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6382</v>
      </c>
      <c r="C4602" t="s">
        <v>6383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6384</v>
      </c>
      <c r="C4603" t="s">
        <v>6385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6386</v>
      </c>
      <c r="C4604" t="s">
        <v>6387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6388</v>
      </c>
      <c r="C4605" t="s">
        <v>6389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6390</v>
      </c>
      <c r="C4606" t="s">
        <v>6391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6392</v>
      </c>
      <c r="C4607" t="s">
        <v>6393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6394</v>
      </c>
      <c r="C4608" t="s">
        <v>6395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6396</v>
      </c>
      <c r="C4609" t="s">
        <v>6397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6398</v>
      </c>
      <c r="C4610" t="s">
        <v>6399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6400</v>
      </c>
      <c r="C4611" t="s">
        <v>6401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6402</v>
      </c>
      <c r="C4612" t="s">
        <v>6403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6404</v>
      </c>
      <c r="C4613" t="s">
        <v>6405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9153</v>
      </c>
      <c r="C4614" t="s">
        <v>62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6406</v>
      </c>
      <c r="C4615" t="s">
        <v>6407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6408</v>
      </c>
      <c r="C4616" t="s">
        <v>6409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6410</v>
      </c>
      <c r="C4617" t="s">
        <v>6411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6412</v>
      </c>
      <c r="C4618" t="s">
        <v>6413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6414</v>
      </c>
      <c r="C4619" t="s">
        <v>6415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6416</v>
      </c>
      <c r="C4620" t="s">
        <v>6417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6418</v>
      </c>
      <c r="C4621" t="s">
        <v>6419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6420</v>
      </c>
      <c r="C4622" t="s">
        <v>6421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6422</v>
      </c>
      <c r="C4623" t="s">
        <v>6423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6424</v>
      </c>
      <c r="C4624" t="s">
        <v>6425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6426</v>
      </c>
      <c r="C4625" t="s">
        <v>6427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6428</v>
      </c>
      <c r="C4626" t="s">
        <v>6429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9154</v>
      </c>
      <c r="C4627" t="s">
        <v>62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6430</v>
      </c>
      <c r="C4628" t="s">
        <v>6431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9155</v>
      </c>
      <c r="C4629" t="s">
        <v>62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6432</v>
      </c>
      <c r="C4630" t="s">
        <v>6433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9156</v>
      </c>
      <c r="C4631" t="s">
        <v>62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6434</v>
      </c>
      <c r="C4632" t="s">
        <v>6435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6436</v>
      </c>
      <c r="C4633" t="s">
        <v>6437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6438</v>
      </c>
      <c r="C4634" t="s">
        <v>6439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9157</v>
      </c>
      <c r="C4635" t="s">
        <v>62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6440</v>
      </c>
      <c r="C4636" t="s">
        <v>6441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6442</v>
      </c>
      <c r="C4637" t="s">
        <v>6443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6444</v>
      </c>
      <c r="C4638" t="s">
        <v>6445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6446</v>
      </c>
      <c r="C4639" t="s">
        <v>6447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6448</v>
      </c>
      <c r="C4640" t="s">
        <v>6449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6450</v>
      </c>
      <c r="C4641" t="s">
        <v>6451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6452</v>
      </c>
      <c r="C4642" t="s">
        <v>6453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6454</v>
      </c>
      <c r="C4643" t="s">
        <v>6455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6456</v>
      </c>
      <c r="C4644" t="s">
        <v>6457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6458</v>
      </c>
      <c r="C4645" t="s">
        <v>6459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6460</v>
      </c>
      <c r="C4646" t="s">
        <v>6461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6462</v>
      </c>
      <c r="C4647" t="s">
        <v>6463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6464</v>
      </c>
      <c r="C4648" t="s">
        <v>6465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6466</v>
      </c>
      <c r="C4649" t="s">
        <v>6467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9158</v>
      </c>
      <c r="C4650" t="s">
        <v>62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6468</v>
      </c>
      <c r="C4651" t="s">
        <v>6469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9159</v>
      </c>
      <c r="C4652" t="s">
        <v>62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6470</v>
      </c>
      <c r="C4653" t="s">
        <v>6471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6472</v>
      </c>
      <c r="C4654" t="s">
        <v>6473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6474</v>
      </c>
      <c r="C4655" t="s">
        <v>6475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6476</v>
      </c>
      <c r="C4656" t="s">
        <v>6477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6478</v>
      </c>
      <c r="C4657" t="s">
        <v>6479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9160</v>
      </c>
      <c r="C4658" t="s">
        <v>62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6480</v>
      </c>
      <c r="C4659" t="s">
        <v>6481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9161</v>
      </c>
      <c r="C4660" t="s">
        <v>62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6482</v>
      </c>
      <c r="C4661" t="s">
        <v>6483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6484</v>
      </c>
      <c r="C4662" t="s">
        <v>6485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6486</v>
      </c>
      <c r="C4663" t="s">
        <v>6487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9162</v>
      </c>
      <c r="C4664" t="s">
        <v>62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6488</v>
      </c>
      <c r="C4665" t="s">
        <v>6489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9163</v>
      </c>
      <c r="C4666" t="s">
        <v>62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6490</v>
      </c>
      <c r="C4667" t="s">
        <v>6491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6492</v>
      </c>
      <c r="C4668" t="s">
        <v>6493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6494</v>
      </c>
      <c r="C4669" t="s">
        <v>6495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6496</v>
      </c>
      <c r="C4670" t="s">
        <v>6497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6498</v>
      </c>
      <c r="C4671" t="s">
        <v>6499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6500</v>
      </c>
      <c r="C4672" t="s">
        <v>6501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6502</v>
      </c>
      <c r="C4673" t="s">
        <v>6503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6504</v>
      </c>
      <c r="C4674" t="s">
        <v>6505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9164</v>
      </c>
      <c r="C4675" t="s">
        <v>62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6506</v>
      </c>
      <c r="C4676" t="s">
        <v>6507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6508</v>
      </c>
      <c r="C4677" t="s">
        <v>6509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6510</v>
      </c>
      <c r="C4678" t="s">
        <v>6511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6512</v>
      </c>
      <c r="C4679" t="s">
        <v>6513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6514</v>
      </c>
      <c r="C4680" t="s">
        <v>9844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9165</v>
      </c>
      <c r="C4681" t="s">
        <v>62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6515</v>
      </c>
      <c r="C4682" t="s">
        <v>6516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6517</v>
      </c>
      <c r="C4683" t="s">
        <v>6518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6519</v>
      </c>
      <c r="C4684" t="s">
        <v>6520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6521</v>
      </c>
      <c r="C4685" t="s">
        <v>6522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6523</v>
      </c>
      <c r="C4686" t="s">
        <v>6524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6525</v>
      </c>
      <c r="C4687" t="s">
        <v>6526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9166</v>
      </c>
      <c r="C4688" t="s">
        <v>62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6527</v>
      </c>
      <c r="C4689" t="s">
        <v>6528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6529</v>
      </c>
      <c r="C4690" t="s">
        <v>6530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6531</v>
      </c>
      <c r="C4691" t="s">
        <v>6532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6533</v>
      </c>
      <c r="C4692" t="s">
        <v>6534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6535</v>
      </c>
      <c r="C4693" t="s">
        <v>6536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6537</v>
      </c>
      <c r="C4694" t="s">
        <v>6538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6539</v>
      </c>
      <c r="C4695" t="s">
        <v>6540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6541</v>
      </c>
      <c r="C4696" t="s">
        <v>6542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9167</v>
      </c>
      <c r="C4697" t="s">
        <v>62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6543</v>
      </c>
      <c r="C4698" t="s">
        <v>6544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6545</v>
      </c>
      <c r="C4699" t="s">
        <v>6546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9168</v>
      </c>
      <c r="C4700" t="s">
        <v>62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6547</v>
      </c>
      <c r="C4701" t="s">
        <v>6548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6549</v>
      </c>
      <c r="C4702" t="s">
        <v>6550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9169</v>
      </c>
      <c r="C4703" t="s">
        <v>62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6551</v>
      </c>
      <c r="C4704" t="s">
        <v>6552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6553</v>
      </c>
      <c r="C4705" t="s">
        <v>6554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6555</v>
      </c>
      <c r="C4706" t="s">
        <v>6556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6557</v>
      </c>
      <c r="C4707" t="s">
        <v>62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6558</v>
      </c>
      <c r="C4708" t="s">
        <v>6559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6560</v>
      </c>
      <c r="C4709" t="s">
        <v>6561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6562</v>
      </c>
      <c r="C4710" t="s">
        <v>6563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6564</v>
      </c>
      <c r="C4711" t="s">
        <v>6565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6566</v>
      </c>
      <c r="C4712" t="s">
        <v>6567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6568</v>
      </c>
      <c r="C4713" t="s">
        <v>6569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6570</v>
      </c>
      <c r="C4714" t="s">
        <v>6571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6572</v>
      </c>
      <c r="C4715" t="s">
        <v>6573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6574</v>
      </c>
      <c r="C4716" t="s">
        <v>6575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6576</v>
      </c>
      <c r="C4717" t="s">
        <v>6577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6578</v>
      </c>
      <c r="C4718" t="s">
        <v>6579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6580</v>
      </c>
      <c r="C4719" t="s">
        <v>6581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6582</v>
      </c>
      <c r="C4720" t="s">
        <v>6583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6584</v>
      </c>
      <c r="C4721" t="s">
        <v>6585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6586</v>
      </c>
      <c r="C4722" t="s">
        <v>6587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6588</v>
      </c>
      <c r="C4723" t="s">
        <v>6589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6590</v>
      </c>
      <c r="C4724" t="s">
        <v>6591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6592</v>
      </c>
      <c r="C4725" t="s">
        <v>6593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9170</v>
      </c>
      <c r="C4726" t="s">
        <v>62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6594</v>
      </c>
      <c r="C4727" t="s">
        <v>6595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6596</v>
      </c>
      <c r="C4728" t="s">
        <v>6597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6598</v>
      </c>
      <c r="C4729" t="s">
        <v>6599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6600</v>
      </c>
      <c r="C4730" t="s">
        <v>6601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6602</v>
      </c>
      <c r="C4731" t="s">
        <v>6603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9171</v>
      </c>
      <c r="C4732" t="s">
        <v>62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6604</v>
      </c>
      <c r="C4733" t="s">
        <v>6605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6606</v>
      </c>
      <c r="C4734" t="s">
        <v>6607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6608</v>
      </c>
      <c r="C4735" t="s">
        <v>6609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6610</v>
      </c>
      <c r="C4736" t="s">
        <v>6611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6612</v>
      </c>
      <c r="C4737" t="s">
        <v>6613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6614</v>
      </c>
      <c r="C4738" t="s">
        <v>6615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6616</v>
      </c>
      <c r="C4739" t="s">
        <v>6617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6618</v>
      </c>
      <c r="C4740" t="s">
        <v>6619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6620</v>
      </c>
      <c r="C4741" t="s">
        <v>6621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6622</v>
      </c>
      <c r="C4742" t="s">
        <v>6623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6624</v>
      </c>
      <c r="C4743" t="s">
        <v>6625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6626</v>
      </c>
      <c r="C4744" t="s">
        <v>6627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6628</v>
      </c>
      <c r="C4745" t="s">
        <v>6629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6630</v>
      </c>
      <c r="C4746" t="s">
        <v>6631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6632</v>
      </c>
      <c r="C4747" t="s">
        <v>6633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6634</v>
      </c>
      <c r="C4748" t="s">
        <v>6635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6636</v>
      </c>
      <c r="C4749" t="s">
        <v>6637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6638</v>
      </c>
      <c r="C4750" t="s">
        <v>6639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6640</v>
      </c>
      <c r="C4751" t="s">
        <v>6641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6642</v>
      </c>
      <c r="C4752" t="s">
        <v>6643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6644</v>
      </c>
      <c r="C4753" t="s">
        <v>6645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6646</v>
      </c>
      <c r="C4754" t="s">
        <v>6647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6648</v>
      </c>
      <c r="C4755" t="s">
        <v>6649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6650</v>
      </c>
      <c r="C4756" t="s">
        <v>6651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6652</v>
      </c>
      <c r="C4757" t="s">
        <v>6653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6654</v>
      </c>
      <c r="C4758" t="s">
        <v>6655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6656</v>
      </c>
      <c r="C4759" t="s">
        <v>6657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6658</v>
      </c>
      <c r="C4760" t="s">
        <v>6659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6660</v>
      </c>
      <c r="C4761" t="s">
        <v>6661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6662</v>
      </c>
      <c r="C4762" t="s">
        <v>6663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6664</v>
      </c>
      <c r="C4763" t="s">
        <v>6665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6666</v>
      </c>
      <c r="C4764" t="s">
        <v>6667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9172</v>
      </c>
      <c r="C4765" t="s">
        <v>62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6668</v>
      </c>
      <c r="C4766" t="s">
        <v>6669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9173</v>
      </c>
      <c r="C4767" t="s">
        <v>62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6670</v>
      </c>
      <c r="C4768" t="s">
        <v>6671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6672</v>
      </c>
      <c r="C4769" t="s">
        <v>6673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6674</v>
      </c>
      <c r="C4770" t="s">
        <v>6493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6675</v>
      </c>
      <c r="C4771" t="s">
        <v>6676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6677</v>
      </c>
      <c r="C4772" t="s">
        <v>6678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6679</v>
      </c>
      <c r="C4773" t="s">
        <v>6680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6681</v>
      </c>
      <c r="C4774" t="s">
        <v>6682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9174</v>
      </c>
      <c r="C4775" t="s">
        <v>62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6683</v>
      </c>
      <c r="C4776" t="s">
        <v>6684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6685</v>
      </c>
      <c r="C4777" t="s">
        <v>6686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6687</v>
      </c>
      <c r="C4778" t="s">
        <v>6688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9175</v>
      </c>
      <c r="C4779" t="s">
        <v>62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6689</v>
      </c>
      <c r="C4780" t="s">
        <v>6690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9176</v>
      </c>
      <c r="C4781" t="s">
        <v>62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6691</v>
      </c>
      <c r="C4782" t="s">
        <v>4603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6692</v>
      </c>
      <c r="C4783" t="s">
        <v>6693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6694</v>
      </c>
      <c r="C4784" t="s">
        <v>6695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6696</v>
      </c>
      <c r="C4785" t="s">
        <v>6697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6698</v>
      </c>
      <c r="C4786" t="s">
        <v>6699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6700</v>
      </c>
      <c r="C4787" t="s">
        <v>6701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9177</v>
      </c>
      <c r="C4788" t="s">
        <v>62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6702</v>
      </c>
      <c r="C4789" t="s">
        <v>6703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6704</v>
      </c>
      <c r="C4790" t="s">
        <v>6705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6706</v>
      </c>
      <c r="C4791" t="s">
        <v>6707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6708</v>
      </c>
      <c r="C4792" t="s">
        <v>6709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6710</v>
      </c>
      <c r="C4793" t="s">
        <v>6711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6712</v>
      </c>
      <c r="C4794" t="s">
        <v>6713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6714</v>
      </c>
      <c r="C4795" t="s">
        <v>6715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6716</v>
      </c>
      <c r="C4796" t="s">
        <v>6717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9178</v>
      </c>
      <c r="C4797" t="s">
        <v>62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6718</v>
      </c>
      <c r="C4798" t="s">
        <v>6719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6720</v>
      </c>
      <c r="C4799" t="s">
        <v>6721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6722</v>
      </c>
      <c r="C4800" t="s">
        <v>6723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9179</v>
      </c>
      <c r="C4801" t="s">
        <v>62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6724</v>
      </c>
      <c r="C4802" t="s">
        <v>6725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6726</v>
      </c>
      <c r="C4803" t="s">
        <v>6727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6728</v>
      </c>
      <c r="C4804" t="s">
        <v>6729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6730</v>
      </c>
      <c r="C4805" t="s">
        <v>6731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6732</v>
      </c>
      <c r="C4806" t="s">
        <v>6733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6734</v>
      </c>
      <c r="C4807" t="s">
        <v>6735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6736</v>
      </c>
      <c r="C4808" t="s">
        <v>6737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6738</v>
      </c>
      <c r="C4809" t="s">
        <v>6739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6740</v>
      </c>
      <c r="C4810" t="s">
        <v>6741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6742</v>
      </c>
      <c r="C4811" t="s">
        <v>6743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6744</v>
      </c>
      <c r="C4812" t="s">
        <v>6745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6746</v>
      </c>
      <c r="C4813" t="s">
        <v>6747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6748</v>
      </c>
      <c r="C4814" t="s">
        <v>6749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6750</v>
      </c>
      <c r="C4815" t="s">
        <v>6751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6752</v>
      </c>
      <c r="C4816" t="s">
        <v>6753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6754</v>
      </c>
      <c r="C4817" t="s">
        <v>6755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6756</v>
      </c>
      <c r="C4818" t="s">
        <v>6757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6758</v>
      </c>
      <c r="C4819" t="s">
        <v>6759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9180</v>
      </c>
      <c r="C4820" t="s">
        <v>62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6760</v>
      </c>
      <c r="C4821" t="s">
        <v>6761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9181</v>
      </c>
      <c r="C4822" t="s">
        <v>62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6762</v>
      </c>
      <c r="C4823" t="s">
        <v>6763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9182</v>
      </c>
      <c r="C4824" t="s">
        <v>62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6764</v>
      </c>
      <c r="C4825" t="s">
        <v>6765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9183</v>
      </c>
      <c r="C4826" t="s">
        <v>62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6766</v>
      </c>
      <c r="C4827" t="s">
        <v>6767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6768</v>
      </c>
      <c r="C4828" t="s">
        <v>6769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9184</v>
      </c>
      <c r="C4829" t="s">
        <v>62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6770</v>
      </c>
      <c r="C4830" t="s">
        <v>6771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9185</v>
      </c>
      <c r="C4831" t="s">
        <v>62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6772</v>
      </c>
      <c r="C4832" t="s">
        <v>6773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6774</v>
      </c>
      <c r="C4833" t="s">
        <v>6775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9186</v>
      </c>
      <c r="C4834" t="s">
        <v>62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6776</v>
      </c>
      <c r="C4835" t="s">
        <v>6777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6778</v>
      </c>
      <c r="C4836" t="s">
        <v>6779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6780</v>
      </c>
      <c r="C4837" t="s">
        <v>6781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6782</v>
      </c>
      <c r="C4838" t="s">
        <v>6783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6784</v>
      </c>
      <c r="C4839" t="s">
        <v>6785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6786</v>
      </c>
      <c r="C4840" t="s">
        <v>6787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6788</v>
      </c>
      <c r="C4841" t="s">
        <v>6789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9187</v>
      </c>
      <c r="C4842" t="s">
        <v>62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6790</v>
      </c>
      <c r="C4843" t="s">
        <v>6791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9188</v>
      </c>
      <c r="C4844" t="s">
        <v>62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6792</v>
      </c>
      <c r="C4845" t="s">
        <v>6793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9189</v>
      </c>
      <c r="C4846" t="s">
        <v>62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6794</v>
      </c>
      <c r="C4847" t="s">
        <v>6795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6796</v>
      </c>
      <c r="C4848" t="s">
        <v>6797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6798</v>
      </c>
      <c r="C4849" t="s">
        <v>6799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6800</v>
      </c>
      <c r="C4850" t="s">
        <v>6801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6802</v>
      </c>
      <c r="C4851" t="s">
        <v>6803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6804</v>
      </c>
      <c r="C4852" t="s">
        <v>6805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9190</v>
      </c>
      <c r="C4853" t="s">
        <v>62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6806</v>
      </c>
      <c r="C4854" t="s">
        <v>6807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9191</v>
      </c>
      <c r="C4855" t="s">
        <v>62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6808</v>
      </c>
      <c r="C4856" t="s">
        <v>6809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6810</v>
      </c>
      <c r="C4857" t="s">
        <v>6811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6812</v>
      </c>
      <c r="C4858" t="s">
        <v>6813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9192</v>
      </c>
      <c r="C4859" t="s">
        <v>62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6814</v>
      </c>
      <c r="C4860" t="s">
        <v>62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9193</v>
      </c>
      <c r="C4861" t="s">
        <v>62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6815</v>
      </c>
      <c r="C4862" t="s">
        <v>6816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6817</v>
      </c>
      <c r="C4863" t="s">
        <v>6818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6819</v>
      </c>
      <c r="C4864" t="s">
        <v>6820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9194</v>
      </c>
      <c r="C4865" t="s">
        <v>62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6821</v>
      </c>
      <c r="C4866" t="s">
        <v>6822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9195</v>
      </c>
      <c r="C4867" t="s">
        <v>62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6823</v>
      </c>
      <c r="C4868" t="s">
        <v>6824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6825</v>
      </c>
      <c r="C4869" t="s">
        <v>6826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9196</v>
      </c>
      <c r="C4870" t="s">
        <v>62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6827</v>
      </c>
      <c r="C4871" t="s">
        <v>6828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9197</v>
      </c>
      <c r="C4872" t="s">
        <v>62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6829</v>
      </c>
      <c r="C4873" t="s">
        <v>6830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6831</v>
      </c>
      <c r="C4874" t="s">
        <v>6832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9198</v>
      </c>
      <c r="C4875" t="s">
        <v>62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6833</v>
      </c>
      <c r="C4876" t="s">
        <v>6834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6835</v>
      </c>
      <c r="C4877" t="s">
        <v>6836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6837</v>
      </c>
      <c r="C4878" t="s">
        <v>6838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6839</v>
      </c>
      <c r="C4879" t="s">
        <v>6840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6841</v>
      </c>
      <c r="C4880" t="s">
        <v>6842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6843</v>
      </c>
      <c r="C4881" t="s">
        <v>6844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6845</v>
      </c>
      <c r="C4882" t="s">
        <v>6846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6847</v>
      </c>
      <c r="C4883" t="s">
        <v>6848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9199</v>
      </c>
      <c r="C4884" t="s">
        <v>62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6849</v>
      </c>
      <c r="C4885" t="s">
        <v>6850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6851</v>
      </c>
      <c r="C4886" t="s">
        <v>6852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6853</v>
      </c>
      <c r="C4887" t="s">
        <v>6791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6854</v>
      </c>
      <c r="C4888" t="s">
        <v>6855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6856</v>
      </c>
      <c r="C4889" t="s">
        <v>6857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6858</v>
      </c>
      <c r="C4890" t="s">
        <v>6859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6860</v>
      </c>
      <c r="C4891" t="s">
        <v>6861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6862</v>
      </c>
      <c r="C4892" t="s">
        <v>6863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6864</v>
      </c>
      <c r="C4893" t="s">
        <v>6865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9200</v>
      </c>
      <c r="C4894" t="s">
        <v>62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6866</v>
      </c>
      <c r="C4895" t="s">
        <v>6867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6868</v>
      </c>
      <c r="C4896" t="s">
        <v>6869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6870</v>
      </c>
      <c r="C4897" t="s">
        <v>6871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9201</v>
      </c>
      <c r="C4898" t="s">
        <v>62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6872</v>
      </c>
      <c r="C4899" t="s">
        <v>6873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6874</v>
      </c>
      <c r="C4900" t="s">
        <v>6875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6876</v>
      </c>
      <c r="C4901" t="s">
        <v>6877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9202</v>
      </c>
      <c r="C4902" t="s">
        <v>62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6878</v>
      </c>
      <c r="C4903" t="s">
        <v>6879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6880</v>
      </c>
      <c r="C4904" t="s">
        <v>6881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9203</v>
      </c>
      <c r="C4905" t="s">
        <v>62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6882</v>
      </c>
      <c r="C4906" t="s">
        <v>6883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6884</v>
      </c>
      <c r="C4907" t="s">
        <v>6885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6886</v>
      </c>
      <c r="C4908" t="s">
        <v>6887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6888</v>
      </c>
      <c r="C4909" t="s">
        <v>6889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6890</v>
      </c>
      <c r="C4910" t="s">
        <v>6891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9204</v>
      </c>
      <c r="C4911" t="s">
        <v>62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6892</v>
      </c>
      <c r="C4912" t="s">
        <v>6893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6894</v>
      </c>
      <c r="C4913" t="s">
        <v>6895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6896</v>
      </c>
      <c r="C4914" t="s">
        <v>6897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6898</v>
      </c>
      <c r="C4915" t="s">
        <v>6899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6900</v>
      </c>
      <c r="C4916" t="s">
        <v>6901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6902</v>
      </c>
      <c r="C4917" t="s">
        <v>6903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6904</v>
      </c>
      <c r="C4918" t="s">
        <v>6905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6906</v>
      </c>
      <c r="C4919" t="s">
        <v>6907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6908</v>
      </c>
      <c r="C4920" t="s">
        <v>6909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9205</v>
      </c>
      <c r="C4921" t="s">
        <v>62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6910</v>
      </c>
      <c r="C4922" t="s">
        <v>6911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9206</v>
      </c>
      <c r="C4923" t="s">
        <v>62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6912</v>
      </c>
      <c r="C4924" t="s">
        <v>6913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6914</v>
      </c>
      <c r="C4925" t="s">
        <v>6915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6916</v>
      </c>
      <c r="C4926" t="s">
        <v>6917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6918</v>
      </c>
      <c r="C4927" t="s">
        <v>6919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9207</v>
      </c>
      <c r="C4928" t="s">
        <v>62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6920</v>
      </c>
      <c r="C4929" t="s">
        <v>6921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6922</v>
      </c>
      <c r="C4930" t="s">
        <v>6923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9208</v>
      </c>
      <c r="C4931" t="s">
        <v>62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6924</v>
      </c>
      <c r="C4932" t="s">
        <v>6925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6926</v>
      </c>
      <c r="C4933" t="s">
        <v>6927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6928</v>
      </c>
      <c r="C4934" t="s">
        <v>6929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9209</v>
      </c>
      <c r="C4935" t="s">
        <v>62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6930</v>
      </c>
      <c r="C4936" t="s">
        <v>6931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6932</v>
      </c>
      <c r="C4937" t="s">
        <v>6933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6934</v>
      </c>
      <c r="C4938" t="s">
        <v>6935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6936</v>
      </c>
      <c r="C4939" t="s">
        <v>6937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6938</v>
      </c>
      <c r="C4940" t="s">
        <v>6939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6940</v>
      </c>
      <c r="C4941" t="s">
        <v>6941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6942</v>
      </c>
      <c r="C4942" t="s">
        <v>6943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6944</v>
      </c>
      <c r="C4943" t="s">
        <v>6945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6946</v>
      </c>
      <c r="C4944" t="s">
        <v>6947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9210</v>
      </c>
      <c r="C4945" t="s">
        <v>62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6948</v>
      </c>
      <c r="C4946" t="s">
        <v>6949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6950</v>
      </c>
      <c r="C4947" t="s">
        <v>6951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6952</v>
      </c>
      <c r="C4948" t="s">
        <v>6953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9211</v>
      </c>
      <c r="C4949" t="s">
        <v>62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6954</v>
      </c>
      <c r="C4950" t="s">
        <v>6955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6956</v>
      </c>
      <c r="C4951" t="s">
        <v>6957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6958</v>
      </c>
      <c r="C4952" t="s">
        <v>6959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6960</v>
      </c>
      <c r="C4953" t="s">
        <v>6961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6962</v>
      </c>
      <c r="C4954" t="s">
        <v>6963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9212</v>
      </c>
      <c r="C4955" t="s">
        <v>62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6964</v>
      </c>
      <c r="C4956" t="s">
        <v>6965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6966</v>
      </c>
      <c r="C4957" t="s">
        <v>6967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6968</v>
      </c>
      <c r="C4958" t="s">
        <v>6969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6970</v>
      </c>
      <c r="C4959" t="s">
        <v>6971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6972</v>
      </c>
      <c r="C4960" t="s">
        <v>62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6973</v>
      </c>
      <c r="C4961" t="s">
        <v>6974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9213</v>
      </c>
      <c r="C4962" t="s">
        <v>62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6975</v>
      </c>
      <c r="C4963" t="s">
        <v>6976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9214</v>
      </c>
      <c r="C4964" t="s">
        <v>62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6977</v>
      </c>
      <c r="C4965" t="s">
        <v>6978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9215</v>
      </c>
      <c r="C4966" t="s">
        <v>62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6979</v>
      </c>
      <c r="C4967" t="s">
        <v>6980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9216</v>
      </c>
      <c r="C4968" t="s">
        <v>62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6981</v>
      </c>
      <c r="C4969" t="s">
        <v>6982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9217</v>
      </c>
      <c r="C4970" t="s">
        <v>62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6983</v>
      </c>
      <c r="C4971" t="s">
        <v>6984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9218</v>
      </c>
      <c r="C4972" t="s">
        <v>62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6985</v>
      </c>
      <c r="C4973" t="s">
        <v>6986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9219</v>
      </c>
      <c r="C4974" t="s">
        <v>62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6987</v>
      </c>
      <c r="C4975" t="s">
        <v>6988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6989</v>
      </c>
      <c r="C4976" t="s">
        <v>6990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6991</v>
      </c>
      <c r="C4977" t="s">
        <v>6992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9220</v>
      </c>
      <c r="C4978" t="s">
        <v>9221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9222</v>
      </c>
      <c r="C4979" t="s">
        <v>62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6993</v>
      </c>
      <c r="C4980" t="s">
        <v>6994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6995</v>
      </c>
      <c r="C4981" t="s">
        <v>6996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6997</v>
      </c>
      <c r="C4982" t="s">
        <v>6998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6999</v>
      </c>
      <c r="C4983" t="s">
        <v>7000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7001</v>
      </c>
      <c r="C4984" t="s">
        <v>7002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7003</v>
      </c>
      <c r="C4985" t="s">
        <v>7004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9223</v>
      </c>
      <c r="C4986" t="s">
        <v>62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7005</v>
      </c>
      <c r="C4987" t="s">
        <v>7006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7007</v>
      </c>
      <c r="C4988" t="s">
        <v>7008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7009</v>
      </c>
      <c r="C4989" t="s">
        <v>7010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7011</v>
      </c>
      <c r="C4990" t="s">
        <v>7012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7013</v>
      </c>
      <c r="C4991" t="s">
        <v>7014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7015</v>
      </c>
      <c r="C4992" t="s">
        <v>7016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7017</v>
      </c>
      <c r="C4993" t="s">
        <v>7018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7019</v>
      </c>
      <c r="C4994" t="s">
        <v>7020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7021</v>
      </c>
      <c r="C4995" t="s">
        <v>7022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7023</v>
      </c>
      <c r="C4996" t="s">
        <v>7024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7025</v>
      </c>
      <c r="C4997" t="s">
        <v>7026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7027</v>
      </c>
      <c r="C4998" t="s">
        <v>7028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7029</v>
      </c>
      <c r="C4999" t="s">
        <v>7030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7031</v>
      </c>
      <c r="C5000" t="s">
        <v>7032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7033</v>
      </c>
      <c r="C5001" t="s">
        <v>7034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7035</v>
      </c>
      <c r="C5002" t="s">
        <v>7036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7037</v>
      </c>
      <c r="C5003" t="s">
        <v>7038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9224</v>
      </c>
      <c r="C5004" t="s">
        <v>62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7039</v>
      </c>
      <c r="C5005" t="s">
        <v>7040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9225</v>
      </c>
      <c r="C5006" t="s">
        <v>62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7041</v>
      </c>
      <c r="C5007" t="s">
        <v>7042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9226</v>
      </c>
      <c r="C5008" t="s">
        <v>62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7043</v>
      </c>
      <c r="C5009" t="s">
        <v>7044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9227</v>
      </c>
      <c r="C5010" t="s">
        <v>62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7045</v>
      </c>
      <c r="C5011" t="s">
        <v>7046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7047</v>
      </c>
      <c r="C5012" t="s">
        <v>7048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7049</v>
      </c>
      <c r="C5013" t="s">
        <v>7050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7051</v>
      </c>
      <c r="C5014" t="s">
        <v>7052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7053</v>
      </c>
      <c r="C5015" t="s">
        <v>7054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7055</v>
      </c>
      <c r="C5016" t="s">
        <v>7056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7057</v>
      </c>
      <c r="C5017" t="s">
        <v>7058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7059</v>
      </c>
      <c r="C5018" t="s">
        <v>7060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9228</v>
      </c>
      <c r="C5019" t="s">
        <v>62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7061</v>
      </c>
      <c r="C5020" t="s">
        <v>7062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7063</v>
      </c>
      <c r="C5021" t="s">
        <v>7064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9229</v>
      </c>
      <c r="C5022" t="s">
        <v>62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7065</v>
      </c>
      <c r="C5023" t="s">
        <v>7066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7067</v>
      </c>
      <c r="C5024" t="s">
        <v>7068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7069</v>
      </c>
      <c r="C5025" t="s">
        <v>7070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7071</v>
      </c>
      <c r="C5026" t="s">
        <v>7072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7073</v>
      </c>
      <c r="C5027" t="s">
        <v>7074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7075</v>
      </c>
      <c r="C5028" t="s">
        <v>7076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7077</v>
      </c>
      <c r="C5029" t="s">
        <v>7078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7079</v>
      </c>
      <c r="C5030" t="s">
        <v>7080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7081</v>
      </c>
      <c r="C5031" t="s">
        <v>7082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7083</v>
      </c>
      <c r="C5032" t="s">
        <v>7084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7085</v>
      </c>
      <c r="C5033" t="s">
        <v>7086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7087</v>
      </c>
      <c r="C5034" t="s">
        <v>7088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7089</v>
      </c>
      <c r="C5035" t="s">
        <v>7090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7091</v>
      </c>
      <c r="C5036" t="s">
        <v>7092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7093</v>
      </c>
      <c r="C5037" t="s">
        <v>7094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7095</v>
      </c>
      <c r="C5038" t="s">
        <v>7096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7097</v>
      </c>
      <c r="C5039" t="s">
        <v>7098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7099</v>
      </c>
      <c r="C5040" t="s">
        <v>7100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7101</v>
      </c>
      <c r="C5041" t="s">
        <v>7102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7103</v>
      </c>
      <c r="C5042" t="s">
        <v>7104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7105</v>
      </c>
      <c r="C5043" t="s">
        <v>7106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7107</v>
      </c>
      <c r="C5044" t="s">
        <v>7108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7109</v>
      </c>
      <c r="C5045" t="s">
        <v>7110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7111</v>
      </c>
      <c r="C5046" t="s">
        <v>7112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7113</v>
      </c>
      <c r="C5047" t="s">
        <v>7114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7115</v>
      </c>
      <c r="C5048" t="s">
        <v>7116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7117</v>
      </c>
      <c r="C5049" t="s">
        <v>7118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7119</v>
      </c>
      <c r="C5050" t="s">
        <v>7120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7121</v>
      </c>
      <c r="C5051" t="s">
        <v>7122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7123</v>
      </c>
      <c r="C5052" t="s">
        <v>7124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7125</v>
      </c>
      <c r="C5053" t="s">
        <v>7126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7127</v>
      </c>
      <c r="C5054" t="s">
        <v>7128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7129</v>
      </c>
      <c r="C5055" t="s">
        <v>7130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7131</v>
      </c>
      <c r="C5056" t="s">
        <v>7132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7133</v>
      </c>
      <c r="C5057" t="s">
        <v>7134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7135</v>
      </c>
      <c r="C5058" t="s">
        <v>7136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9230</v>
      </c>
      <c r="C5059" t="s">
        <v>62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7137</v>
      </c>
      <c r="C5060" t="s">
        <v>7138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7139</v>
      </c>
      <c r="C5061" t="s">
        <v>7140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7141</v>
      </c>
      <c r="C5062" t="s">
        <v>7142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7143</v>
      </c>
      <c r="C5063" t="s">
        <v>7144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7145</v>
      </c>
      <c r="C5064" t="s">
        <v>7146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7147</v>
      </c>
      <c r="C5065" t="s">
        <v>7148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7149</v>
      </c>
      <c r="C5066" t="s">
        <v>7150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7151</v>
      </c>
      <c r="C5067" t="s">
        <v>7152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7153</v>
      </c>
      <c r="C5068" t="s">
        <v>7154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7155</v>
      </c>
      <c r="C5069" t="s">
        <v>7156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7157</v>
      </c>
      <c r="C5070" t="s">
        <v>7158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7159</v>
      </c>
      <c r="C5071" t="s">
        <v>7160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7161</v>
      </c>
      <c r="C5072" t="s">
        <v>7162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7163</v>
      </c>
      <c r="C5073" t="s">
        <v>7164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7165</v>
      </c>
      <c r="C5074" t="s">
        <v>7166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7167</v>
      </c>
      <c r="C5075" t="s">
        <v>7168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7169</v>
      </c>
      <c r="C5076" t="s">
        <v>7170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7171</v>
      </c>
      <c r="C5077" t="s">
        <v>7172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9231</v>
      </c>
      <c r="C5078" t="s">
        <v>62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7173</v>
      </c>
      <c r="C5079" t="s">
        <v>7174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7175</v>
      </c>
      <c r="C5080" t="s">
        <v>7176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9232</v>
      </c>
      <c r="C5081" t="s">
        <v>62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7177</v>
      </c>
      <c r="C5082" t="s">
        <v>7178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9233</v>
      </c>
      <c r="C5083" t="s">
        <v>62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7179</v>
      </c>
      <c r="C5084" t="s">
        <v>7180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7181</v>
      </c>
      <c r="C5085" t="s">
        <v>7182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7183</v>
      </c>
      <c r="C5086" t="s">
        <v>7184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7185</v>
      </c>
      <c r="C5087" t="s">
        <v>7186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7187</v>
      </c>
      <c r="C5088" t="s">
        <v>7188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7189</v>
      </c>
      <c r="C5089" t="s">
        <v>7190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7191</v>
      </c>
      <c r="C5090" t="s">
        <v>7192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7193</v>
      </c>
      <c r="C5091" t="s">
        <v>7194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7195</v>
      </c>
      <c r="C5092" t="s">
        <v>7196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9234</v>
      </c>
      <c r="C5093" t="s">
        <v>62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7197</v>
      </c>
      <c r="C5094" t="s">
        <v>7198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7199</v>
      </c>
      <c r="C5095" t="s">
        <v>6493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7200</v>
      </c>
      <c r="C5096" t="s">
        <v>7201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7202</v>
      </c>
      <c r="C5097" t="s">
        <v>7203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7204</v>
      </c>
      <c r="C5098" t="s">
        <v>7205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7206</v>
      </c>
      <c r="C5099" t="s">
        <v>7207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7208</v>
      </c>
      <c r="C5100" t="s">
        <v>7209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7210</v>
      </c>
      <c r="C5101" t="s">
        <v>7211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7212</v>
      </c>
      <c r="C5102" t="s">
        <v>7213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7214</v>
      </c>
      <c r="C5103" t="s">
        <v>7215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7216</v>
      </c>
      <c r="C5104" t="s">
        <v>7217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7218</v>
      </c>
      <c r="C5105" t="s">
        <v>7219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7220</v>
      </c>
      <c r="C5106" t="s">
        <v>7221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7222</v>
      </c>
      <c r="C5107" t="s">
        <v>7223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7224</v>
      </c>
      <c r="C5108" t="s">
        <v>7225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7226</v>
      </c>
      <c r="C5109" t="s">
        <v>7227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7228</v>
      </c>
      <c r="C5110" t="s">
        <v>7229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7230</v>
      </c>
      <c r="C5111" t="s">
        <v>7231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7232</v>
      </c>
      <c r="C5112" t="s">
        <v>7233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7234</v>
      </c>
      <c r="C5113" t="s">
        <v>7235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7236</v>
      </c>
      <c r="C5114" t="s">
        <v>7237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7238</v>
      </c>
      <c r="C5115" t="s">
        <v>7239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9235</v>
      </c>
      <c r="C5116" t="s">
        <v>62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7240</v>
      </c>
      <c r="C5117" t="s">
        <v>7241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7242</v>
      </c>
      <c r="C5118" t="s">
        <v>7243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7244</v>
      </c>
      <c r="C5119" t="s">
        <v>7245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7246</v>
      </c>
      <c r="C5120" t="s">
        <v>7247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7248</v>
      </c>
      <c r="C5121" t="s">
        <v>7249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9236</v>
      </c>
      <c r="C5122" t="s">
        <v>62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7250</v>
      </c>
      <c r="C5123" t="s">
        <v>7251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7252</v>
      </c>
      <c r="C5124" t="s">
        <v>7253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7254</v>
      </c>
      <c r="C5125" t="s">
        <v>7255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7256</v>
      </c>
      <c r="C5126" t="s">
        <v>7257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7258</v>
      </c>
      <c r="C5127" t="s">
        <v>7259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7260</v>
      </c>
      <c r="C5128" t="s">
        <v>7261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7262</v>
      </c>
      <c r="C5129" t="s">
        <v>7263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7264</v>
      </c>
      <c r="C5130" t="s">
        <v>7265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9237</v>
      </c>
      <c r="C5131" t="s">
        <v>62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7266</v>
      </c>
      <c r="C5132" t="s">
        <v>7267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7268</v>
      </c>
      <c r="C5133" t="s">
        <v>7269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9238</v>
      </c>
      <c r="C5134" t="s">
        <v>62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7270</v>
      </c>
      <c r="C5135" t="s">
        <v>7271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9239</v>
      </c>
      <c r="C5136" t="s">
        <v>62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7272</v>
      </c>
      <c r="C5137" t="s">
        <v>7273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7274</v>
      </c>
      <c r="C5138" t="s">
        <v>7275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7276</v>
      </c>
      <c r="C5139" t="s">
        <v>7277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7278</v>
      </c>
      <c r="C5140" t="s">
        <v>7279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7280</v>
      </c>
      <c r="C5141" t="s">
        <v>62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7281</v>
      </c>
      <c r="C5142" t="s">
        <v>7282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9240</v>
      </c>
      <c r="C5143" t="s">
        <v>62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7283</v>
      </c>
      <c r="C5144" t="s">
        <v>7284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9241</v>
      </c>
      <c r="C5145" t="s">
        <v>62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7285</v>
      </c>
      <c r="C5146" t="s">
        <v>7286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9242</v>
      </c>
      <c r="C5147" t="s">
        <v>62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7287</v>
      </c>
      <c r="C5148" t="s">
        <v>5805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7288</v>
      </c>
      <c r="C5149" t="s">
        <v>7289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7290</v>
      </c>
      <c r="C5150" t="s">
        <v>7291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9243</v>
      </c>
      <c r="C5151" t="s">
        <v>62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7292</v>
      </c>
      <c r="C5152" t="s">
        <v>5805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9244</v>
      </c>
      <c r="C5153" t="s">
        <v>62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7293</v>
      </c>
      <c r="C5154" t="s">
        <v>7294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9245</v>
      </c>
      <c r="C5155" t="s">
        <v>62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7295</v>
      </c>
      <c r="C5156" t="s">
        <v>7296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9246</v>
      </c>
      <c r="C5157" t="s">
        <v>62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7297</v>
      </c>
      <c r="C5158" t="s">
        <v>7298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9247</v>
      </c>
      <c r="C5159" t="s">
        <v>62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7299</v>
      </c>
      <c r="C5160" t="s">
        <v>7300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9248</v>
      </c>
      <c r="C5161" t="s">
        <v>62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7301</v>
      </c>
      <c r="C5162" t="s">
        <v>7302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9249</v>
      </c>
      <c r="C5163" t="s">
        <v>62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7303</v>
      </c>
      <c r="C5164" t="s">
        <v>7304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9250</v>
      </c>
      <c r="C5165" t="s">
        <v>62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7305</v>
      </c>
      <c r="C5166" t="s">
        <v>7306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9251</v>
      </c>
      <c r="C5167" t="s">
        <v>62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7307</v>
      </c>
      <c r="C5168" t="s">
        <v>7308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9252</v>
      </c>
      <c r="C5169" t="s">
        <v>62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7309</v>
      </c>
      <c r="C5170" t="s">
        <v>7310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9253</v>
      </c>
      <c r="C5171" t="s">
        <v>62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7311</v>
      </c>
      <c r="C5172" t="s">
        <v>7312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9254</v>
      </c>
      <c r="C5173" t="s">
        <v>62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7313</v>
      </c>
      <c r="C5174" t="s">
        <v>7314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9255</v>
      </c>
      <c r="C5175" t="s">
        <v>62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7315</v>
      </c>
      <c r="C5176" t="s">
        <v>7316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9256</v>
      </c>
      <c r="C5177" t="s">
        <v>62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7317</v>
      </c>
      <c r="C5178" t="s">
        <v>7318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9257</v>
      </c>
      <c r="C5179" t="s">
        <v>62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7319</v>
      </c>
      <c r="C5180" t="s">
        <v>7320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9258</v>
      </c>
      <c r="C5181" t="s">
        <v>62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7321</v>
      </c>
      <c r="C5182" t="s">
        <v>7322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9259</v>
      </c>
      <c r="C5183" t="s">
        <v>62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7323</v>
      </c>
      <c r="C5184" t="s">
        <v>7324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9260</v>
      </c>
      <c r="C5185" t="s">
        <v>62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7325</v>
      </c>
      <c r="C5186" t="s">
        <v>7326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9261</v>
      </c>
      <c r="C5187" t="s">
        <v>62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7327</v>
      </c>
      <c r="C5188" t="s">
        <v>7328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9262</v>
      </c>
      <c r="C5189" t="s">
        <v>62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7329</v>
      </c>
      <c r="C5190" t="s">
        <v>7330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9263</v>
      </c>
      <c r="C5191" t="s">
        <v>62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7331</v>
      </c>
      <c r="C5192" t="s">
        <v>7332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9264</v>
      </c>
      <c r="C5193" t="s">
        <v>62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7333</v>
      </c>
      <c r="C5194" t="s">
        <v>7334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9265</v>
      </c>
      <c r="C5195" t="s">
        <v>62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7335</v>
      </c>
      <c r="C5196" t="s">
        <v>7336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9266</v>
      </c>
      <c r="C5197" t="s">
        <v>62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7337</v>
      </c>
      <c r="C5198" t="s">
        <v>7338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9267</v>
      </c>
      <c r="C5199" t="s">
        <v>62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7339</v>
      </c>
      <c r="C5200" t="s">
        <v>7340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9268</v>
      </c>
      <c r="C5201" t="s">
        <v>62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7341</v>
      </c>
      <c r="C5202" t="s">
        <v>7342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9269</v>
      </c>
      <c r="C5203" t="s">
        <v>62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7343</v>
      </c>
      <c r="C5204" t="s">
        <v>7344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9270</v>
      </c>
      <c r="C5205" t="s">
        <v>62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7345</v>
      </c>
      <c r="C5206" t="s">
        <v>7346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7347</v>
      </c>
      <c r="C5207" t="s">
        <v>7348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9271</v>
      </c>
      <c r="C5208" t="s">
        <v>62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7349</v>
      </c>
      <c r="C5209" t="s">
        <v>7350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9272</v>
      </c>
      <c r="C5210" t="s">
        <v>62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7351</v>
      </c>
      <c r="C5211" t="s">
        <v>7352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7353</v>
      </c>
      <c r="C5212" t="s">
        <v>7354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7355</v>
      </c>
      <c r="C5213" t="s">
        <v>7356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7357</v>
      </c>
      <c r="C5214" t="s">
        <v>7358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9273</v>
      </c>
      <c r="C5215" t="s">
        <v>62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7359</v>
      </c>
      <c r="C5216" t="s">
        <v>5805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7360</v>
      </c>
      <c r="C5217" t="s">
        <v>7361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7362</v>
      </c>
      <c r="C5218" t="s">
        <v>7363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7364</v>
      </c>
      <c r="C5219" t="s">
        <v>7365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9274</v>
      </c>
      <c r="C5220" t="s">
        <v>62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7366</v>
      </c>
      <c r="C5221" t="s">
        <v>7367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9275</v>
      </c>
      <c r="C5222" t="s">
        <v>62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7368</v>
      </c>
      <c r="C5223" t="s">
        <v>7369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9276</v>
      </c>
      <c r="C5224" t="s">
        <v>62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7370</v>
      </c>
      <c r="C5225" t="s">
        <v>7371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7372</v>
      </c>
      <c r="C5226" t="s">
        <v>7373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7374</v>
      </c>
      <c r="C5227" t="s">
        <v>7375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7376</v>
      </c>
      <c r="C5228" t="s">
        <v>7377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9277</v>
      </c>
      <c r="C5229" t="s">
        <v>62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7378</v>
      </c>
      <c r="C5230" t="s">
        <v>7379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9278</v>
      </c>
      <c r="C5231" t="s">
        <v>62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7380</v>
      </c>
      <c r="C5232" t="s">
        <v>7381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7382</v>
      </c>
      <c r="C5233" t="s">
        <v>7383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7384</v>
      </c>
      <c r="C5234" t="s">
        <v>7385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7386</v>
      </c>
      <c r="C5235" t="s">
        <v>7387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7388</v>
      </c>
      <c r="C5236" t="s">
        <v>7389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7390</v>
      </c>
      <c r="C5237" t="s">
        <v>7391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7392</v>
      </c>
      <c r="C5238" t="s">
        <v>7393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7394</v>
      </c>
      <c r="C5239" t="s">
        <v>7395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9279</v>
      </c>
      <c r="C5240" t="s">
        <v>62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7396</v>
      </c>
      <c r="C5241" t="s">
        <v>7397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7398</v>
      </c>
      <c r="C5242" t="s">
        <v>7399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9280</v>
      </c>
      <c r="C5243" t="s">
        <v>62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7400</v>
      </c>
      <c r="C5244" t="s">
        <v>7401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7402</v>
      </c>
      <c r="C5245" t="s">
        <v>7403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7404</v>
      </c>
      <c r="C5246" t="s">
        <v>7405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7406</v>
      </c>
      <c r="C5247" t="s">
        <v>7407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9281</v>
      </c>
      <c r="C5248" t="s">
        <v>62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7408</v>
      </c>
      <c r="C5249" t="s">
        <v>7409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7410</v>
      </c>
      <c r="C5250" t="s">
        <v>7411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7412</v>
      </c>
      <c r="C5251" t="s">
        <v>7413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9282</v>
      </c>
      <c r="C5252" t="s">
        <v>62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7414</v>
      </c>
      <c r="C5253" t="s">
        <v>7415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7416</v>
      </c>
      <c r="C5254" t="s">
        <v>7417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7418</v>
      </c>
      <c r="C5255" t="s">
        <v>7401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9283</v>
      </c>
      <c r="C5256" t="s">
        <v>62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7419</v>
      </c>
      <c r="C5257" t="s">
        <v>7420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7421</v>
      </c>
      <c r="C5258" t="s">
        <v>7422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7423</v>
      </c>
      <c r="C5259" t="s">
        <v>7424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7425</v>
      </c>
      <c r="C5260" t="s">
        <v>7426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7427</v>
      </c>
      <c r="C5261" t="s">
        <v>7428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7429</v>
      </c>
      <c r="C5262" t="s">
        <v>7430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7431</v>
      </c>
      <c r="C5263" t="s">
        <v>62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7432</v>
      </c>
      <c r="C5264" t="s">
        <v>7433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7434</v>
      </c>
      <c r="C5265" t="s">
        <v>7435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7436</v>
      </c>
      <c r="C5266" t="s">
        <v>62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7437</v>
      </c>
      <c r="C5267" t="s">
        <v>7438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7439</v>
      </c>
      <c r="C5268" t="s">
        <v>62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7440</v>
      </c>
      <c r="C5269" t="s">
        <v>7441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7442</v>
      </c>
      <c r="C5270" t="s">
        <v>7443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7444</v>
      </c>
      <c r="C5271" t="s">
        <v>62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7445</v>
      </c>
      <c r="C5272" t="s">
        <v>7446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7447</v>
      </c>
      <c r="C5273" t="s">
        <v>62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7448</v>
      </c>
      <c r="C5274" t="s">
        <v>7449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9284</v>
      </c>
      <c r="C5275" t="s">
        <v>62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7450</v>
      </c>
      <c r="C5276" t="s">
        <v>7451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7452</v>
      </c>
      <c r="C5277" t="s">
        <v>62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7453</v>
      </c>
      <c r="C5278" t="s">
        <v>7454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7455</v>
      </c>
      <c r="C5279" t="s">
        <v>62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7456</v>
      </c>
      <c r="C5280" t="s">
        <v>7457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7458</v>
      </c>
      <c r="C5281" t="s">
        <v>62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7459</v>
      </c>
      <c r="C5282" t="s">
        <v>7460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9285</v>
      </c>
      <c r="C5283" t="s">
        <v>62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7461</v>
      </c>
      <c r="C5284" t="s">
        <v>7462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7463</v>
      </c>
      <c r="C5285" t="s">
        <v>7464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7465</v>
      </c>
      <c r="C5286" t="s">
        <v>7466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9286</v>
      </c>
      <c r="C5287" t="s">
        <v>9287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7467</v>
      </c>
      <c r="C5288" t="s">
        <v>7468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7469</v>
      </c>
      <c r="C5289" t="s">
        <v>62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7470</v>
      </c>
      <c r="C5290" t="s">
        <v>7438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7471</v>
      </c>
      <c r="C5291" t="s">
        <v>62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7472</v>
      </c>
      <c r="C5292" t="s">
        <v>7473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7474</v>
      </c>
      <c r="C5293" t="s">
        <v>62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7475</v>
      </c>
      <c r="C5294" t="s">
        <v>7476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7477</v>
      </c>
      <c r="C5295" t="s">
        <v>62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7478</v>
      </c>
      <c r="C5296" t="s">
        <v>7479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7480</v>
      </c>
      <c r="C5297" t="s">
        <v>62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7481</v>
      </c>
      <c r="C5298" t="s">
        <v>7482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7483</v>
      </c>
      <c r="C5299" t="s">
        <v>62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7484</v>
      </c>
      <c r="C5300" t="s">
        <v>7485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7486</v>
      </c>
      <c r="C5301" t="s">
        <v>62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7487</v>
      </c>
      <c r="C5302" t="s">
        <v>7488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7489</v>
      </c>
      <c r="C5303" t="s">
        <v>62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7490</v>
      </c>
      <c r="C5304" t="s">
        <v>7491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7492</v>
      </c>
      <c r="C5305" t="s">
        <v>62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7493</v>
      </c>
      <c r="C5306" t="s">
        <v>7494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7495</v>
      </c>
      <c r="C5307" t="s">
        <v>62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7496</v>
      </c>
      <c r="C5308" t="s">
        <v>5805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7497</v>
      </c>
      <c r="C5309" t="s">
        <v>62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7498</v>
      </c>
      <c r="C5310" t="s">
        <v>6205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7499</v>
      </c>
      <c r="C5311" t="s">
        <v>62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7500</v>
      </c>
      <c r="C5312" t="s">
        <v>6207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7501</v>
      </c>
      <c r="C5313" t="s">
        <v>62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7502</v>
      </c>
      <c r="C5314" t="s">
        <v>7503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7504</v>
      </c>
      <c r="C5315" t="s">
        <v>7505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7507</v>
      </c>
      <c r="C5316" t="s">
        <v>62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7508</v>
      </c>
      <c r="C5317" t="s">
        <v>7509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7510</v>
      </c>
      <c r="C5318" t="s">
        <v>7511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7512</v>
      </c>
      <c r="C5319" t="s">
        <v>62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7513</v>
      </c>
      <c r="C5320" t="s">
        <v>7514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7515</v>
      </c>
      <c r="C5321" t="s">
        <v>62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7516</v>
      </c>
      <c r="C5322" t="s">
        <v>7517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7518</v>
      </c>
      <c r="C5323" t="s">
        <v>62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7519</v>
      </c>
      <c r="C5324" t="s">
        <v>7520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7521</v>
      </c>
      <c r="C5325" t="s">
        <v>7522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7523</v>
      </c>
      <c r="C5326" t="s">
        <v>7524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7525</v>
      </c>
      <c r="C5327" t="s">
        <v>7526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7527</v>
      </c>
      <c r="C5328" t="s">
        <v>7528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7529</v>
      </c>
      <c r="C5329" t="s">
        <v>7530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7531</v>
      </c>
      <c r="C5330" t="s">
        <v>7532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7533</v>
      </c>
      <c r="C5331" t="s">
        <v>7534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7535</v>
      </c>
      <c r="C5332" t="s">
        <v>7536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7537</v>
      </c>
      <c r="C5333" t="s">
        <v>7538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7539</v>
      </c>
      <c r="C5334" t="s">
        <v>7540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7541</v>
      </c>
      <c r="C5335" t="s">
        <v>7542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7543</v>
      </c>
      <c r="C5336" t="s">
        <v>62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7544</v>
      </c>
      <c r="C5337" t="s">
        <v>7545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7546</v>
      </c>
      <c r="C5338" t="s">
        <v>7547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7548</v>
      </c>
      <c r="C5339" t="s">
        <v>7549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7551</v>
      </c>
      <c r="C5340" t="s">
        <v>7552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7553</v>
      </c>
      <c r="C5341" t="s">
        <v>7554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7555</v>
      </c>
      <c r="C5342" t="s">
        <v>7556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7557</v>
      </c>
      <c r="C5343" t="s">
        <v>7558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7559</v>
      </c>
      <c r="C5344" t="s">
        <v>7560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7561</v>
      </c>
      <c r="C5345" t="s">
        <v>7562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7563</v>
      </c>
      <c r="C5346" t="s">
        <v>7564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7565</v>
      </c>
      <c r="C5347" t="s">
        <v>7566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7567</v>
      </c>
      <c r="C5348" t="s">
        <v>7568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7569</v>
      </c>
      <c r="C5349" t="s">
        <v>7570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7571</v>
      </c>
      <c r="C5350" t="s">
        <v>7572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7573</v>
      </c>
      <c r="C5351" t="s">
        <v>7574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7575</v>
      </c>
      <c r="C5352" t="s">
        <v>7576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7577</v>
      </c>
      <c r="C5353" t="s">
        <v>7578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9288</v>
      </c>
      <c r="C5354" t="s">
        <v>9289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7579</v>
      </c>
      <c r="C5355" t="s">
        <v>7580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7581</v>
      </c>
      <c r="C5356" t="s">
        <v>7582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7583</v>
      </c>
      <c r="C5357" t="s">
        <v>7584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7585</v>
      </c>
      <c r="C5358" t="s">
        <v>7586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7587</v>
      </c>
      <c r="C5359" t="s">
        <v>7588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7589</v>
      </c>
      <c r="C5360" t="s">
        <v>62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7590</v>
      </c>
      <c r="C5361" t="s">
        <v>7591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7592</v>
      </c>
      <c r="C5362" t="s">
        <v>7593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7594</v>
      </c>
      <c r="C5363" t="s">
        <v>7595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7596</v>
      </c>
      <c r="C5364" t="s">
        <v>7597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7598</v>
      </c>
      <c r="C5365" t="s">
        <v>7599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7600</v>
      </c>
      <c r="C5366" t="s">
        <v>7601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7602</v>
      </c>
      <c r="C5367" t="s">
        <v>7603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7604</v>
      </c>
      <c r="C5368" t="s">
        <v>7605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7607</v>
      </c>
      <c r="C5369" t="s">
        <v>7608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7609</v>
      </c>
      <c r="C5370" t="s">
        <v>7610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7611</v>
      </c>
      <c r="C5371" t="s">
        <v>7612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7613</v>
      </c>
      <c r="C5372" t="s">
        <v>7614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7615</v>
      </c>
      <c r="C5373" t="s">
        <v>7616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7617</v>
      </c>
      <c r="C5374" t="s">
        <v>7618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7619</v>
      </c>
      <c r="C5375" t="s">
        <v>7620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7621</v>
      </c>
      <c r="C5376" t="s">
        <v>7622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7623</v>
      </c>
      <c r="C5377" t="s">
        <v>7622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7624</v>
      </c>
      <c r="C5378" t="s">
        <v>7625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7626</v>
      </c>
      <c r="C5379" t="s">
        <v>7627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7628</v>
      </c>
      <c r="C5380" t="s">
        <v>7629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7630</v>
      </c>
      <c r="C5381" t="s">
        <v>7631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7632</v>
      </c>
      <c r="C5382" t="s">
        <v>7633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7634</v>
      </c>
      <c r="C5383" t="s">
        <v>7635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7636</v>
      </c>
      <c r="C5384" t="s">
        <v>7637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7638</v>
      </c>
      <c r="C5385" t="s">
        <v>7639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7640</v>
      </c>
      <c r="C5386" t="s">
        <v>7641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7642</v>
      </c>
      <c r="C5387" t="s">
        <v>7643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7644</v>
      </c>
      <c r="C5388" t="s">
        <v>7645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7646</v>
      </c>
      <c r="C5389" t="s">
        <v>7647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7648</v>
      </c>
      <c r="C5390" t="s">
        <v>7649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7650</v>
      </c>
      <c r="C5391" t="s">
        <v>7651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7652</v>
      </c>
      <c r="C5392" t="s">
        <v>7653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7654</v>
      </c>
      <c r="C5393" t="s">
        <v>7655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7656</v>
      </c>
      <c r="C5394" t="s">
        <v>7657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7658</v>
      </c>
      <c r="C5395" t="s">
        <v>7659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7660</v>
      </c>
      <c r="C5396" t="s">
        <v>7659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9290</v>
      </c>
      <c r="C5397" t="s">
        <v>9291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9292</v>
      </c>
      <c r="C5398" t="s">
        <v>9293</v>
      </c>
      <c r="D5398">
        <v>678.62</v>
      </c>
      <c r="E5398">
        <v>407.17</v>
      </c>
    </row>
    <row r="5399" spans="1:5" x14ac:dyDescent="0.2">
      <c r="B5399" t="s">
        <v>7661</v>
      </c>
      <c r="C5399" t="s">
        <v>7662</v>
      </c>
      <c r="D5399">
        <v>0</v>
      </c>
      <c r="E5399">
        <v>0</v>
      </c>
    </row>
    <row r="5400" spans="1:5" x14ac:dyDescent="0.2">
      <c r="B5400" t="s">
        <v>9294</v>
      </c>
      <c r="C5400" t="s">
        <v>9295</v>
      </c>
      <c r="D5400">
        <v>366.9</v>
      </c>
      <c r="E5400">
        <v>220.14</v>
      </c>
    </row>
    <row r="5401" spans="1:5" x14ac:dyDescent="0.2">
      <c r="B5401" t="s">
        <v>7663</v>
      </c>
      <c r="C5401" t="s">
        <v>62</v>
      </c>
      <c r="D5401">
        <v>0</v>
      </c>
      <c r="E5401">
        <v>0</v>
      </c>
    </row>
    <row r="5402" spans="1:5" x14ac:dyDescent="0.2">
      <c r="B5402" t="s">
        <v>7664</v>
      </c>
      <c r="C5402" t="s">
        <v>62</v>
      </c>
      <c r="D5402">
        <v>0</v>
      </c>
      <c r="E5402">
        <v>0</v>
      </c>
    </row>
    <row r="5403" spans="1:5" x14ac:dyDescent="0.2">
      <c r="B5403" t="s">
        <v>7665</v>
      </c>
      <c r="C5403" t="s">
        <v>62</v>
      </c>
      <c r="D5403">
        <v>0</v>
      </c>
      <c r="E5403">
        <v>0</v>
      </c>
    </row>
    <row r="5404" spans="1:5" x14ac:dyDescent="0.2">
      <c r="B5404" t="s">
        <v>7666</v>
      </c>
      <c r="C5404" t="s">
        <v>62</v>
      </c>
      <c r="D5404">
        <v>0</v>
      </c>
      <c r="E5404">
        <v>0</v>
      </c>
    </row>
    <row r="5405" spans="1:5" x14ac:dyDescent="0.2">
      <c r="B5405" t="s">
        <v>7667</v>
      </c>
      <c r="C5405" t="s">
        <v>62</v>
      </c>
      <c r="D5405">
        <v>0</v>
      </c>
      <c r="E5405">
        <v>0</v>
      </c>
    </row>
    <row r="5406" spans="1:5" x14ac:dyDescent="0.2">
      <c r="B5406" t="s">
        <v>9296</v>
      </c>
      <c r="C5406" t="s">
        <v>1566</v>
      </c>
      <c r="D5406">
        <v>0</v>
      </c>
      <c r="E5406">
        <v>0</v>
      </c>
    </row>
    <row r="5407" spans="1:5" x14ac:dyDescent="0.2">
      <c r="B5407" t="s">
        <v>7668</v>
      </c>
      <c r="C5407" t="s">
        <v>7669</v>
      </c>
      <c r="D5407">
        <v>0</v>
      </c>
      <c r="E5407">
        <v>0</v>
      </c>
    </row>
    <row r="5408" spans="1:5" x14ac:dyDescent="0.2">
      <c r="B5408" t="s">
        <v>7670</v>
      </c>
      <c r="C5408" t="s">
        <v>59</v>
      </c>
      <c r="D5408">
        <v>0</v>
      </c>
      <c r="E5408">
        <v>0</v>
      </c>
    </row>
    <row r="5409" spans="2:5" x14ac:dyDescent="0.2">
      <c r="B5409" t="s">
        <v>7671</v>
      </c>
      <c r="C5409" t="s">
        <v>7671</v>
      </c>
      <c r="D5409">
        <v>0</v>
      </c>
      <c r="E5409">
        <v>0</v>
      </c>
    </row>
    <row r="5410" spans="2:5" x14ac:dyDescent="0.2">
      <c r="B5410" t="s">
        <v>7672</v>
      </c>
      <c r="C5410" t="s">
        <v>7673</v>
      </c>
      <c r="D5410">
        <v>0</v>
      </c>
      <c r="E5410">
        <v>0</v>
      </c>
    </row>
    <row r="5411" spans="2:5" x14ac:dyDescent="0.2">
      <c r="B5411" t="s">
        <v>7674</v>
      </c>
      <c r="C5411" t="s">
        <v>7675</v>
      </c>
      <c r="D5411">
        <v>0</v>
      </c>
      <c r="E5411">
        <v>0</v>
      </c>
    </row>
    <row r="5412" spans="2:5" x14ac:dyDescent="0.2">
      <c r="B5412" t="s">
        <v>7676</v>
      </c>
      <c r="C5412" t="s">
        <v>7677</v>
      </c>
      <c r="D5412">
        <v>0</v>
      </c>
      <c r="E5412">
        <v>0</v>
      </c>
    </row>
    <row r="5413" spans="2:5" x14ac:dyDescent="0.2">
      <c r="B5413" t="s">
        <v>6234</v>
      </c>
      <c r="C5413" t="s">
        <v>62</v>
      </c>
      <c r="D5413">
        <v>0</v>
      </c>
      <c r="E5413">
        <v>0</v>
      </c>
    </row>
    <row r="5414" spans="2:5" x14ac:dyDescent="0.2">
      <c r="B5414" t="s">
        <v>7678</v>
      </c>
      <c r="C5414" t="s">
        <v>62</v>
      </c>
      <c r="D5414">
        <v>0</v>
      </c>
      <c r="E5414">
        <v>0</v>
      </c>
    </row>
    <row r="5415" spans="2:5" x14ac:dyDescent="0.2">
      <c r="B5415" t="s">
        <v>7679</v>
      </c>
      <c r="C5415" t="s">
        <v>62</v>
      </c>
      <c r="D5415">
        <v>0</v>
      </c>
      <c r="E5415">
        <v>0</v>
      </c>
    </row>
    <row r="5416" spans="2:5" x14ac:dyDescent="0.2">
      <c r="B5416" t="s">
        <v>7680</v>
      </c>
      <c r="C5416" t="s">
        <v>7681</v>
      </c>
      <c r="D5416">
        <v>0</v>
      </c>
      <c r="E5416">
        <v>0</v>
      </c>
    </row>
    <row r="5417" spans="2:5" x14ac:dyDescent="0.2">
      <c r="B5417" t="s">
        <v>7682</v>
      </c>
      <c r="C5417" t="s">
        <v>62</v>
      </c>
      <c r="D5417">
        <v>0</v>
      </c>
      <c r="E5417">
        <v>0</v>
      </c>
    </row>
    <row r="5418" spans="2:5" x14ac:dyDescent="0.2">
      <c r="B5418" t="s">
        <v>7683</v>
      </c>
      <c r="C5418" t="s">
        <v>7684</v>
      </c>
      <c r="D5418">
        <v>0</v>
      </c>
      <c r="E5418">
        <v>0</v>
      </c>
    </row>
    <row r="5419" spans="2:5" x14ac:dyDescent="0.2">
      <c r="B5419" t="s">
        <v>7685</v>
      </c>
      <c r="C5419" t="s">
        <v>7686</v>
      </c>
      <c r="D5419">
        <v>0</v>
      </c>
      <c r="E5419">
        <v>0</v>
      </c>
    </row>
    <row r="5420" spans="2:5" x14ac:dyDescent="0.2">
      <c r="B5420" t="s">
        <v>7687</v>
      </c>
      <c r="C5420" t="s">
        <v>7688</v>
      </c>
      <c r="D5420">
        <v>0</v>
      </c>
      <c r="E5420">
        <v>0</v>
      </c>
    </row>
    <row r="5421" spans="2:5" x14ac:dyDescent="0.2">
      <c r="B5421" t="s">
        <v>7689</v>
      </c>
      <c r="C5421" t="s">
        <v>7690</v>
      </c>
      <c r="D5421">
        <v>0</v>
      </c>
      <c r="E5421">
        <v>0</v>
      </c>
    </row>
    <row r="5422" spans="2:5" x14ac:dyDescent="0.2">
      <c r="B5422" t="s">
        <v>7691</v>
      </c>
      <c r="C5422" t="s">
        <v>7692</v>
      </c>
      <c r="D5422">
        <v>0</v>
      </c>
      <c r="E5422">
        <v>0</v>
      </c>
    </row>
    <row r="5423" spans="2:5" x14ac:dyDescent="0.2">
      <c r="B5423" t="s">
        <v>7693</v>
      </c>
      <c r="C5423" t="s">
        <v>7694</v>
      </c>
      <c r="D5423">
        <v>0</v>
      </c>
      <c r="E5423">
        <v>0</v>
      </c>
    </row>
    <row r="5424" spans="2:5" x14ac:dyDescent="0.2">
      <c r="B5424" t="s">
        <v>7695</v>
      </c>
      <c r="C5424" t="s">
        <v>7696</v>
      </c>
      <c r="D5424">
        <v>0</v>
      </c>
      <c r="E5424">
        <v>0</v>
      </c>
    </row>
    <row r="5425" spans="2:5" x14ac:dyDescent="0.2">
      <c r="B5425" t="s">
        <v>7697</v>
      </c>
      <c r="C5425" t="s">
        <v>7698</v>
      </c>
      <c r="D5425">
        <v>0</v>
      </c>
      <c r="E5425">
        <v>0</v>
      </c>
    </row>
    <row r="5426" spans="2:5" x14ac:dyDescent="0.2">
      <c r="B5426" t="s">
        <v>7699</v>
      </c>
      <c r="C5426" t="s">
        <v>7700</v>
      </c>
      <c r="D5426">
        <v>0</v>
      </c>
      <c r="E5426">
        <v>0</v>
      </c>
    </row>
    <row r="5427" spans="2:5" x14ac:dyDescent="0.2">
      <c r="B5427" t="s">
        <v>7701</v>
      </c>
      <c r="C5427" t="s">
        <v>7702</v>
      </c>
      <c r="D5427">
        <v>0</v>
      </c>
      <c r="E5427">
        <v>0</v>
      </c>
    </row>
    <row r="5428" spans="2:5" x14ac:dyDescent="0.2">
      <c r="B5428" t="s">
        <v>7703</v>
      </c>
      <c r="C5428" t="s">
        <v>7704</v>
      </c>
      <c r="D5428">
        <v>0</v>
      </c>
      <c r="E5428">
        <v>0</v>
      </c>
    </row>
    <row r="5429" spans="2:5" x14ac:dyDescent="0.2">
      <c r="B5429" t="s">
        <v>7705</v>
      </c>
      <c r="C5429" t="s">
        <v>162</v>
      </c>
      <c r="D5429">
        <v>0</v>
      </c>
      <c r="E5429">
        <v>0</v>
      </c>
    </row>
    <row r="5430" spans="2:5" x14ac:dyDescent="0.2">
      <c r="B5430" t="s">
        <v>7706</v>
      </c>
      <c r="C5430" t="s">
        <v>162</v>
      </c>
      <c r="D5430">
        <v>0</v>
      </c>
      <c r="E5430">
        <v>0</v>
      </c>
    </row>
    <row r="5431" spans="2:5" x14ac:dyDescent="0.2">
      <c r="B5431" t="s">
        <v>7707</v>
      </c>
      <c r="C5431" t="s">
        <v>162</v>
      </c>
      <c r="D5431">
        <v>0</v>
      </c>
      <c r="E5431">
        <v>0</v>
      </c>
    </row>
    <row r="5432" spans="2:5" x14ac:dyDescent="0.2">
      <c r="B5432" t="s">
        <v>9297</v>
      </c>
      <c r="C5432" t="s">
        <v>9298</v>
      </c>
      <c r="D5432">
        <v>637.46</v>
      </c>
      <c r="E5432">
        <v>382.48</v>
      </c>
    </row>
    <row r="5433" spans="2:5" x14ac:dyDescent="0.2">
      <c r="B5433" t="s">
        <v>9299</v>
      </c>
      <c r="C5433" t="s">
        <v>9300</v>
      </c>
      <c r="D5433">
        <v>703.87</v>
      </c>
      <c r="E5433">
        <v>422.32</v>
      </c>
    </row>
    <row r="5434" spans="2:5" x14ac:dyDescent="0.2">
      <c r="B5434" t="s">
        <v>9301</v>
      </c>
      <c r="C5434" t="s">
        <v>9300</v>
      </c>
      <c r="D5434">
        <v>743.71</v>
      </c>
      <c r="E5434">
        <v>446.23</v>
      </c>
    </row>
    <row r="5435" spans="2:5" x14ac:dyDescent="0.2">
      <c r="B5435" t="s">
        <v>7708</v>
      </c>
      <c r="C5435" t="s">
        <v>7709</v>
      </c>
      <c r="D5435">
        <v>0</v>
      </c>
      <c r="E5435">
        <v>0</v>
      </c>
    </row>
    <row r="5436" spans="2:5" x14ac:dyDescent="0.2">
      <c r="B5436" t="s">
        <v>7710</v>
      </c>
      <c r="C5436" t="s">
        <v>7711</v>
      </c>
      <c r="D5436">
        <v>0</v>
      </c>
      <c r="E5436">
        <v>0</v>
      </c>
    </row>
    <row r="5437" spans="2:5" x14ac:dyDescent="0.2">
      <c r="B5437" t="s">
        <v>7712</v>
      </c>
      <c r="C5437" t="s">
        <v>7711</v>
      </c>
      <c r="D5437">
        <v>0</v>
      </c>
      <c r="E5437">
        <v>0</v>
      </c>
    </row>
    <row r="5438" spans="2:5" x14ac:dyDescent="0.2">
      <c r="B5438" t="s">
        <v>7713</v>
      </c>
      <c r="C5438" t="s">
        <v>7714</v>
      </c>
      <c r="D5438">
        <v>0</v>
      </c>
      <c r="E5438">
        <v>0</v>
      </c>
    </row>
    <row r="5439" spans="2:5" x14ac:dyDescent="0.2">
      <c r="B5439" t="s">
        <v>7715</v>
      </c>
      <c r="C5439" t="s">
        <v>162</v>
      </c>
      <c r="D5439">
        <v>0</v>
      </c>
      <c r="E5439">
        <v>0</v>
      </c>
    </row>
    <row r="5440" spans="2:5" x14ac:dyDescent="0.2">
      <c r="B5440" t="s">
        <v>7716</v>
      </c>
      <c r="C5440" t="s">
        <v>162</v>
      </c>
      <c r="D5440">
        <v>0</v>
      </c>
      <c r="E5440">
        <v>0</v>
      </c>
    </row>
    <row r="5441" spans="2:5" x14ac:dyDescent="0.2">
      <c r="B5441" t="s">
        <v>7717</v>
      </c>
      <c r="C5441" t="s">
        <v>7718</v>
      </c>
      <c r="D5441">
        <v>0</v>
      </c>
      <c r="E5441">
        <v>0</v>
      </c>
    </row>
    <row r="5442" spans="2:5" x14ac:dyDescent="0.2">
      <c r="B5442" t="s">
        <v>7719</v>
      </c>
      <c r="C5442" t="s">
        <v>7720</v>
      </c>
      <c r="D5442">
        <v>0</v>
      </c>
      <c r="E5442">
        <v>0</v>
      </c>
    </row>
    <row r="5443" spans="2:5" x14ac:dyDescent="0.2">
      <c r="B5443" t="s">
        <v>7721</v>
      </c>
      <c r="C5443" t="s">
        <v>7722</v>
      </c>
      <c r="D5443">
        <v>0</v>
      </c>
      <c r="E5443">
        <v>0</v>
      </c>
    </row>
    <row r="5444" spans="2:5" x14ac:dyDescent="0.2">
      <c r="B5444" t="s">
        <v>7723</v>
      </c>
      <c r="C5444" t="s">
        <v>7724</v>
      </c>
      <c r="D5444">
        <v>0</v>
      </c>
      <c r="E5444">
        <v>0</v>
      </c>
    </row>
    <row r="5445" spans="2:5" x14ac:dyDescent="0.2">
      <c r="B5445" t="s">
        <v>7724</v>
      </c>
      <c r="C5445" t="s">
        <v>62</v>
      </c>
      <c r="D5445">
        <v>0</v>
      </c>
      <c r="E5445">
        <v>0</v>
      </c>
    </row>
    <row r="5446" spans="2:5" x14ac:dyDescent="0.2">
      <c r="B5446" t="s">
        <v>7725</v>
      </c>
      <c r="C5446" t="s">
        <v>7726</v>
      </c>
      <c r="D5446">
        <v>0</v>
      </c>
      <c r="E5446">
        <v>0</v>
      </c>
    </row>
    <row r="5447" spans="2:5" x14ac:dyDescent="0.2">
      <c r="B5447" t="s">
        <v>9302</v>
      </c>
      <c r="C5447" t="s">
        <v>9303</v>
      </c>
      <c r="D5447">
        <v>398.42</v>
      </c>
      <c r="E5447">
        <v>239.05</v>
      </c>
    </row>
    <row r="5448" spans="2:5" x14ac:dyDescent="0.2">
      <c r="B5448" t="s">
        <v>7550</v>
      </c>
      <c r="C5448" t="s">
        <v>62</v>
      </c>
      <c r="D5448">
        <v>0</v>
      </c>
      <c r="E5448">
        <v>0</v>
      </c>
    </row>
    <row r="5449" spans="2:5" x14ac:dyDescent="0.2">
      <c r="B5449" t="s">
        <v>7727</v>
      </c>
      <c r="C5449" t="s">
        <v>7728</v>
      </c>
      <c r="D5449">
        <v>0</v>
      </c>
      <c r="E5449">
        <v>0</v>
      </c>
    </row>
    <row r="5450" spans="2:5" x14ac:dyDescent="0.2">
      <c r="B5450" t="s">
        <v>7729</v>
      </c>
      <c r="C5450" t="s">
        <v>7591</v>
      </c>
      <c r="D5450">
        <v>0</v>
      </c>
      <c r="E5450">
        <v>0</v>
      </c>
    </row>
    <row r="5451" spans="2:5" x14ac:dyDescent="0.2">
      <c r="B5451" t="s">
        <v>7730</v>
      </c>
      <c r="C5451" t="s">
        <v>7731</v>
      </c>
      <c r="D5451">
        <v>0</v>
      </c>
      <c r="E5451">
        <v>0</v>
      </c>
    </row>
    <row r="5452" spans="2:5" x14ac:dyDescent="0.2">
      <c r="B5452" t="s">
        <v>7732</v>
      </c>
      <c r="C5452" t="s">
        <v>7733</v>
      </c>
      <c r="D5452">
        <v>0</v>
      </c>
      <c r="E5452">
        <v>0</v>
      </c>
    </row>
    <row r="5453" spans="2:5" x14ac:dyDescent="0.2">
      <c r="B5453" t="s">
        <v>7734</v>
      </c>
      <c r="C5453" t="s">
        <v>7735</v>
      </c>
      <c r="D5453">
        <v>0</v>
      </c>
      <c r="E5453">
        <v>0</v>
      </c>
    </row>
    <row r="5454" spans="2:5" x14ac:dyDescent="0.2">
      <c r="B5454" t="s">
        <v>9304</v>
      </c>
      <c r="C5454" t="s">
        <v>9305</v>
      </c>
      <c r="D5454">
        <v>160.69</v>
      </c>
      <c r="E5454">
        <v>96.41</v>
      </c>
    </row>
    <row r="5455" spans="2:5" x14ac:dyDescent="0.2">
      <c r="B5455" t="s">
        <v>7606</v>
      </c>
      <c r="C5455" t="s">
        <v>62</v>
      </c>
      <c r="D5455">
        <v>0</v>
      </c>
      <c r="E5455">
        <v>0</v>
      </c>
    </row>
    <row r="5456" spans="2:5" x14ac:dyDescent="0.2">
      <c r="B5456" t="s">
        <v>7736</v>
      </c>
      <c r="C5456" t="s">
        <v>7737</v>
      </c>
      <c r="D5456">
        <v>0</v>
      </c>
      <c r="E5456">
        <v>0</v>
      </c>
    </row>
    <row r="5457" spans="2:5" x14ac:dyDescent="0.2">
      <c r="B5457" t="s">
        <v>7738</v>
      </c>
      <c r="C5457" t="s">
        <v>7739</v>
      </c>
      <c r="D5457">
        <v>0</v>
      </c>
      <c r="E5457">
        <v>0</v>
      </c>
    </row>
    <row r="5458" spans="2:5" x14ac:dyDescent="0.2">
      <c r="B5458" t="s">
        <v>7740</v>
      </c>
      <c r="C5458" t="s">
        <v>7741</v>
      </c>
      <c r="D5458">
        <v>545.9</v>
      </c>
      <c r="E5458">
        <v>327.54000000000002</v>
      </c>
    </row>
    <row r="5459" spans="2:5" x14ac:dyDescent="0.2">
      <c r="B5459" t="s">
        <v>7742</v>
      </c>
      <c r="C5459" t="s">
        <v>7743</v>
      </c>
      <c r="D5459">
        <v>0</v>
      </c>
      <c r="E5459">
        <v>0</v>
      </c>
    </row>
    <row r="5460" spans="2:5" x14ac:dyDescent="0.2">
      <c r="B5460" t="s">
        <v>7744</v>
      </c>
      <c r="C5460" t="s">
        <v>62</v>
      </c>
      <c r="D5460">
        <v>0</v>
      </c>
      <c r="E5460">
        <v>0</v>
      </c>
    </row>
    <row r="5461" spans="2:5" x14ac:dyDescent="0.2">
      <c r="B5461" t="s">
        <v>7745</v>
      </c>
      <c r="C5461" t="s">
        <v>62</v>
      </c>
      <c r="D5461">
        <v>0</v>
      </c>
      <c r="E5461">
        <v>0</v>
      </c>
    </row>
    <row r="5462" spans="2:5" x14ac:dyDescent="0.2">
      <c r="B5462" t="s">
        <v>7746</v>
      </c>
      <c r="C5462" t="s">
        <v>7747</v>
      </c>
      <c r="D5462">
        <v>0</v>
      </c>
      <c r="E5462">
        <v>0</v>
      </c>
    </row>
    <row r="5463" spans="2:5" x14ac:dyDescent="0.2">
      <c r="B5463" t="s">
        <v>7748</v>
      </c>
      <c r="C5463" t="s">
        <v>7610</v>
      </c>
      <c r="D5463">
        <v>0</v>
      </c>
      <c r="E5463">
        <v>0</v>
      </c>
    </row>
    <row r="5464" spans="2:5" x14ac:dyDescent="0.2">
      <c r="B5464" t="s">
        <v>7749</v>
      </c>
      <c r="C5464" t="s">
        <v>7749</v>
      </c>
      <c r="D5464">
        <v>0</v>
      </c>
      <c r="E5464">
        <v>0</v>
      </c>
    </row>
    <row r="5465" spans="2:5" x14ac:dyDescent="0.2">
      <c r="B5465" t="s">
        <v>176</v>
      </c>
      <c r="C5465" t="s">
        <v>7750</v>
      </c>
      <c r="D5465">
        <v>0</v>
      </c>
      <c r="E5465">
        <v>0</v>
      </c>
    </row>
    <row r="5466" spans="2:5" x14ac:dyDescent="0.2">
      <c r="B5466" t="s">
        <v>7751</v>
      </c>
      <c r="C5466" t="s">
        <v>7752</v>
      </c>
      <c r="D5466">
        <v>0</v>
      </c>
      <c r="E5466">
        <v>0</v>
      </c>
    </row>
    <row r="5467" spans="2:5" x14ac:dyDescent="0.2">
      <c r="B5467" t="s">
        <v>7753</v>
      </c>
      <c r="C5467" t="s">
        <v>7754</v>
      </c>
      <c r="D5467">
        <v>0</v>
      </c>
      <c r="E5467">
        <v>0</v>
      </c>
    </row>
    <row r="5468" spans="2:5" x14ac:dyDescent="0.2">
      <c r="B5468" t="s">
        <v>7755</v>
      </c>
      <c r="C5468" t="s">
        <v>7756</v>
      </c>
      <c r="D5468">
        <v>0</v>
      </c>
      <c r="E5468">
        <v>0</v>
      </c>
    </row>
    <row r="5469" spans="2:5" x14ac:dyDescent="0.2">
      <c r="B5469" t="s">
        <v>7757</v>
      </c>
      <c r="C5469" t="s">
        <v>7758</v>
      </c>
      <c r="D5469">
        <v>0</v>
      </c>
      <c r="E5469">
        <v>0</v>
      </c>
    </row>
    <row r="5470" spans="2:5" x14ac:dyDescent="0.2">
      <c r="B5470" t="s">
        <v>7759</v>
      </c>
      <c r="C5470" t="s">
        <v>7760</v>
      </c>
      <c r="D5470">
        <v>0</v>
      </c>
      <c r="E5470">
        <v>0</v>
      </c>
    </row>
    <row r="5471" spans="2:5" x14ac:dyDescent="0.2">
      <c r="B5471" t="s">
        <v>7761</v>
      </c>
      <c r="C5471" t="s">
        <v>7761</v>
      </c>
      <c r="D5471">
        <v>0</v>
      </c>
      <c r="E5471">
        <v>0</v>
      </c>
    </row>
    <row r="5472" spans="2:5" x14ac:dyDescent="0.2">
      <c r="B5472" t="s">
        <v>4507</v>
      </c>
      <c r="C5472" t="s">
        <v>62</v>
      </c>
      <c r="D5472">
        <v>0</v>
      </c>
      <c r="E5472">
        <v>0</v>
      </c>
    </row>
    <row r="5473" spans="2:5" x14ac:dyDescent="0.2">
      <c r="B5473" t="s">
        <v>7762</v>
      </c>
      <c r="C5473" t="s">
        <v>7763</v>
      </c>
      <c r="D5473">
        <v>0</v>
      </c>
      <c r="E5473">
        <v>0</v>
      </c>
    </row>
    <row r="5474" spans="2:5" x14ac:dyDescent="0.2">
      <c r="B5474" t="s">
        <v>7764</v>
      </c>
      <c r="C5474" t="s">
        <v>7765</v>
      </c>
      <c r="D5474">
        <v>0</v>
      </c>
      <c r="E5474">
        <v>0</v>
      </c>
    </row>
    <row r="5475" spans="2:5" x14ac:dyDescent="0.2">
      <c r="B5475" t="s">
        <v>7766</v>
      </c>
      <c r="C5475" t="s">
        <v>7767</v>
      </c>
      <c r="D5475">
        <v>0</v>
      </c>
      <c r="E5475">
        <v>0</v>
      </c>
    </row>
    <row r="5476" spans="2:5" x14ac:dyDescent="0.2">
      <c r="B5476" t="s">
        <v>7768</v>
      </c>
      <c r="C5476" t="s">
        <v>7769</v>
      </c>
      <c r="D5476">
        <v>0</v>
      </c>
      <c r="E5476">
        <v>0</v>
      </c>
    </row>
    <row r="5477" spans="2:5" x14ac:dyDescent="0.2">
      <c r="B5477" t="s">
        <v>7770</v>
      </c>
      <c r="C5477" t="s">
        <v>7771</v>
      </c>
      <c r="D5477">
        <v>0</v>
      </c>
      <c r="E5477">
        <v>0</v>
      </c>
    </row>
    <row r="5478" spans="2:5" x14ac:dyDescent="0.2">
      <c r="B5478" t="s">
        <v>7772</v>
      </c>
      <c r="C5478" t="s">
        <v>162</v>
      </c>
      <c r="D5478">
        <v>0</v>
      </c>
      <c r="E5478">
        <v>0</v>
      </c>
    </row>
    <row r="5479" spans="2:5" x14ac:dyDescent="0.2">
      <c r="B5479" t="s">
        <v>7773</v>
      </c>
      <c r="C5479" t="s">
        <v>7774</v>
      </c>
      <c r="D5479">
        <v>0</v>
      </c>
      <c r="E5479">
        <v>0</v>
      </c>
    </row>
    <row r="5480" spans="2:5" x14ac:dyDescent="0.2">
      <c r="B5480" t="s">
        <v>7775</v>
      </c>
      <c r="C5480" t="s">
        <v>176</v>
      </c>
      <c r="D5480">
        <v>0</v>
      </c>
      <c r="E5480">
        <v>0</v>
      </c>
    </row>
    <row r="5481" spans="2:5" x14ac:dyDescent="0.2">
      <c r="B5481" t="s">
        <v>7776</v>
      </c>
      <c r="C5481" t="s">
        <v>7777</v>
      </c>
      <c r="D5481">
        <v>0</v>
      </c>
      <c r="E5481">
        <v>0</v>
      </c>
    </row>
    <row r="5482" spans="2:5" x14ac:dyDescent="0.2">
      <c r="B5482" t="s">
        <v>7778</v>
      </c>
      <c r="C5482" t="s">
        <v>7779</v>
      </c>
      <c r="D5482">
        <v>0</v>
      </c>
      <c r="E5482">
        <v>0</v>
      </c>
    </row>
    <row r="5483" spans="2:5" x14ac:dyDescent="0.2">
      <c r="B5483" t="s">
        <v>7780</v>
      </c>
      <c r="C5483" t="s">
        <v>7781</v>
      </c>
      <c r="D5483">
        <v>0</v>
      </c>
      <c r="E5483">
        <v>0</v>
      </c>
    </row>
    <row r="5484" spans="2:5" x14ac:dyDescent="0.2">
      <c r="B5484" t="s">
        <v>7782</v>
      </c>
      <c r="C5484" t="s">
        <v>7783</v>
      </c>
      <c r="D5484">
        <v>0</v>
      </c>
      <c r="E5484">
        <v>0</v>
      </c>
    </row>
    <row r="5485" spans="2:5" x14ac:dyDescent="0.2">
      <c r="B5485" t="s">
        <v>7784</v>
      </c>
      <c r="C5485" t="s">
        <v>7785</v>
      </c>
      <c r="D5485">
        <v>0</v>
      </c>
      <c r="E5485">
        <v>0</v>
      </c>
    </row>
    <row r="5486" spans="2:5" x14ac:dyDescent="0.2">
      <c r="B5486" t="s">
        <v>7506</v>
      </c>
      <c r="C5486" t="s">
        <v>7786</v>
      </c>
      <c r="D5486">
        <v>0</v>
      </c>
      <c r="E5486">
        <v>0</v>
      </c>
    </row>
    <row r="5487" spans="2:5" x14ac:dyDescent="0.2">
      <c r="B5487" t="s">
        <v>7787</v>
      </c>
      <c r="C5487" t="s">
        <v>62</v>
      </c>
      <c r="D5487">
        <v>0</v>
      </c>
      <c r="E5487">
        <v>0</v>
      </c>
    </row>
    <row r="5488" spans="2:5" x14ac:dyDescent="0.2">
      <c r="B5488" t="s">
        <v>7788</v>
      </c>
      <c r="C5488" t="s">
        <v>7789</v>
      </c>
      <c r="D5488">
        <v>0</v>
      </c>
      <c r="E5488">
        <v>0</v>
      </c>
    </row>
    <row r="5489" spans="2:5" x14ac:dyDescent="0.2">
      <c r="B5489" t="s">
        <v>7790</v>
      </c>
      <c r="C5489" t="s">
        <v>7791</v>
      </c>
      <c r="D5489">
        <v>0</v>
      </c>
      <c r="E5489">
        <v>0</v>
      </c>
    </row>
    <row r="5490" spans="2:5" x14ac:dyDescent="0.2">
      <c r="B5490" t="s">
        <v>1523</v>
      </c>
      <c r="C5490" t="s">
        <v>1523</v>
      </c>
      <c r="D5490">
        <v>0</v>
      </c>
      <c r="E5490">
        <v>0</v>
      </c>
    </row>
    <row r="5491" spans="2:5" x14ac:dyDescent="0.2">
      <c r="B5491" t="s">
        <v>7792</v>
      </c>
      <c r="C5491" t="s">
        <v>7793</v>
      </c>
      <c r="D5491">
        <v>0</v>
      </c>
      <c r="E5491">
        <v>0</v>
      </c>
    </row>
    <row r="5492" spans="2:5" x14ac:dyDescent="0.2">
      <c r="B5492" t="s">
        <v>7794</v>
      </c>
      <c r="C5492" t="s">
        <v>7795</v>
      </c>
      <c r="D5492">
        <v>0</v>
      </c>
      <c r="E5492">
        <v>0</v>
      </c>
    </row>
    <row r="5493" spans="2:5" x14ac:dyDescent="0.2">
      <c r="B5493" t="s">
        <v>7796</v>
      </c>
      <c r="C5493" t="s">
        <v>7797</v>
      </c>
      <c r="D5493">
        <v>0</v>
      </c>
      <c r="E5493">
        <v>0</v>
      </c>
    </row>
    <row r="5494" spans="2:5" x14ac:dyDescent="0.2">
      <c r="B5494" t="s">
        <v>7798</v>
      </c>
      <c r="C5494" t="s">
        <v>7798</v>
      </c>
      <c r="D5494">
        <v>0</v>
      </c>
      <c r="E5494">
        <v>0</v>
      </c>
    </row>
    <row r="5495" spans="2:5" x14ac:dyDescent="0.2">
      <c r="B5495" t="s">
        <v>9306</v>
      </c>
      <c r="C5495" t="s">
        <v>9306</v>
      </c>
      <c r="D5495">
        <v>0</v>
      </c>
      <c r="E5495">
        <v>0</v>
      </c>
    </row>
    <row r="5496" spans="2:5" x14ac:dyDescent="0.2">
      <c r="B5496" t="s">
        <v>7799</v>
      </c>
      <c r="C5496" t="s">
        <v>7800</v>
      </c>
      <c r="D5496">
        <v>0</v>
      </c>
      <c r="E5496">
        <v>0</v>
      </c>
    </row>
    <row r="5497" spans="2:5" x14ac:dyDescent="0.2">
      <c r="B5497" t="s">
        <v>7801</v>
      </c>
      <c r="C5497" t="s">
        <v>62</v>
      </c>
      <c r="D5497">
        <v>0</v>
      </c>
      <c r="E5497">
        <v>0</v>
      </c>
    </row>
    <row r="5498" spans="2:5" x14ac:dyDescent="0.2">
      <c r="B5498" t="s">
        <v>7802</v>
      </c>
      <c r="C5498" t="s">
        <v>7803</v>
      </c>
      <c r="D5498">
        <v>0</v>
      </c>
      <c r="E5498">
        <v>0</v>
      </c>
    </row>
    <row r="5499" spans="2:5" x14ac:dyDescent="0.2">
      <c r="B5499" t="s">
        <v>7804</v>
      </c>
      <c r="C5499" t="s">
        <v>62</v>
      </c>
      <c r="D5499">
        <v>0</v>
      </c>
      <c r="E5499">
        <v>0</v>
      </c>
    </row>
    <row r="5500" spans="2:5" x14ac:dyDescent="0.2">
      <c r="B5500" t="s">
        <v>7805</v>
      </c>
      <c r="C5500" t="s">
        <v>62</v>
      </c>
      <c r="D5500">
        <v>0</v>
      </c>
      <c r="E5500">
        <v>0</v>
      </c>
    </row>
    <row r="5501" spans="2:5" x14ac:dyDescent="0.2">
      <c r="B5501" t="s">
        <v>7806</v>
      </c>
      <c r="C5501" t="s">
        <v>62</v>
      </c>
      <c r="D5501">
        <v>0</v>
      </c>
      <c r="E5501">
        <v>0</v>
      </c>
    </row>
    <row r="5502" spans="2:5" x14ac:dyDescent="0.2">
      <c r="B5502" t="s">
        <v>7807</v>
      </c>
      <c r="C5502" t="s">
        <v>62</v>
      </c>
      <c r="D5502">
        <v>0</v>
      </c>
      <c r="E5502">
        <v>0</v>
      </c>
    </row>
    <row r="5503" spans="2:5" x14ac:dyDescent="0.2">
      <c r="B5503" t="s">
        <v>7808</v>
      </c>
      <c r="C5503" t="s">
        <v>7809</v>
      </c>
      <c r="D5503">
        <v>0</v>
      </c>
      <c r="E5503">
        <v>0</v>
      </c>
    </row>
    <row r="5504" spans="2:5" x14ac:dyDescent="0.2">
      <c r="B5504" t="s">
        <v>7810</v>
      </c>
      <c r="C5504" t="s">
        <v>7811</v>
      </c>
      <c r="D5504">
        <v>0</v>
      </c>
      <c r="E5504">
        <v>0</v>
      </c>
    </row>
    <row r="5505" spans="2:5" x14ac:dyDescent="0.2">
      <c r="B5505" t="s">
        <v>7812</v>
      </c>
      <c r="C5505" t="s">
        <v>7813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2022-05-12T19:08:55Z</cp:lastPrinted>
  <dcterms:created xsi:type="dcterms:W3CDTF">2015-11-18T15:54:23Z</dcterms:created>
  <dcterms:modified xsi:type="dcterms:W3CDTF">2022-05-12T19:51:26Z</dcterms:modified>
</cp:coreProperties>
</file>